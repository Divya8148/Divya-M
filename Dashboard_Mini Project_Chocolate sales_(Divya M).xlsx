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ELCOT\Downloads\Data Process and Business analysis\"/>
    </mc:Choice>
  </mc:AlternateContent>
  <xr:revisionPtr revIDLastSave="0" documentId="13_ncr:1_{A8F05702-B4BC-4D8F-B065-92735F9CAB6F}" xr6:coauthVersionLast="47" xr6:coauthVersionMax="47" xr10:uidLastSave="{00000000-0000-0000-0000-000000000000}"/>
  <bookViews>
    <workbookView xWindow="-120" yWindow="-120" windowWidth="20730" windowHeight="11160" xr2:uid="{3ACF68FD-8139-42D1-9508-EC63EC9C4B8E}"/>
  </bookViews>
  <sheets>
    <sheet name="Dashboard" sheetId="12" r:id="rId1"/>
    <sheet name="KPI's" sheetId="13" r:id="rId2"/>
    <sheet name="1. montly sales trend" sheetId="3" r:id="rId3"/>
    <sheet name="2.Brand wise sales" sheetId="4" r:id="rId4"/>
    <sheet name="3.Region wise sales Avg" sheetId="2" r:id="rId5"/>
    <sheet name="4. Popular product" sheetId="6" r:id="rId6"/>
    <sheet name="5. Customer buying location" sheetId="7" r:id="rId7"/>
    <sheet name="Sheet9" sheetId="9" state="hidden" r:id="rId8"/>
    <sheet name="Sheet10" sheetId="10" state="hidden" r:id="rId9"/>
    <sheet name="Sheet10 (2)" sheetId="11" state="hidden" r:id="rId10"/>
    <sheet name=" 6.Mode of buy" sheetId="5" r:id="rId11"/>
    <sheet name="Chocolate Sales" sheetId="1" r:id="rId12"/>
  </sheets>
  <definedNames>
    <definedName name="_xlchart.v5.0" hidden="1">'5. Customer buying location'!$I$16:$J$16</definedName>
    <definedName name="_xlchart.v5.1" hidden="1">'5. Customer buying location'!$I$17:$J$78</definedName>
    <definedName name="_xlchart.v5.10" hidden="1">'5. Customer buying location'!$K$16</definedName>
    <definedName name="_xlchart.v5.11" hidden="1">'5. Customer buying location'!$K$17:$K$97</definedName>
    <definedName name="_xlchart.v5.12" hidden="1">'5. Customer buying location'!$I$16:$J$16</definedName>
    <definedName name="_xlchart.v5.13" hidden="1">'5. Customer buying location'!$I$17:$J$78</definedName>
    <definedName name="_xlchart.v5.14" hidden="1">'5. Customer buying location'!$K$16</definedName>
    <definedName name="_xlchart.v5.15" hidden="1">'5. Customer buying location'!$K$17:$K$78</definedName>
    <definedName name="_xlchart.v5.2" hidden="1">'5. Customer buying location'!$K$16</definedName>
    <definedName name="_xlchart.v5.3" hidden="1">'5. Customer buying location'!$K$17:$K$78</definedName>
    <definedName name="_xlchart.v5.4" hidden="1">'5. Customer buying location'!$J$16</definedName>
    <definedName name="_xlchart.v5.5" hidden="1">'5. Customer buying location'!$J$17:$J$78</definedName>
    <definedName name="_xlchart.v5.6" hidden="1">'5. Customer buying location'!$K$16</definedName>
    <definedName name="_xlchart.v5.7" hidden="1">'5. Customer buying location'!$K$17:$K$78</definedName>
    <definedName name="_xlchart.v5.8" hidden="1">'5. Customer buying location'!$I$16:$J$16</definedName>
    <definedName name="_xlchart.v5.9" hidden="1">'5. Customer buying location'!$I$17:$J$97</definedName>
    <definedName name="Slicer_Brand">#N/A</definedName>
    <definedName name="Slicer_Distribution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13" l="1"/>
  <c r="B7" i="13"/>
  <c r="A7" i="13"/>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L14" i="7"/>
  <c r="L13" i="7"/>
  <c r="L12" i="7"/>
  <c r="L11" i="7"/>
  <c r="L10" i="7"/>
  <c r="L9" i="7"/>
  <c r="L8" i="7"/>
  <c r="L7" i="7"/>
  <c r="L6" i="7"/>
  <c r="L5" i="7"/>
</calcChain>
</file>

<file path=xl/sharedStrings.xml><?xml version="1.0" encoding="utf-8"?>
<sst xmlns="http://schemas.openxmlformats.org/spreadsheetml/2006/main" count="4805" uniqueCount="146">
  <si>
    <t>Date</t>
  </si>
  <si>
    <t>Product</t>
  </si>
  <si>
    <t>Brand</t>
  </si>
  <si>
    <t>Boxes Shipped</t>
  </si>
  <si>
    <t>Per unit</t>
  </si>
  <si>
    <t>City</t>
  </si>
  <si>
    <t>Sales region</t>
  </si>
  <si>
    <t>Distribution type</t>
  </si>
  <si>
    <t>Amount</t>
  </si>
  <si>
    <t>Mint Chip Choco</t>
  </si>
  <si>
    <t>ChocoDelight</t>
  </si>
  <si>
    <t>Staten Island</t>
  </si>
  <si>
    <t>Long Island</t>
  </si>
  <si>
    <t>Convenience Store</t>
  </si>
  <si>
    <t>85% Dark Bars</t>
  </si>
  <si>
    <t>Upstate West</t>
  </si>
  <si>
    <t>Online</t>
  </si>
  <si>
    <t>CocoaLux</t>
  </si>
  <si>
    <t>Peanut Butter Cubes</t>
  </si>
  <si>
    <t>Queens</t>
  </si>
  <si>
    <t>Super Market</t>
  </si>
  <si>
    <t>SweetScape</t>
  </si>
  <si>
    <t>Manhattan</t>
  </si>
  <si>
    <t>Vending Machine.</t>
  </si>
  <si>
    <t>NuttyGood</t>
  </si>
  <si>
    <t>Spicy Special Slims</t>
  </si>
  <si>
    <t>Capital Region</t>
  </si>
  <si>
    <t>Brooklyn</t>
  </si>
  <si>
    <t>Upstate North</t>
  </si>
  <si>
    <t>Retail Store</t>
  </si>
  <si>
    <t>VelvetCacao.</t>
  </si>
  <si>
    <t>Smooth Sliky Salty</t>
  </si>
  <si>
    <t>Central NY.</t>
  </si>
  <si>
    <t>99% Dark &amp; Pure</t>
  </si>
  <si>
    <t>The Bronx</t>
  </si>
  <si>
    <t>After Nines</t>
  </si>
  <si>
    <t>Orange Choco</t>
  </si>
  <si>
    <t>70% Dark Bites</t>
  </si>
  <si>
    <t>Organic Choco Syrup</t>
  </si>
  <si>
    <t>Fruit &amp; Nut Bars</t>
  </si>
  <si>
    <t>Almond Choco</t>
  </si>
  <si>
    <t>Drinking Coco</t>
  </si>
  <si>
    <t>Raspberry Choco</t>
  </si>
  <si>
    <t>50% Dark Bites</t>
  </si>
  <si>
    <t>Caramel Stuffed Bars</t>
  </si>
  <si>
    <t>Choco Coated Almonds</t>
  </si>
  <si>
    <t>White Choc</t>
  </si>
  <si>
    <t>Milk Bars</t>
  </si>
  <si>
    <t>Eclairs</t>
  </si>
  <si>
    <t>Baker's Choco Chips</t>
  </si>
  <si>
    <t>Manuka Honey Choco</t>
  </si>
  <si>
    <t>Row Labels</t>
  </si>
  <si>
    <t>Grand Total</t>
  </si>
  <si>
    <t>Column Labels</t>
  </si>
  <si>
    <t>Sum of Boxes Shipped</t>
  </si>
  <si>
    <t>Sum of Amount</t>
  </si>
  <si>
    <t>Jan</t>
  </si>
  <si>
    <t>Feb</t>
  </si>
  <si>
    <t>Mar</t>
  </si>
  <si>
    <t>Apr</t>
  </si>
  <si>
    <t>May</t>
  </si>
  <si>
    <t>Jun</t>
  </si>
  <si>
    <t>Jul</t>
  </si>
  <si>
    <t>Aug</t>
  </si>
  <si>
    <t>Sep</t>
  </si>
  <si>
    <t>Oct</t>
  </si>
  <si>
    <t>Nov</t>
  </si>
  <si>
    <t>Dec</t>
  </si>
  <si>
    <t/>
  </si>
  <si>
    <t>New York</t>
  </si>
  <si>
    <t>State</t>
  </si>
  <si>
    <t>Country</t>
  </si>
  <si>
    <t>Sum of Per unit</t>
  </si>
  <si>
    <t>Albany County</t>
  </si>
  <si>
    <t>Allegany County</t>
  </si>
  <si>
    <t>Bronx County</t>
  </si>
  <si>
    <t>Broome County</t>
  </si>
  <si>
    <t>Cattaraugus County</t>
  </si>
  <si>
    <t>Cayuga County</t>
  </si>
  <si>
    <t>Chautauqua County</t>
  </si>
  <si>
    <t>Chemung County</t>
  </si>
  <si>
    <t>Chenango County</t>
  </si>
  <si>
    <t>Clinton County</t>
  </si>
  <si>
    <t>Columbia County</t>
  </si>
  <si>
    <t>Cortland County</t>
  </si>
  <si>
    <t>Delaware County</t>
  </si>
  <si>
    <t>Dutchess County</t>
  </si>
  <si>
    <t>Erie County</t>
  </si>
  <si>
    <t>Essex County</t>
  </si>
  <si>
    <t>Franklin County</t>
  </si>
  <si>
    <t>Fulton County</t>
  </si>
  <si>
    <t>Genesee County</t>
  </si>
  <si>
    <t>Greene County</t>
  </si>
  <si>
    <t>Hamilton County</t>
  </si>
  <si>
    <t>Herkimer County</t>
  </si>
  <si>
    <t>Jefferson County</t>
  </si>
  <si>
    <t>Kings County (Brooklyn)</t>
  </si>
  <si>
    <t>Lewis County</t>
  </si>
  <si>
    <t>Livingston County</t>
  </si>
  <si>
    <t>Madison County</t>
  </si>
  <si>
    <t>Monroe County</t>
  </si>
  <si>
    <t>Montgomery County</t>
  </si>
  <si>
    <t>Nassau County</t>
  </si>
  <si>
    <t>New York County (Manhattan)</t>
  </si>
  <si>
    <t>Niagara County</t>
  </si>
  <si>
    <t>Oneida County</t>
  </si>
  <si>
    <t>Onondaga County</t>
  </si>
  <si>
    <t>Ontario County</t>
  </si>
  <si>
    <t>Orange County</t>
  </si>
  <si>
    <t>Orleans County</t>
  </si>
  <si>
    <t>Oswego County</t>
  </si>
  <si>
    <t>Otsego County</t>
  </si>
  <si>
    <t>Putnam County</t>
  </si>
  <si>
    <t>Queens County</t>
  </si>
  <si>
    <t>Rensselaer County</t>
  </si>
  <si>
    <t>Richmond County (Staten Island)</t>
  </si>
  <si>
    <t>Rockland County</t>
  </si>
  <si>
    <t>Saint Lawrence County</t>
  </si>
  <si>
    <t>Saratoga County</t>
  </si>
  <si>
    <t>Schenectady County</t>
  </si>
  <si>
    <t>Schoharie County</t>
  </si>
  <si>
    <t>Schuyler County</t>
  </si>
  <si>
    <t>Seneca County</t>
  </si>
  <si>
    <t>Steuben County</t>
  </si>
  <si>
    <t>Suffolk County</t>
  </si>
  <si>
    <t>Sullivan County</t>
  </si>
  <si>
    <t>Tioga County</t>
  </si>
  <si>
    <t>Tompkins County</t>
  </si>
  <si>
    <t>Ulster County</t>
  </si>
  <si>
    <t>Warren County</t>
  </si>
  <si>
    <t>Washington County</t>
  </si>
  <si>
    <t>Wayne County</t>
  </si>
  <si>
    <t>Westchester County</t>
  </si>
  <si>
    <t>Wyoming County</t>
  </si>
  <si>
    <t>Yates County</t>
  </si>
  <si>
    <t>Where customer perfer to buy</t>
  </si>
  <si>
    <t>Count of Boxes Shipped</t>
  </si>
  <si>
    <t>Orders</t>
  </si>
  <si>
    <t>Quantity</t>
  </si>
  <si>
    <t>Problem Statement</t>
  </si>
  <si>
    <t>1. Monthly sales trend for the year.</t>
  </si>
  <si>
    <t>2.Brand wise sales</t>
  </si>
  <si>
    <t>4. Popular product sales</t>
  </si>
  <si>
    <t>5.Customer buy location</t>
  </si>
  <si>
    <t>6. Mode of buy</t>
  </si>
  <si>
    <t xml:space="preserve">3. Regional and brand wise average sales percent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</si>
</sst>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0" fontId="1" fillId="0" borderId="0" xfId="0"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2" borderId="0" xfId="0" applyFill="1"/>
    <xf numFmtId="1" fontId="0" fillId="0" borderId="0" xfId="0" applyNumberFormat="1"/>
    <xf numFmtId="0" fontId="0" fillId="3" borderId="11" xfId="0" applyFill="1" applyBorder="1"/>
    <xf numFmtId="0" fontId="0" fillId="0" borderId="11" xfId="0" applyBorder="1"/>
    <xf numFmtId="0" fontId="1" fillId="0" borderId="0" xfId="0" applyFont="1" applyAlignment="1">
      <alignment horizontal="center"/>
    </xf>
    <xf numFmtId="0" fontId="0" fillId="0" borderId="0" xfId="0" applyNumberFormat="1"/>
  </cellXfs>
  <cellStyles count="1">
    <cellStyle name="Normal" xfId="0" builtinId="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0" formatCode="General"/>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 formatCode="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M).xlsx]1. montly sales trend!PivotTable9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3520504062095"/>
          <c:y val="0.29754421314780244"/>
          <c:w val="0.78334993349527593"/>
          <c:h val="0.58580010680406513"/>
        </c:manualLayout>
      </c:layout>
      <c:lineChart>
        <c:grouping val="standard"/>
        <c:varyColors val="0"/>
        <c:ser>
          <c:idx val="0"/>
          <c:order val="0"/>
          <c:tx>
            <c:strRef>
              <c:f>'1. montly sales trend'!$B$3</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'1. 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montly sales trend'!$B$4:$B$16</c:f>
              <c:numCache>
                <c:formatCode>General</c:formatCode>
                <c:ptCount val="12"/>
                <c:pt idx="0">
                  <c:v>599812</c:v>
                </c:pt>
                <c:pt idx="1">
                  <c:v>648825</c:v>
                </c:pt>
                <c:pt idx="2">
                  <c:v>743715</c:v>
                </c:pt>
                <c:pt idx="3">
                  <c:v>784089</c:v>
                </c:pt>
                <c:pt idx="4">
                  <c:v>580900</c:v>
                </c:pt>
                <c:pt idx="5">
                  <c:v>491534</c:v>
                </c:pt>
                <c:pt idx="6">
                  <c:v>788204</c:v>
                </c:pt>
                <c:pt idx="7">
                  <c:v>752245</c:v>
                </c:pt>
                <c:pt idx="8">
                  <c:v>833970</c:v>
                </c:pt>
                <c:pt idx="9">
                  <c:v>635905</c:v>
                </c:pt>
                <c:pt idx="10">
                  <c:v>747518</c:v>
                </c:pt>
                <c:pt idx="11">
                  <c:v>647872</c:v>
                </c:pt>
              </c:numCache>
            </c:numRef>
          </c:val>
          <c:smooth val="0"/>
          <c:extLst>
            <c:ext xmlns:c16="http://schemas.microsoft.com/office/drawing/2014/chart" uri="{C3380CC4-5D6E-409C-BE32-E72D297353CC}">
              <c16:uniqueId val="{00000000-635E-4282-BDC1-EAD53872537D}"/>
            </c:ext>
          </c:extLst>
        </c:ser>
        <c:dLbls>
          <c:showLegendKey val="0"/>
          <c:showVal val="0"/>
          <c:showCatName val="0"/>
          <c:showSerName val="0"/>
          <c:showPercent val="0"/>
          <c:showBubbleSize val="0"/>
        </c:dLbls>
        <c:marker val="1"/>
        <c:smooth val="0"/>
        <c:axId val="568096664"/>
        <c:axId val="568105464"/>
      </c:lineChart>
      <c:lineChart>
        <c:grouping val="standard"/>
        <c:varyColors val="0"/>
        <c:ser>
          <c:idx val="1"/>
          <c:order val="1"/>
          <c:tx>
            <c:strRef>
              <c:f>'1. montly sales trend'!$C$3</c:f>
              <c:strCache>
                <c:ptCount val="1"/>
                <c:pt idx="0">
                  <c:v>Sum of Boxes Shipped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'1. 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montly sales trend'!$C$4:$C$16</c:f>
              <c:numCache>
                <c:formatCode>General</c:formatCode>
                <c:ptCount val="12"/>
                <c:pt idx="0">
                  <c:v>9477</c:v>
                </c:pt>
                <c:pt idx="1">
                  <c:v>11242</c:v>
                </c:pt>
                <c:pt idx="2">
                  <c:v>13396</c:v>
                </c:pt>
                <c:pt idx="3">
                  <c:v>13538</c:v>
                </c:pt>
                <c:pt idx="4">
                  <c:v>10049</c:v>
                </c:pt>
                <c:pt idx="5">
                  <c:v>9087</c:v>
                </c:pt>
                <c:pt idx="6">
                  <c:v>12690</c:v>
                </c:pt>
                <c:pt idx="7">
                  <c:v>11870</c:v>
                </c:pt>
                <c:pt idx="8">
                  <c:v>13450</c:v>
                </c:pt>
                <c:pt idx="9">
                  <c:v>11673</c:v>
                </c:pt>
                <c:pt idx="10">
                  <c:v>12248</c:v>
                </c:pt>
                <c:pt idx="11">
                  <c:v>11386</c:v>
                </c:pt>
              </c:numCache>
            </c:numRef>
          </c:val>
          <c:smooth val="0"/>
          <c:extLst>
            <c:ext xmlns:c16="http://schemas.microsoft.com/office/drawing/2014/chart" uri="{C3380CC4-5D6E-409C-BE32-E72D297353CC}">
              <c16:uniqueId val="{00000001-635E-4282-BDC1-EAD53872537D}"/>
            </c:ext>
          </c:extLst>
        </c:ser>
        <c:dLbls>
          <c:showLegendKey val="0"/>
          <c:showVal val="0"/>
          <c:showCatName val="0"/>
          <c:showSerName val="0"/>
          <c:showPercent val="0"/>
          <c:showBubbleSize val="0"/>
        </c:dLbls>
        <c:marker val="1"/>
        <c:smooth val="0"/>
        <c:axId val="574109288"/>
        <c:axId val="574112456"/>
      </c:lineChart>
      <c:catAx>
        <c:axId val="568096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105464"/>
        <c:crosses val="autoZero"/>
        <c:auto val="1"/>
        <c:lblAlgn val="ctr"/>
        <c:lblOffset val="100"/>
        <c:noMultiLvlLbl val="0"/>
      </c:catAx>
      <c:valAx>
        <c:axId val="568105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096664"/>
        <c:crosses val="autoZero"/>
        <c:crossBetween val="between"/>
      </c:valAx>
      <c:valAx>
        <c:axId val="5741124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109288"/>
        <c:crosses val="max"/>
        <c:crossBetween val="between"/>
      </c:valAx>
      <c:catAx>
        <c:axId val="574109288"/>
        <c:scaling>
          <c:orientation val="minMax"/>
        </c:scaling>
        <c:delete val="1"/>
        <c:axPos val="b"/>
        <c:numFmt formatCode="General" sourceLinked="1"/>
        <c:majorTickMark val="none"/>
        <c:minorTickMark val="none"/>
        <c:tickLblPos val="nextTo"/>
        <c:crossAx val="5741124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 6.Mode of buy!PivotTable9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 of buy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8092738407695"/>
          <c:y val="0.21337962962962964"/>
          <c:w val="0.80341907261592316"/>
          <c:h val="0.60521617089530466"/>
        </c:manualLayout>
      </c:layout>
      <c:barChart>
        <c:barDir val="col"/>
        <c:grouping val="clustered"/>
        <c:varyColors val="0"/>
        <c:ser>
          <c:idx val="0"/>
          <c:order val="0"/>
          <c:tx>
            <c:strRef>
              <c:f>' 6.Mode of buy'!$B$3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6.Mode of buy'!$A$4:$A$9</c:f>
              <c:strCache>
                <c:ptCount val="5"/>
                <c:pt idx="0">
                  <c:v>Convenience Store</c:v>
                </c:pt>
                <c:pt idx="1">
                  <c:v>Online</c:v>
                </c:pt>
                <c:pt idx="2">
                  <c:v>Retail Store</c:v>
                </c:pt>
                <c:pt idx="3">
                  <c:v>Super Market</c:v>
                </c:pt>
                <c:pt idx="4">
                  <c:v>Vending Machine.</c:v>
                </c:pt>
              </c:strCache>
            </c:strRef>
          </c:cat>
          <c:val>
            <c:numRef>
              <c:f>' 6.Mode of buy'!$B$4:$B$9</c:f>
              <c:numCache>
                <c:formatCode>General</c:formatCode>
                <c:ptCount val="5"/>
                <c:pt idx="0">
                  <c:v>1734313</c:v>
                </c:pt>
                <c:pt idx="1">
                  <c:v>1688498</c:v>
                </c:pt>
                <c:pt idx="2">
                  <c:v>1497123</c:v>
                </c:pt>
                <c:pt idx="3">
                  <c:v>1934446</c:v>
                </c:pt>
                <c:pt idx="4">
                  <c:v>1400209</c:v>
                </c:pt>
              </c:numCache>
            </c:numRef>
          </c:val>
          <c:extLst>
            <c:ext xmlns:c16="http://schemas.microsoft.com/office/drawing/2014/chart" uri="{C3380CC4-5D6E-409C-BE32-E72D297353CC}">
              <c16:uniqueId val="{00000000-1D59-4059-9B56-74E13D4270F8}"/>
            </c:ext>
          </c:extLst>
        </c:ser>
        <c:dLbls>
          <c:showLegendKey val="0"/>
          <c:showVal val="0"/>
          <c:showCatName val="0"/>
          <c:showSerName val="0"/>
          <c:showPercent val="0"/>
          <c:showBubbleSize val="0"/>
        </c:dLbls>
        <c:gapWidth val="21"/>
        <c:overlap val="-24"/>
        <c:axId val="862583528"/>
        <c:axId val="862578248"/>
      </c:barChart>
      <c:catAx>
        <c:axId val="862583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2578248"/>
        <c:crosses val="autoZero"/>
        <c:auto val="1"/>
        <c:lblAlgn val="ctr"/>
        <c:lblOffset val="100"/>
        <c:noMultiLvlLbl val="0"/>
      </c:catAx>
      <c:valAx>
        <c:axId val="862578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2583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M).xlsx]4. Popular product!PivotTable9</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Popular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Popular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'4. Popular product'!$A$4:$A$26</c:f>
              <c:strCache>
                <c:ptCount val="22"/>
                <c:pt idx="0">
                  <c:v>50% Dark Bites</c:v>
                </c:pt>
                <c:pt idx="1">
                  <c:v>Smooth Sliky Salty</c:v>
                </c:pt>
                <c:pt idx="2">
                  <c:v>Caramel Stuffed Bars</c:v>
                </c:pt>
                <c:pt idx="3">
                  <c:v>Fruit &amp; Nut Bars</c:v>
                </c:pt>
                <c:pt idx="4">
                  <c:v>Mint Chip Choco</c:v>
                </c:pt>
                <c:pt idx="5">
                  <c:v>Organic Choco Syrup</c:v>
                </c:pt>
                <c:pt idx="6">
                  <c:v>Spicy Special Slims</c:v>
                </c:pt>
                <c:pt idx="7">
                  <c:v>99% Dark &amp; Pure</c:v>
                </c:pt>
                <c:pt idx="8">
                  <c:v>Eclairs</c:v>
                </c:pt>
                <c:pt idx="9">
                  <c:v>Orange Choco</c:v>
                </c:pt>
                <c:pt idx="10">
                  <c:v>White Choc</c:v>
                </c:pt>
                <c:pt idx="11">
                  <c:v>Peanut Butter Cubes</c:v>
                </c:pt>
                <c:pt idx="12">
                  <c:v>Milk Bars</c:v>
                </c:pt>
                <c:pt idx="13">
                  <c:v>85% Dark Bars</c:v>
                </c:pt>
                <c:pt idx="14">
                  <c:v>Raspberry Choco</c:v>
                </c:pt>
                <c:pt idx="15">
                  <c:v>70% Dark Bites</c:v>
                </c:pt>
                <c:pt idx="16">
                  <c:v>Manuka Honey Choco</c:v>
                </c:pt>
                <c:pt idx="17">
                  <c:v>Drinking Coco</c:v>
                </c:pt>
                <c:pt idx="18">
                  <c:v>Almond Choco</c:v>
                </c:pt>
                <c:pt idx="19">
                  <c:v>After Nines</c:v>
                </c:pt>
                <c:pt idx="20">
                  <c:v>Baker's Choco Chips</c:v>
                </c:pt>
                <c:pt idx="21">
                  <c:v>Choco Coated Almonds</c:v>
                </c:pt>
              </c:strCache>
            </c:strRef>
          </c:cat>
          <c:val>
            <c:numRef>
              <c:f>'4. Popular product'!$B$4:$B$26</c:f>
              <c:numCache>
                <c:formatCode>General</c:formatCode>
                <c:ptCount val="22"/>
                <c:pt idx="0">
                  <c:v>8233</c:v>
                </c:pt>
                <c:pt idx="1">
                  <c:v>7981</c:v>
                </c:pt>
                <c:pt idx="2">
                  <c:v>7623</c:v>
                </c:pt>
                <c:pt idx="3">
                  <c:v>6943</c:v>
                </c:pt>
                <c:pt idx="4">
                  <c:v>6896</c:v>
                </c:pt>
                <c:pt idx="5">
                  <c:v>6787</c:v>
                </c:pt>
                <c:pt idx="6">
                  <c:v>6713</c:v>
                </c:pt>
                <c:pt idx="7">
                  <c:v>6594</c:v>
                </c:pt>
                <c:pt idx="8">
                  <c:v>6559</c:v>
                </c:pt>
                <c:pt idx="9">
                  <c:v>6452</c:v>
                </c:pt>
                <c:pt idx="10">
                  <c:v>6381</c:v>
                </c:pt>
                <c:pt idx="11">
                  <c:v>6338</c:v>
                </c:pt>
                <c:pt idx="12">
                  <c:v>6218</c:v>
                </c:pt>
                <c:pt idx="13">
                  <c:v>6214</c:v>
                </c:pt>
                <c:pt idx="14">
                  <c:v>6146</c:v>
                </c:pt>
                <c:pt idx="15">
                  <c:v>5994</c:v>
                </c:pt>
                <c:pt idx="16">
                  <c:v>5964</c:v>
                </c:pt>
                <c:pt idx="17">
                  <c:v>5925</c:v>
                </c:pt>
                <c:pt idx="18">
                  <c:v>5351</c:v>
                </c:pt>
                <c:pt idx="19">
                  <c:v>5256</c:v>
                </c:pt>
                <c:pt idx="20">
                  <c:v>5173</c:v>
                </c:pt>
                <c:pt idx="21">
                  <c:v>4365</c:v>
                </c:pt>
              </c:numCache>
            </c:numRef>
          </c:val>
          <c:extLst>
            <c:ext xmlns:c16="http://schemas.microsoft.com/office/drawing/2014/chart" uri="{C3380CC4-5D6E-409C-BE32-E72D297353CC}">
              <c16:uniqueId val="{00000000-C1A3-47CD-A51E-46DB596F2332}"/>
            </c:ext>
          </c:extLst>
        </c:ser>
        <c:dLbls>
          <c:showLegendKey val="0"/>
          <c:showVal val="0"/>
          <c:showCatName val="0"/>
          <c:showSerName val="0"/>
          <c:showPercent val="0"/>
          <c:showBubbleSize val="0"/>
        </c:dLbls>
        <c:gapWidth val="182"/>
        <c:overlap val="-50"/>
        <c:axId val="862591624"/>
        <c:axId val="862592680"/>
      </c:barChart>
      <c:catAx>
        <c:axId val="862591624"/>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592680"/>
        <c:crosses val="autoZero"/>
        <c:auto val="1"/>
        <c:lblAlgn val="ctr"/>
        <c:lblOffset val="100"/>
        <c:noMultiLvlLbl val="0"/>
      </c:catAx>
      <c:valAx>
        <c:axId val="862592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59162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M).xlsx]2.Brand wise sales!PivotTable9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829200026157623"/>
          <c:y val="0.17846083997603771"/>
          <c:w val="0.52812027691169472"/>
          <c:h val="0.71051898154599569"/>
        </c:manualLayout>
      </c:layout>
      <c:doughnutChart>
        <c:varyColors val="1"/>
        <c:ser>
          <c:idx val="0"/>
          <c:order val="0"/>
          <c:tx>
            <c:strRef>
              <c:f>'2.Brand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08-475B-A2FE-006C2584E8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08-475B-A2FE-006C2584E8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08-475B-A2FE-006C2584E8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08-475B-A2FE-006C2584E87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208-475B-A2FE-006C2584E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'2.Brand wise sales'!$A$4:$A$9</c:f>
              <c:strCache>
                <c:ptCount val="5"/>
                <c:pt idx="0">
                  <c:v>ChocoDelight</c:v>
                </c:pt>
                <c:pt idx="1">
                  <c:v>CocoaLux</c:v>
                </c:pt>
                <c:pt idx="2">
                  <c:v>NuttyGood</c:v>
                </c:pt>
                <c:pt idx="3">
                  <c:v>SweetScape</c:v>
                </c:pt>
                <c:pt idx="4">
                  <c:v>VelvetCacao.</c:v>
                </c:pt>
              </c:strCache>
            </c:strRef>
          </c:cat>
          <c:val>
            <c:numRef>
              <c:f>'2.Brand wise sales'!$B$4:$B$9</c:f>
              <c:numCache>
                <c:formatCode>General</c:formatCode>
                <c:ptCount val="5"/>
                <c:pt idx="0">
                  <c:v>1441551</c:v>
                </c:pt>
                <c:pt idx="1">
                  <c:v>1855326</c:v>
                </c:pt>
                <c:pt idx="2">
                  <c:v>1745325</c:v>
                </c:pt>
                <c:pt idx="3">
                  <c:v>1569325</c:v>
                </c:pt>
                <c:pt idx="4">
                  <c:v>1643062</c:v>
                </c:pt>
              </c:numCache>
            </c:numRef>
          </c:val>
          <c:extLst>
            <c:ext xmlns:c16="http://schemas.microsoft.com/office/drawing/2014/chart" uri="{C3380CC4-5D6E-409C-BE32-E72D297353CC}">
              <c16:uniqueId val="{0000000A-0208-475B-A2FE-006C2584E879}"/>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M).xlsx]1. montly sales trend!PivotTable9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3520504062095"/>
          <c:y val="0.29754421314780244"/>
          <c:w val="0.78334993349527593"/>
          <c:h val="0.58580010680406513"/>
        </c:manualLayout>
      </c:layout>
      <c:lineChart>
        <c:grouping val="standard"/>
        <c:varyColors val="0"/>
        <c:ser>
          <c:idx val="0"/>
          <c:order val="0"/>
          <c:tx>
            <c:strRef>
              <c:f>'1. montly sales trend'!$B$3</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 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montly sales trend'!$B$4:$B$16</c:f>
              <c:numCache>
                <c:formatCode>General</c:formatCode>
                <c:ptCount val="12"/>
                <c:pt idx="0">
                  <c:v>599812</c:v>
                </c:pt>
                <c:pt idx="1">
                  <c:v>648825</c:v>
                </c:pt>
                <c:pt idx="2">
                  <c:v>743715</c:v>
                </c:pt>
                <c:pt idx="3">
                  <c:v>784089</c:v>
                </c:pt>
                <c:pt idx="4">
                  <c:v>580900</c:v>
                </c:pt>
                <c:pt idx="5">
                  <c:v>491534</c:v>
                </c:pt>
                <c:pt idx="6">
                  <c:v>788204</c:v>
                </c:pt>
                <c:pt idx="7">
                  <c:v>752245</c:v>
                </c:pt>
                <c:pt idx="8">
                  <c:v>833970</c:v>
                </c:pt>
                <c:pt idx="9">
                  <c:v>635905</c:v>
                </c:pt>
                <c:pt idx="10">
                  <c:v>747518</c:v>
                </c:pt>
                <c:pt idx="11">
                  <c:v>647872</c:v>
                </c:pt>
              </c:numCache>
            </c:numRef>
          </c:val>
          <c:smooth val="0"/>
          <c:extLst>
            <c:ext xmlns:c16="http://schemas.microsoft.com/office/drawing/2014/chart" uri="{C3380CC4-5D6E-409C-BE32-E72D297353CC}">
              <c16:uniqueId val="{00000000-8FCD-4C54-9667-E3C08F3FA0E5}"/>
            </c:ext>
          </c:extLst>
        </c:ser>
        <c:dLbls>
          <c:showLegendKey val="0"/>
          <c:showVal val="0"/>
          <c:showCatName val="0"/>
          <c:showSerName val="0"/>
          <c:showPercent val="0"/>
          <c:showBubbleSize val="0"/>
        </c:dLbls>
        <c:marker val="1"/>
        <c:smooth val="0"/>
        <c:axId val="568096664"/>
        <c:axId val="568105464"/>
      </c:lineChart>
      <c:lineChart>
        <c:grouping val="standard"/>
        <c:varyColors val="0"/>
        <c:ser>
          <c:idx val="1"/>
          <c:order val="1"/>
          <c:tx>
            <c:strRef>
              <c:f>'1. montly sales trend'!$C$3</c:f>
              <c:strCache>
                <c:ptCount val="1"/>
                <c:pt idx="0">
                  <c:v>Sum of Boxes Shipped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 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montly sales trend'!$C$4:$C$16</c:f>
              <c:numCache>
                <c:formatCode>General</c:formatCode>
                <c:ptCount val="12"/>
                <c:pt idx="0">
                  <c:v>9477</c:v>
                </c:pt>
                <c:pt idx="1">
                  <c:v>11242</c:v>
                </c:pt>
                <c:pt idx="2">
                  <c:v>13396</c:v>
                </c:pt>
                <c:pt idx="3">
                  <c:v>13538</c:v>
                </c:pt>
                <c:pt idx="4">
                  <c:v>10049</c:v>
                </c:pt>
                <c:pt idx="5">
                  <c:v>9087</c:v>
                </c:pt>
                <c:pt idx="6">
                  <c:v>12690</c:v>
                </c:pt>
                <c:pt idx="7">
                  <c:v>11870</c:v>
                </c:pt>
                <c:pt idx="8">
                  <c:v>13450</c:v>
                </c:pt>
                <c:pt idx="9">
                  <c:v>11673</c:v>
                </c:pt>
                <c:pt idx="10">
                  <c:v>12248</c:v>
                </c:pt>
                <c:pt idx="11">
                  <c:v>11386</c:v>
                </c:pt>
              </c:numCache>
            </c:numRef>
          </c:val>
          <c:smooth val="0"/>
          <c:extLst>
            <c:ext xmlns:c16="http://schemas.microsoft.com/office/drawing/2014/chart" uri="{C3380CC4-5D6E-409C-BE32-E72D297353CC}">
              <c16:uniqueId val="{00000001-8FCD-4C54-9667-E3C08F3FA0E5}"/>
            </c:ext>
          </c:extLst>
        </c:ser>
        <c:dLbls>
          <c:showLegendKey val="0"/>
          <c:showVal val="0"/>
          <c:showCatName val="0"/>
          <c:showSerName val="0"/>
          <c:showPercent val="0"/>
          <c:showBubbleSize val="0"/>
        </c:dLbls>
        <c:marker val="1"/>
        <c:smooth val="0"/>
        <c:axId val="574109288"/>
        <c:axId val="574112456"/>
      </c:lineChart>
      <c:catAx>
        <c:axId val="56809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5464"/>
        <c:crosses val="autoZero"/>
        <c:auto val="1"/>
        <c:lblAlgn val="ctr"/>
        <c:lblOffset val="100"/>
        <c:noMultiLvlLbl val="0"/>
      </c:catAx>
      <c:valAx>
        <c:axId val="568105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96664"/>
        <c:crosses val="autoZero"/>
        <c:crossBetween val="between"/>
      </c:valAx>
      <c:valAx>
        <c:axId val="574112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09288"/>
        <c:crosses val="max"/>
        <c:crossBetween val="between"/>
      </c:valAx>
      <c:catAx>
        <c:axId val="574109288"/>
        <c:scaling>
          <c:orientation val="minMax"/>
        </c:scaling>
        <c:delete val="1"/>
        <c:axPos val="b"/>
        <c:numFmt formatCode="General" sourceLinked="1"/>
        <c:majorTickMark val="out"/>
        <c:minorTickMark val="none"/>
        <c:tickLblPos val="nextTo"/>
        <c:crossAx val="5741124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M).xlsx]2.Brand wise sales!PivotTable9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'2.Brand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E-451A-8405-23B930C86E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E-451A-8405-23B930C86E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E-451A-8405-23B930C86E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6E-451A-8405-23B930C86E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6E-451A-8405-23B930C86EB7}"/>
              </c:ext>
            </c:extLst>
          </c:dPt>
          <c:cat>
            <c:strRef>
              <c:f>'2.Brand wise sales'!$A$4:$A$9</c:f>
              <c:strCache>
                <c:ptCount val="5"/>
                <c:pt idx="0">
                  <c:v>ChocoDelight</c:v>
                </c:pt>
                <c:pt idx="1">
                  <c:v>CocoaLux</c:v>
                </c:pt>
                <c:pt idx="2">
                  <c:v>NuttyGood</c:v>
                </c:pt>
                <c:pt idx="3">
                  <c:v>SweetScape</c:v>
                </c:pt>
                <c:pt idx="4">
                  <c:v>VelvetCacao.</c:v>
                </c:pt>
              </c:strCache>
            </c:strRef>
          </c:cat>
          <c:val>
            <c:numRef>
              <c:f>'2.Brand wise sales'!$B$4:$B$9</c:f>
              <c:numCache>
                <c:formatCode>General</c:formatCode>
                <c:ptCount val="5"/>
                <c:pt idx="0">
                  <c:v>1441551</c:v>
                </c:pt>
                <c:pt idx="1">
                  <c:v>1855326</c:v>
                </c:pt>
                <c:pt idx="2">
                  <c:v>1745325</c:v>
                </c:pt>
                <c:pt idx="3">
                  <c:v>1569325</c:v>
                </c:pt>
                <c:pt idx="4">
                  <c:v>1643062</c:v>
                </c:pt>
              </c:numCache>
            </c:numRef>
          </c:val>
          <c:extLst>
            <c:ext xmlns:c16="http://schemas.microsoft.com/office/drawing/2014/chart" uri="{C3380CC4-5D6E-409C-BE32-E72D297353CC}">
              <c16:uniqueId val="{00000000-2443-483D-BBA4-94715E8A91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M).xlsx]4. Popular product!PivotTable9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Popular product'!$B$3</c:f>
              <c:strCache>
                <c:ptCount val="1"/>
                <c:pt idx="0">
                  <c:v>Total</c:v>
                </c:pt>
              </c:strCache>
            </c:strRef>
          </c:tx>
          <c:spPr>
            <a:solidFill>
              <a:schemeClr val="accent1"/>
            </a:solidFill>
            <a:ln>
              <a:noFill/>
            </a:ln>
            <a:effectLst/>
          </c:spPr>
          <c:invertIfNegative val="0"/>
          <c:cat>
            <c:strRef>
              <c:f>'4. Popular product'!$A$4:$A$26</c:f>
              <c:strCache>
                <c:ptCount val="22"/>
                <c:pt idx="0">
                  <c:v>50% Dark Bites</c:v>
                </c:pt>
                <c:pt idx="1">
                  <c:v>Smooth Sliky Salty</c:v>
                </c:pt>
                <c:pt idx="2">
                  <c:v>Caramel Stuffed Bars</c:v>
                </c:pt>
                <c:pt idx="3">
                  <c:v>Fruit &amp; Nut Bars</c:v>
                </c:pt>
                <c:pt idx="4">
                  <c:v>Mint Chip Choco</c:v>
                </c:pt>
                <c:pt idx="5">
                  <c:v>Organic Choco Syrup</c:v>
                </c:pt>
                <c:pt idx="6">
                  <c:v>Spicy Special Slims</c:v>
                </c:pt>
                <c:pt idx="7">
                  <c:v>99% Dark &amp; Pure</c:v>
                </c:pt>
                <c:pt idx="8">
                  <c:v>Eclairs</c:v>
                </c:pt>
                <c:pt idx="9">
                  <c:v>Orange Choco</c:v>
                </c:pt>
                <c:pt idx="10">
                  <c:v>White Choc</c:v>
                </c:pt>
                <c:pt idx="11">
                  <c:v>Peanut Butter Cubes</c:v>
                </c:pt>
                <c:pt idx="12">
                  <c:v>Milk Bars</c:v>
                </c:pt>
                <c:pt idx="13">
                  <c:v>85% Dark Bars</c:v>
                </c:pt>
                <c:pt idx="14">
                  <c:v>Raspberry Choco</c:v>
                </c:pt>
                <c:pt idx="15">
                  <c:v>70% Dark Bites</c:v>
                </c:pt>
                <c:pt idx="16">
                  <c:v>Manuka Honey Choco</c:v>
                </c:pt>
                <c:pt idx="17">
                  <c:v>Drinking Coco</c:v>
                </c:pt>
                <c:pt idx="18">
                  <c:v>Almond Choco</c:v>
                </c:pt>
                <c:pt idx="19">
                  <c:v>After Nines</c:v>
                </c:pt>
                <c:pt idx="20">
                  <c:v>Baker's Choco Chips</c:v>
                </c:pt>
                <c:pt idx="21">
                  <c:v>Choco Coated Almonds</c:v>
                </c:pt>
              </c:strCache>
            </c:strRef>
          </c:cat>
          <c:val>
            <c:numRef>
              <c:f>'4. Popular product'!$B$4:$B$26</c:f>
              <c:numCache>
                <c:formatCode>General</c:formatCode>
                <c:ptCount val="22"/>
                <c:pt idx="0">
                  <c:v>8233</c:v>
                </c:pt>
                <c:pt idx="1">
                  <c:v>7981</c:v>
                </c:pt>
                <c:pt idx="2">
                  <c:v>7623</c:v>
                </c:pt>
                <c:pt idx="3">
                  <c:v>6943</c:v>
                </c:pt>
                <c:pt idx="4">
                  <c:v>6896</c:v>
                </c:pt>
                <c:pt idx="5">
                  <c:v>6787</c:v>
                </c:pt>
                <c:pt idx="6">
                  <c:v>6713</c:v>
                </c:pt>
                <c:pt idx="7">
                  <c:v>6594</c:v>
                </c:pt>
                <c:pt idx="8">
                  <c:v>6559</c:v>
                </c:pt>
                <c:pt idx="9">
                  <c:v>6452</c:v>
                </c:pt>
                <c:pt idx="10">
                  <c:v>6381</c:v>
                </c:pt>
                <c:pt idx="11">
                  <c:v>6338</c:v>
                </c:pt>
                <c:pt idx="12">
                  <c:v>6218</c:v>
                </c:pt>
                <c:pt idx="13">
                  <c:v>6214</c:v>
                </c:pt>
                <c:pt idx="14">
                  <c:v>6146</c:v>
                </c:pt>
                <c:pt idx="15">
                  <c:v>5994</c:v>
                </c:pt>
                <c:pt idx="16">
                  <c:v>5964</c:v>
                </c:pt>
                <c:pt idx="17">
                  <c:v>5925</c:v>
                </c:pt>
                <c:pt idx="18">
                  <c:v>5351</c:v>
                </c:pt>
                <c:pt idx="19">
                  <c:v>5256</c:v>
                </c:pt>
                <c:pt idx="20">
                  <c:v>5173</c:v>
                </c:pt>
                <c:pt idx="21">
                  <c:v>4365</c:v>
                </c:pt>
              </c:numCache>
            </c:numRef>
          </c:val>
          <c:extLst>
            <c:ext xmlns:c16="http://schemas.microsoft.com/office/drawing/2014/chart" uri="{C3380CC4-5D6E-409C-BE32-E72D297353CC}">
              <c16:uniqueId val="{00000000-ACB0-4844-9CE7-013437A4FE1B}"/>
            </c:ext>
          </c:extLst>
        </c:ser>
        <c:dLbls>
          <c:showLegendKey val="0"/>
          <c:showVal val="0"/>
          <c:showCatName val="0"/>
          <c:showSerName val="0"/>
          <c:showPercent val="0"/>
          <c:showBubbleSize val="0"/>
        </c:dLbls>
        <c:gapWidth val="182"/>
        <c:axId val="862591624"/>
        <c:axId val="862592680"/>
      </c:barChart>
      <c:catAx>
        <c:axId val="86259162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92680"/>
        <c:crosses val="autoZero"/>
        <c:auto val="1"/>
        <c:lblAlgn val="ctr"/>
        <c:lblOffset val="100"/>
        <c:noMultiLvlLbl val="0"/>
      </c:catAx>
      <c:valAx>
        <c:axId val="862592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9162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M).xlsx]Sheet10!PivotTable18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Sheet10!$B$4:$B$16</c:f>
              <c:numCache>
                <c:formatCode>0</c:formatCode>
                <c:ptCount val="12"/>
                <c:pt idx="0">
                  <c:v>3903</c:v>
                </c:pt>
                <c:pt idx="1">
                  <c:v>4049</c:v>
                </c:pt>
                <c:pt idx="2">
                  <c:v>4351</c:v>
                </c:pt>
                <c:pt idx="3">
                  <c:v>5065</c:v>
                </c:pt>
                <c:pt idx="4">
                  <c:v>4113</c:v>
                </c:pt>
                <c:pt idx="5">
                  <c:v>4162</c:v>
                </c:pt>
                <c:pt idx="6">
                  <c:v>5101</c:v>
                </c:pt>
                <c:pt idx="7">
                  <c:v>4550</c:v>
                </c:pt>
                <c:pt idx="8">
                  <c:v>4956</c:v>
                </c:pt>
                <c:pt idx="9">
                  <c:v>4377</c:v>
                </c:pt>
                <c:pt idx="10">
                  <c:v>4477</c:v>
                </c:pt>
                <c:pt idx="11">
                  <c:v>4314</c:v>
                </c:pt>
              </c:numCache>
            </c:numRef>
          </c:val>
          <c:extLst>
            <c:ext xmlns:c16="http://schemas.microsoft.com/office/drawing/2014/chart" uri="{C3380CC4-5D6E-409C-BE32-E72D297353CC}">
              <c16:uniqueId val="{00000000-A416-444B-9E94-939BDC9FA9B9}"/>
            </c:ext>
          </c:extLst>
        </c:ser>
        <c:dLbls>
          <c:showLegendKey val="0"/>
          <c:showVal val="0"/>
          <c:showCatName val="0"/>
          <c:showSerName val="0"/>
          <c:showPercent val="0"/>
          <c:showBubbleSize val="0"/>
        </c:dLbls>
        <c:gapWidth val="150"/>
        <c:axId val="862594088"/>
        <c:axId val="862589864"/>
      </c:barChart>
      <c:catAx>
        <c:axId val="86259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89864"/>
        <c:crosses val="autoZero"/>
        <c:auto val="1"/>
        <c:lblAlgn val="ctr"/>
        <c:lblOffset val="100"/>
        <c:noMultiLvlLbl val="0"/>
      </c:catAx>
      <c:valAx>
        <c:axId val="862589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9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[Dashboard_Mini Project_Chocolate sales_(Divya M).xlsx] 6.Mode of buy!PivotTable9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2537182852142"/>
          <c:y val="0.23652777777777778"/>
          <c:w val="0.80341907261592316"/>
          <c:h val="0.60521617089530466"/>
        </c:manualLayout>
      </c:layout>
      <c:barChart>
        <c:barDir val="col"/>
        <c:grouping val="clustered"/>
        <c:varyColors val="0"/>
        <c:ser>
          <c:idx val="0"/>
          <c:order val="0"/>
          <c:tx>
            <c:strRef>
              <c:f>' 6.Mode of buy'!$B$3</c:f>
              <c:strCache>
                <c:ptCount val="1"/>
                <c:pt idx="0">
                  <c:v>Total</c:v>
                </c:pt>
              </c:strCache>
            </c:strRef>
          </c:tx>
          <c:spPr>
            <a:solidFill>
              <a:schemeClr val="accent1"/>
            </a:solidFill>
            <a:ln w="19050">
              <a:solidFill>
                <a:schemeClr val="lt1"/>
              </a:solidFill>
            </a:ln>
            <a:effectLst/>
          </c:spPr>
          <c:invertIfNegative val="0"/>
          <c:cat>
            <c:strRef>
              <c:f>' 6.Mode of buy'!$A$4:$A$9</c:f>
              <c:strCache>
                <c:ptCount val="5"/>
                <c:pt idx="0">
                  <c:v>Convenience Store</c:v>
                </c:pt>
                <c:pt idx="1">
                  <c:v>Online</c:v>
                </c:pt>
                <c:pt idx="2">
                  <c:v>Retail Store</c:v>
                </c:pt>
                <c:pt idx="3">
                  <c:v>Super Market</c:v>
                </c:pt>
                <c:pt idx="4">
                  <c:v>Vending Machine.</c:v>
                </c:pt>
              </c:strCache>
            </c:strRef>
          </c:cat>
          <c:val>
            <c:numRef>
              <c:f>' 6.Mode of buy'!$B$4:$B$9</c:f>
              <c:numCache>
                <c:formatCode>General</c:formatCode>
                <c:ptCount val="5"/>
                <c:pt idx="0">
                  <c:v>1734313</c:v>
                </c:pt>
                <c:pt idx="1">
                  <c:v>1688498</c:v>
                </c:pt>
                <c:pt idx="2">
                  <c:v>1497123</c:v>
                </c:pt>
                <c:pt idx="3">
                  <c:v>1934446</c:v>
                </c:pt>
                <c:pt idx="4">
                  <c:v>1400209</c:v>
                </c:pt>
              </c:numCache>
            </c:numRef>
          </c:val>
          <c:extLst>
            <c:ext xmlns:c16="http://schemas.microsoft.com/office/drawing/2014/chart" uri="{C3380CC4-5D6E-409C-BE32-E72D297353CC}">
              <c16:uniqueId val="{00000000-9A64-46BE-B992-C954C806E0BD}"/>
            </c:ext>
          </c:extLst>
        </c:ser>
        <c:dLbls>
          <c:showLegendKey val="0"/>
          <c:showVal val="0"/>
          <c:showCatName val="0"/>
          <c:showSerName val="0"/>
          <c:showPercent val="0"/>
          <c:showBubbleSize val="0"/>
        </c:dLbls>
        <c:gapWidth val="21"/>
        <c:axId val="862583528"/>
        <c:axId val="862578248"/>
      </c:barChart>
      <c:catAx>
        <c:axId val="862583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2578248"/>
        <c:crosses val="autoZero"/>
        <c:auto val="1"/>
        <c:lblAlgn val="ctr"/>
        <c:lblOffset val="100"/>
        <c:noMultiLvlLbl val="0"/>
      </c:catAx>
      <c:valAx>
        <c:axId val="862578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2583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Customer buying location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 lastClr="FFFFFF">
                  <a:lumMod val="95000"/>
                </a:sysClr>
              </a:solidFill>
              <a:latin typeface="Calibri" panose="020F0502020204030204"/>
            </a:rPr>
            <a:t>Customer buying location</a:t>
          </a:r>
        </a:p>
      </cx:txPr>
    </cx:title>
    <cx:plotArea>
      <cx:plotAreaRegion>
        <cx:series layoutId="regionMap" uniqueId="{5194E1C2-59CB-4BAE-B9E0-27F02963AB8C}">
          <cx:dataId val="0"/>
          <cx:layoutPr>
            <cx:geography cultureLanguage="en-US" cultureRegion="IN" attribution="Powered by Bing">
              <cx:geoCache provider="{E9337A44-BEBE-4D9F-B70C-5C5E7DAFC167}">
                <cx:binary>5H3pbtvI2uatBPk1AwzVrJ08OH2AQ8pbFmdxJ306fwjFcXPfd17Ndy1zZfOUJScWpTgyMJrBaNSL
YVNVfKueeve3qv55O/zjNrlbVS+GNMnqf9wOv78Mmqb4x2+/1bfBXbqqF2l4W+V1/nezuM3T3/K/
/w5v7377Vq36MPN/oybhv90Gq6q5G17+65/ozb/L3+S3qybMsw/tXTV+vKvbpKmfeLb30YvVtzTM
lmHdVOFtQ35/eX3Xv/grr+KX20/o7y/xmrusfuHmbdaML1/cZU3YjH+Mxd3vL7c6oS9f/DZ/1w5d
LxKQ3rTf0JibCyVspZQp7fuP9fJFkmf+5rGh2MIiitqWZZv3H/7w8utVivaH03VP1erbt+qurjG8
+5877bfGgvn465czcatnRCPgA4zfX37Kwubu24ubZtXc1S9fhHV+P2XV6OZ6uJ9u7ufnt20M//XP
2R8wY7O/PIJ5Pr2/erSN5ZMo/zv5usrGI6BMF1IARqE2KNs7KCshTFtyvkaZbaN8OF37UZ61PwDl
WYuTQtkNVm2zast2dRSkKZA29X/3HzJD2l4Ik0ibqRnEzyNqP8x7+jgA6j2tTgrufyfJnX8stmac
MWLZP9h2S3hbC0KITYSw1sJdzNn6cMr2I74ztgPw3mlzUmg7VZ4NR+Brc2FRSQS11mxtgn23oGYL
m5qMMUtuY3wwPfsB3m5+ALrbDU4K2nd1f+fnR8CWLTg0s8m42C+zJWQ2NLfJ6ZqN1TbEh9O1H+NZ
+wNAnrU4KZSxgPP07ggo04VpWwq+xIaF5xwsFjahgnPK1yjvMvKBdO1HeTauA1CetTgplP+8qxv4
fnVzVx0BarIwGVVU0o3e3WNuS8mofHg8g/qZxO3He18nB4C+r9lJIX+9qutVewTQ4UlzaSrTkmsp
PudvtpCMS2rKjWU+86QPp2s/3rP2B0A9a3FSKLurpllVq9ZvjxE0oQsIaU6A53eFvGWMWQuFiAkT
avN8Znc/k7j9eO/r5ADQ9zU7KeSvw5UP5I/A4GxBpGVJwjZiG1J7hrq0pQUZQNYCALG4dZxuHSp7
BmH7EZ93cADa8yYnhfR5tcriJMyOADVfWNyyLC42thpk9RbUfEFtwuBWbyz2WTDlOZTtx3qnhwPA
3mlzUmi7edKmX8NjMDbEOeJlilkb/2o3Bq4s/GPbbK9l/hzK9qO908MBaO+0OS20V2PrHwdrmwFr
Zf9EdcPXlhDxNiXfVftjIe4eTNdPkN5ufwjO2y1OC2Vk39rMP4IAh7Nt2Rblcs7LcmGZFoVcn/lc
7uGk/ATZWQeHQDtrclLYvrr7+++7qs6PoZ4R7FSUgYs36hmW1pZ61qEUHUuxNs+RBHnMxM8ibT/a
u10cgPduo5NCHCyUrbKjREjpQjBCKWOb6Pc8qyUWAusBnL2R2gi4PAb8OZTtx3unhwPg3mlzWmjD
8m6Owt18gSy1hKsFi0t/EO7e4m4dLicWUpzm+vncuz6csJ9gPevgEKhnTU4K6XdZnn2DU30ENc0W
JocpxpClXH9mUMsF4YpzIX/4YY/5+jmU7cd6p4cDwN5pc1Jovwk7FD3Vx2FtCuvLNKVJNzHQeYxU
odpIWIis/ahGeoz382jbj/iePg7AfE+rk0LdzasmWWXfjsDjqD0yCSWoQvgeFtsS5+Bxy0RSzBZr
ETDLbj6Hsv2I7/RwAN47bU4K7ZvbIEc9Y3icNKeUAnnOBxaea2++YMiDWt9F/kx7P4u0/XjvdnEA
4LuNTgrxdxnSIeExihcg0i3kORjZ2Oa7Ip3CD7eZ2BSQznyxZxC2H+15BwdgPW9yUkgv75JVv6qO
w9pUQUqbcu5+cfjbTAnF6HcR/1htP4ek/SDv9HAAyjttTgrmP1dVdXec2ApH4QJBDHRmi7OFIpQT
lIuvPzPBfThB+yGetT8A4FmLk4J32d6XpxwjeU20e80ogFwz6y7OCH5LG1Wl6+cznJ9D2X6kd3o4
AOudNieF9tmxTDGoZiC5AXqnZtRaIMTCFJGb8uFZwvpQqvajvNX6AIS3vn9S6L5Dnto/hj4mC24i
T0XIpuJoVy0zCGyTw+C+/8xSHofTtR/hWfsDMJ61OCmUz+r67hiF3yg1QKERA8o7+himGEJndFNu
MkP3YHr2g7vd/ABstxucFLTn2Nx3lEg3wp/Yd2fyB5NqXicKX1lxJDbMhy9spzUOp2s/xrP2B4A8
a3FSKH8Mb4MUke5NCOx//td/u99FmL24qnVk7L8/zP1Pd13+X9ky+K6pj7MpgS5Qq25SNhc78PVQ
uGx+9+dnYudwevavyVn7A9bkrMVJrcmLu+yuvjuG7UAXyLHZ5KFW0ZzDjK1jKGSmSmzCOrNq5WcQ
th/neQcHAD1vclJIv82zxscGj+o4239tIZSJPb4zG0IrGGJbku3f3f08ovYDvaePA7De0+qk4L6o
sJ//OHwNz16aqE5fe+9zvsZ+fskRwnvwCWbe/eF07Ud71v4ApGctTgrl1zqT+sOe0Buq4mTMfm1K
bJ9P8NQBDkwusNVIUSTJN3G5bRZHZn0h8Qxuwiyx9pi4J22b/UhvN58B7f579+CG7QYnhfPlKg2P
5iJwbClCyP0nFRJ8wQlhRGD37/1nBvJzKNuP804PM6j3ndGx0+a00L6r4hCa+gi5cjiEFHzM2K6i
ti0cziHEZhnMrO7LZ5D0E5jnPRwC87zNScH85q4PH4T3k/LxmSfuII9iSXysHzUuW/UQYsFtSrkJ
43wfRx9M1n6ct5sfAPJ2g5NC+O3qGw4IOk4SzUQylCM4u8Zwt0AZBRIC6bRNaH5mhT2DsP0ozzs4
AOd5k5NC+n3bZKv0CAIbIXhUKKIUfY3zTooFm37hRkNob57PgD6crv04z9ofAPOsxUmhDKexyo/h
VGHnp/afUbS0hnHuVKmFXG832GwgmwVLDqdrP8qz9gegPGtxUig/HJL3w696u8oCvd/7f6tjdX8y
HqM4LWtjcu0Wspkms7Dhf6PHkUd/XPQyI/Ph4d7o8X7Yd3o4APidNicF/bvsLvx2nDp0hLpNLu0f
ZzPMbDKqWVvgJMT15wHO9dbuw+naj/Ss/QE4z1qcFsoVDus8ymGXDOc2SM3SPylFRtAb9RBCbsS8
OSuIeHc4YT/BedbBIUDPmpwU0n+OOQ5APc7+T7WpjfjOsFsMDaQh2/WBS2uNPtPYzyBsP9LzDg5A
et7kpJD+iNNra1SmHiVqglQlVTh5Q9vZ+jPf8wsjHM60eEhlzdn6ebTtx3tPHwdAvqfVSaF+s8Ie
wRdvVn11l90ewzDnC2EL5DKQ0rj/zG00gSNbEEz5XrM62xd60yyeRd1+7Pf2cgD6e9udFP4f89v4
SLuKyP3OQBSpbjaJ7vK8jWNRqZCbtMjM8X4OZftR3+nhAMR32pwU2jc4dqnJj7VPFAJcb/pfq+t5
PA1ZTY4Ut0BJw4MceOyLPYey/Wjv9HAA2jttTgrtP/K0iMOjmOl0gVQHDlgTPznWWCJCjnAMf5D6
M8/7OZTtR3unhwPQ3mlzUmjfNHft16PsN6ELhgJHWOObw5XmKlwtcF4PUmJklvJ6BkX7QZ53cADG
8yanBfEtzu+4u21W345TgmQRThFj+RFB2XLIcKQLmN6Gyl5L8JlDhu2ZzyHuJ4jv6eQQ1Pc0OzXk
2zE5kmuGECnOn3+oM5xHznEck8K51+RBseP5luK+DQ6m7KeYb/dwGODbbU4K7T9X41Eqz1C7IPW+
MewRvf/MLXKJilOiCMeBH+vPNtQHk7Uf5+3mB4C83eCkEL7RovIYYXIUDcPqEtiPskZwrqvBzTjz
mkuGB1tsfDBB+8GdDegAdGctTgve9u+/8yQ+QjbbxD5uZEAUn5cf4QwP7AlmcKnX/tfcFjucop8A
POvgEIRnTU4M4iQJu9UxSlOw/VdwwdTchcapW/ChCXvYDDoLmNy0h1P0M4xnPRwE8qzNSaH8R3ic
aAldENw/IBnwvP/samI81Bv5N7ExPH8srQ8maz/O280PAHm7wUkh/Cmpj3XDhI0ztCScpbVA3rOJ
31aS2IiN339mIZLD6dqP8az9ASDPWpwUyn+u6gBpzGPtEaW4MQIq+YfZPHOccWCaxXAw/ZrZZymO
59G2H+09fRyA+J5WJ4X6X/qKySMYYdrWwv4dHC6/Zt25y6wWpoCWhi22/sxssYPJ2o/1dvMDYN5u
8P8Awk+TuFaE6yqtrW8+82JVpi9a1DeAILj5IIEf861tL0xiMXhSGyU9C3jNLjL9OVn7YZw13xrJ
/6FbUn++Hfr7fqblqlmd3V9l++gS1aef3g8X9+/Omm4MmL3VdZtnV99+f4nCHgYzF+7p91tydUdb
5s99YODBItpudLeqm99fGkpibzQiVhYsaWUJIsCCPe6S0o/UAqIYgOPsaWqhvOTliwxHKwa4aRdV
CCgTpmiE4zqEJSCo67zdPMIJiQL3iiAAqs9zsL9fM/w+T0Y/z77Pyeb3F1mbvs+RXK9/f8lgvhXr
r2lqceq10IWqGCXFRgNCJagrblcf9V40zMD/aL2JBVYxpldD1U/eGxmq7n3CBjnlTi5466KAwnMC
YZQXfdwGTtGknlNM8eRkQ5suQ7/x6KumDdrUKSw23A527qi64fSCFCRQgWMPSV6fGdVQOES1AXVr
1sbW17FoQ8cu42J6lZlRSm+TyipuvHqslypopz+y2P6qT4KN/2rTMigvOy+tB6fjcZQ4lWf37EPc
S/EuCvt2Os/7+EMRMTpc9lJl7x/f6rs1Zbd5MVahH2wuZ/7+67+QrsG/99f8/vijvtv5x28Xd7ku
76vnX9IL+/u3gMxmoeuFtPXLzsr+ydpd3x79k4fPWdjKwpr6+cJe36m7s7LvWz2sbL1IUTGh0+bI
uuAM5h8rGweRQOtgK+G9sYFtwz+WNs4ApDhuHYsbJ8DhRBKs+oeljVyeiXPDcLmGia3G0GvPWdoW
hOL20pYcMUYU6eHyFYVNy3jR46XtFVVSi2xilypNfFfgSLrwjGVVGjUOm/JqvGoULRunaQaxjKqq
dP0gCz8YLMs/yM73XkkjDNwoH6qrtij9ZYOdWOdtpdJlmYbnvRfZjklb+jbw279tWZcfclYOlwrT
0rlm02VuWMj+bSREv1SGQS9Hu8sdPkWFw1up3tRxfGlI23coyZVj5UpddF7jLw3Tapwhr4elCKNL
FdGzKCWJE0dN64AjJicv1J9RlIbLYIr9T4lvjMuQ8MntPZE6QdlErujDyYlkrJyS0thJsl65gd9J
J+TTVWhZ+VU42TWz3LR+Re2/ejst3snA9G9IlxvnbTOUryK7NM6Z78d/MDMZnVqa8X/IhAFMgR27
Q1iWThL4xlWV2MbZoJIrRiq69McquqiEGF/F3jRceFNaXKiiyM9VV48XmUFe27EZfi5EWn7NJqGW
/5+w6pbGfcxz2Kn7FJPOFPda72u5ft9uw6YSsXTFmBQKFoRNuL7MYq2AcMn3AtkUG7dfMCFw/QUY
eKOAFFkw6CuYHBvFtGFRYi1wHJzeWAg2JaixUM9hUQbP8hGL6jcSipvEkdCFIMGVOlo7PdI+CYmq
jPSxuLOI17T2GS14YSSuWXTh9FmItohX3KhEfZ6VYz3yZUMHEQyukXvmVz+reGa4OR1i9coOxNgu
Y9vIykus56R+m4i0MEYnjwdRfBVxEw350pAyiZjrK8XJnRrysf2YBFi9K8sShXfLUlbKa1+GZcGc
lIQ1SOGFqNJ3ATGbPlv6iajiwsl7kaZviBpLkOynKRlf05Rl0d9GDQZK3EeQbvTPYxUNe2NrjqDn
cSSqgNzAKbmYLi3mHs2RImnYBjKw7rw+z6Lyskl5wi8T3tWVupxqvwl7dwqLJPw7Mb2QeudPv54g
1rf9flx2pPenMYsBKRCz/f4pYhbYX4bfIhKzOHSbnAkGxW5To4zOq6H3q2ZZBY3PA8fgxlRk73vO
xpq6kEqyZ68aGWR17OR5ySpybQurxLOnidRWyg8rBpuecZkxh1PLJEFYEstym8YhCA0aVMz4Jo2q
MyGIJuWr8jyxeMNMJ6saKb/EwvSaq6ffO8NGvxdaTkGfmRSqbv7eoh1zlRvM+uaPWHPS6cwiqf8T
cI9mvtNHYRu+y7ygaRonCHJKpfP066FFZ8NWHJlyXEUFDxCVizPjzRddaJhDwL4ZKlElg+DHRsIV
GMlorvIpVMl1aJCcvGVxObY3cW2aU+AgPJFgUp5LCS69gr5F8tY24aaY2wDA0vOSaDSrb1z2YLnz
kciJxOei6tuan4WWx+WXqsUUlNAlSskvuTl2lX3WhblZ9L9ARSv2rdUgYHxYSCTDegY0bLYaGhma
0Rhn3q1nT5moLvKySL3xzIANaY8Xo1UNWCJPj18feDp7pz5f7Z5RYZrDgNmeAN+eImEXjfE1CGEi
GJdDE2iGSIc8qHO37SM+cTdM65EWzmBThokQoRm0N2kho9GFbqyyGzsN0ipbliKv6McUR+/XX58m
c9va5wq7/01dLoUbzCDDERjYprLtPasyy2n4OlRNhUVgtrEJfMyhZ8Jwhop1xk1B41IzTdPn+kdY
+O0v8NmZLBxCiOtPUYmLfepI6M/JsEpaN2Mt869ZIgzI8AjSa+qdbjSbUbxmnoDcr/22ildpJDJI
1KpIKyIuLSMyutgpA0hbLfnHAK2ycEq613yIizz9hVjRZuoWqtjOxSTu5lUWAqi462umnwbWZ4UN
E/Jr7VFppGdRUxdJ+76cmrDI3L4cSxBnqLTDs3ws03xcWvE0Gjd9UXhXtV0lke+m02SOr9OgzBrP
yXDcite4rTCN5KNMbX9KXVQ7DRCJ1IhGkr0yJztBr3Ho9bCynsZfnwO4NSBcC2+h7hG7TJk227Uz
uqVMUijILuuKL0rkIhJuYVoCS9HzWtuuXDIpA6LdG9fSM2k5nrX34qQgnoVHQ98wWZ63Pfs1D/G5
FEeiAcYInAlUeGjena3OeIjr1Avy4ktRgYvKM1bHFn9LScDG16xuR0yH7XXJ9DkNhnFUThtUfRm4
EPi9/OiXk2dcVimPps+V0dby2gqlNhAG3qWJfRG3QsOT18zGEho7JbqPRRXF0+cpkXEfO2aSaKUV
YvYBUJ7ZAf7I4DBOn610GIAdE9GIH/Vk+o21LETN6nOpWo1dPPghDIzy/vW2BaO8h00/ROgih/EA
ykMj07ZBA+M3Xg21zMri3O4q0t1wlk/Nm6qKvcpJkrSiqWv4Xjpc+hzK9a/Myjz+uTM7gkWmLB92
RldmOUyUp9fGXGpi9hE6VogzcSVxg9JsaTBvzHxiF8mXiaR15TsDNVVRO30e5TDv27KHoHj6jXNp
RHFbC84khd4m2E2388a6MuugT1n/F5tavRj7lmvxR2sVQ3nLrhTyixexCYuwp21T+29xPK3COn2a
DO1xbjEFU0hYYycXFdSkCI/PRj6xri0NW6afU56lDXOavBXGXY64A6RRENcZOas8lYfvu9ryIXGK
QOT+mW81FA6RpVSfdE5D/fJ14lnyZmBVYsFl6onsPjaWYYZuKaYhf41FZAZOZHIvhA/o4RQXMHtg
Yh3mXQDr4sqL4kZzfoeU7DsKfV+MDosrNnQXT494LtcsBgUFcwOj1lFF+ATbYiCWXpD1Za0+dW1m
wogVVUVhxHaTXrfwqjm/DEg/YNkOsc3ww2/uLVtDFnpJszbqqXfjDVIvaVqGU1pdhgVlWkSWU22S
8zLpijq8mMQYg+u8PtU2NRmtFNypSAk2enpIdCbZ9PWrFtQmpBoQJAhpbQ+pZFk65VFGP1lNwMBb
TeFrAhqDtZp17/kYx+KMoM0LBs3ikJVapFRFCUVjBARmPBmE/lNexnW8SuxI8cuwT/Q8lGOfy2uv
HPCtMGB6iKOfyvo8NlTFzgur6ljtjtAXGO4vhjazMjE0pNpxPgRYxRQ4QmA2tGaIiUrafPzE/E5L
qqYqsbSmZArz28a0Ypo5Y5OX02dFM60fUyMnAGSQiHuMZ1MqSeOf28xo+0+wUitMR68ihtXHugnS
JAsNG0uM90mhpVsLsXkZ0qKHWGtgkeCFYeOZ+A0+FsFUpD7HVDSNCozGFUkbgSUCm0b4bT0/WhTG
q6cnYcajuk4I1pXCZYxwO3HU4IxHST9xOcrS+KNLVQ7psDZvaWANXezCswz87FdiYaaO9Cs5g2GP
88/wH6ym7RVlRjms1mJQf9QtwQppxqbBgoLux/zwqOC5OPN6Ix9qRyZsxIQnnZfBZIHQwyz11ZA0
75WsLS869xpuQRiAIbuPFSL/0ACpAcZvhgyKagObX/YZpnJIrAy8Ai7ScPjxoIEwopDghz1GdvfR
zNMclIg4hm6KZaP91KdnG1dubMtEDF4rAQgJQnBm1I5HBXOwNnxzGP8IglEmntO0MStcrze96FrS
iVfjWRlUsrAcbKmyo8BBAC0sX5lJywbhFLB2jNeVnxr8rZcGirllnw/+rRkm5mXvtVwuY5XlyTce
JVP1Mc1lWq36iST9O94Rc5iWVpTZonBL2I91e973wuquqzLwhtyRqZmSN8ysiL3MssombjQ0beU5
+WCVU+QEWVfxwfWHuAMzdFPVj4kzGCLi0TlOs2/5jUyakfuuOZC2by8Kuw+IB/vN85urJlCwzFw1
Jf00wa3FUiyuhnj0Wqesi0ied7by2VKkxjD90cuchp9bnvjekvGGEneEf5qPjvSb2l7aIe1j1xeJ
f4nNKs2yzM1+eu3ZmWlekJ4E9Nw3aiswz4o4T/mnUXR+bHyyc3MY/hiagTVvjbrJjI/QGKr9Jiop
q0+T6vwsd4o8J0H9wR6mJL7wQkQ3zqecW2nu2HHOaOCqaqpL6ytJIyv7FtAi74YllspY3tlt0/em
Gyd9TaLLxstKYS3hB4hEXnipEctrRHuNOL7oZEHrJLgLrIw1mOUBl51X/O3E8g5LeiJVXQQfmDQb
aZ5lGS8KddXaXhgkbzIxxKV/FnV+03dveuH5YXju8bRvxUcvo6y8khEPfOsca0Wy2Cm6yYRaT2or
7G3HN7gsm2XgVVM0XvV+bQThRR+m0DZubPccArYrwlb8JzdaKeorLI7e8NyewWwh120Bq8t2mpFZ
g3yX4Dg8/GjWfzTCMMEz04ZXX7lTXvPy69SWNu1eRbIqfHpJBgNpG3eMRNyqiyGLSJo4gndaL5rC
CDEcnwkoldXgjcjMupEIbOG/G/uiL9T7yDOiPjlXMTNocRW3o21172TERGg7pW3rmISqGhHEn5Xv
ecb0mvOkxkwZYwmR/RZSuwzEa4N5lUrekLAMSfI+ivrI8s76CILAP8tDVN5VLkSWJmnsjMSkZ6Yf
jGG5NIs4qqxl1piGyP5DfZrhfWmU2Pan1rfK0q3gemNmqdWG0CAukYHuBPTDZHHK0tY2PQ9qjN4t
ApIxeR4FvZ4xljQxfuR10Bg3Waq0yOdd41vKtfsmxwKYMtgbF41dpfhesR5q0IgJ01dGuJxVQZfU
Ht6WBAROZkZCDQ8peEDFnyQZ9Dxn3I4QSzJaowIURhZbAb8rSzg05XkVhrC03N4ioyrd0ApEawBB
3pbt5ybK2jDDfBnBlF8gfcTJ8NaKlCY5BNLFdCOxsvAGhkflV88Y9AKTlaGRF6OBvyV2qqem6wi+
ChVrlT1o6LIar3U346kqxsqvCLgF+JsYilzexIJ7NnN5byMA5BQqwPH7Z5vV4021jS5VZOjBec14
PxktVk3lbmxcW0xC/8ZqEb9lZlgZN5upNtZff5jk9fcQKaDxW0WLFASQzAi6r3Eoi7C6CDM2YtAl
nQa8y6fMD80bOOB+bjtiDVQ+dQ2WGjzvtvKvMmKPnnBIHHSjfGenbY5Z6mia4Cu0QIytchHm8Drb
ic1RG71+Kij+mCjfLL/a6xnMC3AQ5Np6TAEN4aO5RZ7JnlyOraW9c3MN7Xp5SC9OMD+Sh2hxJlSi
Bz/IMcA69UmlXxPwQOKPY16aKvg0GSFvm1cYKdPTu15IUzu2oBKD1L2QsKrRTqeAsLrqJtCkryfU
mPoJv+QJy7k6M0yRxdHVRIUaigvfRBDJPOvDNgdP25GvIx91D3zDDmmhr0T6GZZPLWCxYvBVB2P3
XY1Ytu6QdvoH73wLPxIkMPGVdBKa/qyVftB/ahM/8cPzzLfQb1Ay4rPLuB4VaV6z9VoJo9pukPNZ
T7kddRXIGUIWoxNogBwvj4owhp7vSDlJEzVTVWR1y6I0mix0zdr38HIRBTlcpiYpENtMEDBAyAYw
Be2Vyn3Nzi30K/4Wj62MrPMYxuIwvmJ2nQz5ZcNzM03dxOZJ2jle7SNsiBskWnw/aMoaP2A0iuQ6
LVv8f0x7xO2E2ROEikrE8pPrLm48BAX6KsLbSeDn3WeZeQO8AG+c9NrvbYjy6HxgJYWEsaogaa2z
JIWKTc8GI/Ps+gobOatp+MuUQwR54yc4FTW+3ISToyYJqui8DRL4u7cjrzljl0UUYDou2D3PlLmV
YMJqr0fG6TNS2XnffCpZH/TyslkPfbD9GlPEimGKMaLY72txJieTQMo1FdfTR4ZCrxrEq/QSX8dP
rTruMQOkpXq8TRhS/KiwwPH9MkT00XDCZEJcGbuU4sx2ELIYZfqWFaTCN+RItA/bibbGuloHWSYi
kso7b7Oy8uiV75UT+pjWoTcPbjmihqXgMUKUHonh+qYpfKfMbRIEJsTrNJaanxrehwjC+7HVQFQy
6Y3QeUib25hm+Hp68tqQ6VABba0YsfgoyXw0r8YEo/yrh3nmGa96r66q8NpmkQ5S5i3U3VsVe0w2
HzjCWKN3NniRMQbnsi9EUi8RusDFMI5CEEh+4T6yuqUDZWgD/MngE0Yls1SrjVR4erlVtMIZOsv1
TEZNjkg0C82Qda/6SaSe+hBPbW/cVDCmEVWYitKWXyBvsb6MvpgwAxHOb9DLqMgMCH+4lzpKlYSw
V2FZ22neF1+kPQYl+cqHRCbXUpbF6J1zmteN8XcfkmjwzqDRWCKcOkH823CthKjqMyKSfdz8Yfpl
5PuuJ0YWDB97Bdum/GZ3YVfSv2rPQmjioorbLrVdg051/HniLeW500I7DHD2CclhUypUzbakxSpP
I5u6Hf5oqM5RPTJTw3IzkjWWZREhQOzi2IlRD+te3CRJp+WfPfpamsD618wb1qn+RnYfvfciqv+G
y40NfGP0R/1FjyE6kZ7Bc9e5jTDxCrCyD2vRu56akRTIF/dKcyXSuniyWbKwKSGJsFNWP1qH4LU4
NXy3GsaKKYfQyrTet4Hy+9zpzQwBez5Onk2v+jLTXO4bkw4HIm+sg9ccZllzVU4m1jc3kX+4RtxS
Ux6HyDR+2bxIVDZUWomlYtysPbYsjCYVO1FWtBw1HPcCK14HGkuL6GC0kZQ6CFlXsuJ8mfppmaMC
pZStcdOGosCYmx5ZvO5VSH1txgV8wDtUl2iy2nuGM/IYesTxRKuZvKA6zbjM+kGvSeVNNA4dEdRZ
mp4FUQJuPF9PCOLAWujF+gh0iPeaGNHrgLJEWb8IfM0cel0UgXyrLuPRdbc7YeWgQTk24tX0Jshz
CaqV7w/ghj6HmC0Nrjko6RB4CZwuLDXtv/Dutn07/XqpczW4RRXbc8C4245t1Q650dcKoaq1aIwQ
AwYV8APASU+/ahZABzfhzDO9DQghK/xfarf+UfKyt+LS8mBKPqwRMx7y3C0Lj/N3ykbOChJZBhrU
NoyAcM4rDsg2wvFpWrZDCDi7B+sHNwZj8EiHY53TbVq8jlGEbyP/xkZWTX4JBdH2eF1j0+HZlMN0
/tU8774QJdcIHEgLt2AA61nMIg4qkySp6X0shwyKwo+h8a/UGEPMbTj76QESHbb7kfjSI0Ts1hQo
obFQGMbngcwhibifNYn8uJEYfTDpoP0o2SjE+cBrqzuPCm+qPrQ9G6Nl2mZanrMKosGoJw599AuK
tlc6KIIrZeF6OIa7IHHq+DwtNtqm0auRlR+TNVP1sOvA40Mbe5DrodWFgCDg7QjOtBmUA0wLI9CE
RAUr28ntSnj25yJluTCdAaJldCHqS3wd/OGR63Bk8Cfdfp3PKtZi9ulBzGEEcNxkqKPFWV+E4JK0
7XUDvVs2dDC666COtWSa7g2hArVF7YfRsFr+5vnvE7jq/L4SFGf/zoKzaoA1Qi2zvd6ovcEPysgx
c0jW3Knq0H9WaE2g4soiKEMEY6D+H9dpz8QB6z1Eorswul6rJRjJGg0VJ+CLrC61wnh6gLrDR8sU
CwLpJw4ORD0KjqmexzP7cRrCahLxpcqMKhauSlPFvsgKDPMrFtx9FaCzkMGzODx9FF9tY5d6NB1b
X/qXa1OkE4iOYB3RMsWPp0e1KcV4NDDECvEqfV8iytdQ0zlPF5om8jIqDOqLaqJmUJ9RMehqhBYb
3dv873rKkEN389pHbNV2Um+Ct+g0wm9I+hraGiU4vpvHBSI/byhH7MF8n3rC9/PLEbaByK+9IYzJ
MLoeRcrpr7osU7hBVUR5Vp6lSTvRxjVzU9bp0qoEQm1v2EByJt/b63xeLOGMsHdelpJyeBv7QWej
ZKbtZEgQE4lQqnEJR0OF6TIxogJQbAwUZaBZ4MRrswIWugVlIe/F2NrViHsTorsPUgrRDddQmwF9
Rw0YtDm14CdktMUXYGLJVl2zOtHGnLG2bQokR8HtZmGRKXTiuklR4pbVlZ2FS1moJGqdh5BHCbUZ
OBtD5t6CQmatx/xOpaWVuCo7RJbgW8SSnhVWjlemMbyK7pWJbEXou8mQ1vCnEM9PouQTg9lrs2s5
NjYvriJpGjoYUHcV4qzj2g+z+7Fm5TL4X+x9WZOduLbmL6JCDAL02Ax7zsE5uDL9QmSmbRAgEBIC
wa/vj3T52D51T92u6H650fXmsL0z2XtLS2t9kxojALsCgYnAMiR1NcZ9kTqmL2cikgEaX+rdsoHJ
aM7LARcsDA8Uar+1fwDfsDFa6AGJF173owaJ8MAl0OYygwgJcoJdpQbXrVPhoun8umD01PGJhnb2
PrnULmN8DdiskB86xuoGWsBOOwSTMK4Ks2MKLTG49LzrF3y32Wy9VS0JcYBMTClaM5fG6RIsxXxp
mB71moCOnjmmaRYr8KK8InofkHacX0MimqXKigANd5eIqBPqqQPy4pgk/ka5/VGLBvDhZXiJBep2
veuqNvQMuuj3PgvA99YnLt24HTrflkb73g12UdtgZFMMihiZTIqEwkUlK/sIj+E1jZfMjTOxBxTx
Pr6XHXPaneC0pElVlvM9XTits4XPxZ4Hk3/gxF+PQtnpACSjv4tU6KWW0eo64mNLgBlP6qHAoj4E
Je11gt1XvdZKtk8l4X1mmVtgFm39cY9hF5CS19FzLMmnvsF27GYZXsKZyywKqgrfLnHUro5skNc9
Nzdr3Y4kR1c+5vFCfOgydSjeKmnuPTeQZxU45VlMesypBgQN7Ut5mHrDsorN8YdIVgN4fcmRND4U
WVvJMlmCrstowYZTvHpitxQdWOBO0gA/Ol66NKi7aDfjRx5jzGOvyvZmD91D8XlgTbtvrNuuycJq
uqtq0t9LJFquSQuIRieO35ePs13jl9bpKEZ5Ix7m2OM58UZyQrxGxZPecfxLAJhup0aN26XqqPgA
8JBDrzT67LMLqgfzjCvdu8mrK76TS+fkrhbjnZ4CAA4oBZlerDn5Wi1NQsUcp0XEiip+4pPHliMU
COZNe0Ht5r2RI8YcLqolmXwaf4lHCjGtUzjqJBjkCFngjvUHO/kN5iTRn6ke3SEt4qp/IbWWF4sU
x7MO3W2FFnTjUMtpPlm0s1ckaqYj0G/nxBu/8rIY1e+zO89+l6xr7FYYm6XzPMth/jI4jk097q4v
Wte9B0WBhHxwXTVWbtXKNoFiSplMrnNjT6EphzIhruTXixuhEGOkSqfZb/1TEJNWnpQd1M6TxjvT
VtgESO9HOi9vxBTFdeBi+0zajBmgRcKT0oopyujS+3kQjd21rAL1vEiLngxC4rHUiWmggWjSiJdU
Jo7xgxcw033ie2237wEUJB4R4wfrds0HXS1jkzbjWD4O1TI8QWAvvGSwxqaFq2Sd1Hg+MK4xMDds
PFutaWDj+ZZ5umrTbp3ql1rINQHJIz52PR8SKSf3AwOJcJSeilOjSHEKeBe86Di0lxp4/wTaAZYA
gD5jUhhnwERqyksYOz1PWrdhL8pBU5PF6M/qhNZ6uA3nsNmh0IdhyvgaHUa3r26h04G2Y67Uo9d3
cj8Z6+5rOYUvyi8eZ8zJj+sg1ng/yGBJ6kGUXxZ8IPtqjIzJ0QYu96NitEhUMICxbcoxIdU0HUPW
yP2APtRNykizR9aN7NW30n+oVdG/Tuu0fjFY4NkU9d5VAGHBnuCkyAY7jPfoL52Ezt10cZRuPq2k
7/Z+6xZQZgFOvq4WEuAss6hIpOYx8CDahAekThWp1F29b6hRj9B2+Xj+yTu5pPN3dejrZ+Bywy3r
KnVwl5bdC6HWc6nrAZpplFyMwYJfdwEZT8oE822nC/Wg4jh485sJxcEbluk6WAQ2DzCtG9cfzdmq
aD7y2fowaJi42xehCDKMx1BYAvZgx9VRxaUoKvVh9eLqMQZ08jys8fiAA788YLNFV6vrjNAwhXzX
soJewHC7fjoK1mbxunQ+1rvqdmvp9LcNIPjb0vZySKEMITs118OzHE1QYrhe14tigTlDqNQAHRD9
Q+mvDBr0Utjcj5r44ILzSye5BjfxVPpA5pXz2Sk8aNAuCw1WztJFWPS6WWQAaceXhvpTNOakV007
Ji2TxWV2ZHkLlKW9doKl+9iO6gWvKQH0cvejFuhgahPV15bVkF9S6fIT66X3yTiFmdO2mskVpD7m
kXvTNOwrr/WDlFVudA6KXsU7RkTHTgIOmAw8brAmE/juLGariJJ6HdmUCL/ornsHfP95cYYIn3VI
5lFdBjaB6HGtcudjFwzixreB8yHqGJdpaFXV5xWT6q4u+SRyUL5LdRa86XnmqI5ChFgUrrOHLF6v
d0vcKVPtt9aDZGywfds3+NT6uWxODWZy1aZuhM4lpcIU0xXQklqnvnHLhzla+yXtSRteINcr3Gx2
0SKeRwzi40fKMf0p1BElRxqicSo7yIoO0xhGJ+pZ0tUPq78U3pQsdiDMnDwUO3KMAzAC+wE3U6ms
mjQ198wpmxoKnLJlKlFOUbZN6gTM3nMfqpnEq4L2Q7+4zrqfMWjWKYkGj1xmVtsu9RRw/KuoRTnN
IJBbsx7I1qn2Rp6GbtScRmexur5pF1ghVh8ff0esyIDTiGZTaUmPiptxDOp4zJawDlsPALvusR9i
0JupcRdP5IFr2urSVGBnE9EB5k1XWBi6xBcLiJ/I1M2h4wHt8xJE4VXDAZNmteX24JeBG2e4v7KK
AInVyj02pZKgIw2NlsSbwX6HozdeO5TZKBV1EegkChofUBwwu4+udNTniaE18ZVcvH3fF66fl1Pl
GS9FC1c5fQpuHlK0OYmq8G5xgj5CY2bihbcpKumI/9ATh1v+hiI0xGFeyVYmtBxcy/JGRG5U5dKz
PaVXrjOF5hFkrigO9RAHL+U0fVrXqnwsK/mpZJLWCcYEcT9D25EXcaH2BIcHQZEIFeivaD23i9de
K5+b3VQplspBrjKJINOUiRBU3KuuDTOlwiUxMQ9QX6dRvI1lse6ivgWNV9riCgxjTFLX6nnIVhw2
wS3TlX8fQUCkMj4B68F6wIJJoIebP7u9hDNr6HSc6ygqL7hfpb83gx7L3NhyKo5AjcsocYRlR9HX
Q+Z1Q7trhoLedw1xczZW/bkpqHPlNTY4exKkZV9qkNcMY1HmeQViMUxk9qv1vDbBnYatyAibBp1L
N+yvoR+cx6NUc5EwPRObDk1Zp0GoJ5kwVxTQkEIQaY46xJvLF4Dc92uh+OcCvPewr8GvZQqbck7W
pVHXOOVx+POwaTNeo7/AIxR3OHX4zsAdlZpOVh9rXrqfgLzZHUQ7bN8TJnaRjOpbpyYqnURYPZFO
PLY1lGAlBrdd5BX1cz97Y59Qv++ffVKok/H8wiaFsnWccoCjp0J6eNMlAcLN7ZRi2PVvaowlp2l2
+VtT+dGnpijdp8b158sE5jajcuiPPiDjjwDfvWarabDg+TUZrsKi8NG3ojhuizB4C5ptGF46sZ3a
1tOv/RQ7PG9DDiIUYHIfHjva8T7VitsRXNPaAyyM5tpN/RZ1JIFRqqZXrdTea1VVY5N4LZ4hqduo
itMGPzcF/IU1US2SHkVovCgbKwg5FXqtpjwJ2Y+/S0xtVdpI3yefcPDOKmFOPE8HZ2zCbJS1c+AD
9R433cDOXafGJHxx5A2ltn41UyxxPGDy3PWmgBqqL6h/AXWnznKBqCRRJVqai9VGvjbeaHmqATNO
CZ9a+zaOC/YKNiXmNCOBYn6ewFpNCRi5Ke/qyT8BpC4hmeJ2RTMP2eiXABLSYieiajwHC+a3xEE7
MmZtMTg0dwYBzS9ZJ/px1G37HMnJpo32ddYSZyDXZo7ce7BrMYMqCD1cEo5z1e5nNFUnVL9uzu1Q
VTVaOYbWEyoOp7/2q9l1UlNsSrxFECpzJSc4DKBIwSJKg0pUddBMu3IKQaWIJq0bNGkq38bYKS2W
gXvoqf2uWJ86bbrmxuvdWWeYKooGJY2F/SpT5ZqyXfYO8eouuAmNX8RJ4w7cf2khG3W6dHJiWxc7
EGaNJVdN1Yc9SzFt20AmZq2ENmmEA5cuWQX+Km4TAzV3sGTdtBSiOS9x4fkk1QYDmLxtJ6BDfmIh
82Zmp4wc+BPsZkFfZjO2CmgUuHHg1ksmO/ThuCvRq3VHGE0d8VUP2k40r6B/El1OB3Bt9wXxwL3s
JYRSY5epJXBIfVsb2eB7CBzIpUwNJTM4gAkyd7z9L8JhEcHnqOtuyZisLH2iYJmq+29grSM3wmFs
2QaNem5h5RkO+426h15g40GwD9focxkUxIZ7KP5X7LfB1Yw/GzlXTpV0MYAuB5NtUc8hjgiU4/Gj
qQAoxJcRDaW9JjUjS5CaUpuh2a9gt/Bt4cir+/rVj003iYy2o1m6s2/w9taE91BZ6BSiF18U9/5I
JQ/zEEJV7p+IMcPSQ4fER/Q4mB3KYSdlXKMeO2OfNVAhXXkQc6F1lwwVc2EcTVQc7PkYiWWRQGEn
IKk8haTKtHOQl50NeJvLGYobBuyg6+PLitYvzgunDQuwYFPBpEncYGBBHi2rH+zB+4mPMjbtowN1
zZh4Pcxn8Dti7+RQm4jPpGvQZUH9Xqkm70PNqmxS0KnYZIUX8wMMQ2Z5V9mfGC+nWwp17AE4ML/0
pPDTxgvNVe0ui8ilLyDWmhiIYOm09zWzc3Qc0MJFid/JJUhsNzfdXo0EKkYby7mDOWdqPsuVFA1K
awAfc4hz1GSjvy53mjuzRYPgtDk6UEyIRS0p3aswGEVWiNi+OmthF5iYy3lw7+KGNzSbede9KQIC
O9H1hNGgW50J04iq3SpHO6H0wVS0mT6Xjt0QF3TUXpeuTVXu4NOaCmcnjBtDnOMNrEsLEvR9HixE
H1zdR8/t1AauTqPCK/sUgCKnmFCjRV8LXCJlMo9QMz5B+gDZBDSsUNml0HQMExok14OuCODWdYnJ
WyTBgD78yoJws8nsN1EeNWF7ckrdQ8puKMwV0NZJAemGtxidxR1loKScsdrDt4AvJrKlk/jQ1h0G
2Q51agCYva4QLGBtFOyDcUiP97nKXehKe7vgy84CVsQsr6Gt+OJAvATwsJblxUEZ1p8wXM7Vh6gW
auu6fI8f0MGEJxVElL+iRPrL3p+C+q6f/eIKMsnyc6lcfPLxvFrI1QoDZGRduU0kJ/NjbKm5nVVb
4S3AxgZ2OBI9qmkkYFZoKLtzAR9GGav7+egCtODZDG3M77MfwEdIGx0cuqCuIU9U9H4oyn43eh15
CpV2ExZBh1ipdoVCX69LAsvRcg1Ppcczz+gJpq62g0Ce8YlNxzJUUKfpboUctCxmi8dl7SaNwDSc
yi5avB0YIvCssERznZWTP6H0OvA78GSUEeSFfqkHNAXdoq98I82l9NwpzggtZbSDEEI+zDYaoToe
O7xLqAGiT4Gq4jIRaMBvBmfreDXCX7oEPfXCk7ApGOQozcCrDAd6DeUV4JLbVQABSNZQyjBvJgjs
Mp8Inq+DxWtKCjkdZCNCZpMvv8666nKv0DadR7o8R6gW09mOnZJZO0zxnaYKpuTRoXTAQMCBAgmv
v/LbwjvHVdtEkAkVi0iUW7Cz41Te69Ly5mQdqW+h1atTaMC8F7hiTAeeIWJLyqmuVRrNAV8yMy+1
ThALMBa5qXjcov4qvz3XrrfQ3RjO9KNTVNJeA7lqfIABvViSVgr3mTMoHhIBIcZ1D4UJyaOZLhgK
mAdXw1AQKnLh1tVDQ5F5kOLcRFeH/jyrfDXE2+cW3sz+DBja9/riOm6F/zRAZVEmk2mffS36JzX2
fYKUH2CPUFRCKFVOWPKtei6dmZTorayTOug8rpSBvUcDd/nUlQZu6RqbOlO8iW5GM/ankQ7weqio
uQAXiA5OQeKPQIx5hGVQhq/SW/3cBkTfTWrxjo3uRy+tp3jeujUiIJ3pAPFEWscH7VddmK3MQeMk
OLP7jnpTewe3LM8UwK1MYakH6eBTk6N9cc/d0lfQBs7uU1Us9okVo5tIbQisk7TJRdwWXyErJhly
t8fHGO3+3g0K97WHAv2J4CU0cSw+OEj+n+C5ia8sSP69nEbsuti8QKA83kpDliKJx5642AfrLSud
Bh2NG4g9zgPVYczQfhZHEKfg1Zd58NTvNcCOLLYYVAYkWqyJrdz+oxO3wX1d+YFIA6D6Ryk7F1QY
lJaN778tBui/yhsJPEi94oBqxJSBA4eL6QkTLZLJ71Sg+4DejHU1oMrrON60SWqA/xkiAbvUYgDX
AMKxvwkWSGmW/ezBq+Flfk/sWB2JqUS9HiHkXsbHgtuZvtEu6JtD3cdiDNIiUGR0sniiwaxQvBqo
WcBpQR9RM5eHJIPwzl3RNsZk4alqQkXs0SwWKGYSepbugqCb409h140oKoNsWtuijtGK0Ax9HnQK
mbOEZQlBSwCNFeTIaOOhqlrghcamgYw9oJCCVrL/QgZniXQGQhNCvVzLeWkqMJa8bKAWkmWxicix
BgfQIGVdrmT4MPnxiBGG+zZU6mMfz8VUZyBiY8x9sAxxW1/Xda9Nn+kZ1xe6OZG+0cOradbJXRL8
FMmXdO4DtGTJKitUhkMBP3PNUiDW2zsJwpKwdl+VdoqG341Trh5NeBE3+Ddo4aPQnp1RY2A+14su
2jC1hMXRtPtv6LlfDSIg/2CgZvDKbiFnbMsl/ZUK7AhmjtpK9kZquEj+YL29sKGgn5QvSqg953jq
REpEoLwoiRAfAaVKCx5Fp6Pf2eixfie6/vq5fmWX8VhI/QlhV2XgX6EC3zz4PyskOF1gTSp59LlB
sAPaS/FN+CEa1mIhOj3osv+GqPyVk99+I2zc+DQ27zAo3y1i4OffCNAwHgn8El/Et984fVPV+LRT
oOZ1VAUGIriJWAeWD16DrPz2VfwRbXL7jRH9lkLzc/TJz0ko/yeRKlf8TfW6/zr+e6bKLz/of1zw
Cobzn1bInxKF3gMOf86AcAnxN/oaf/fyPVEIl3wDyAZ3CuUgzMbfAx22sCEI5gOfbGE+79EN/0p0
CBCugqRH0P24mi4E645lAUb5PVLIRdpy7EPngOhtxKDE7t8JdcDFtFhAP9HgEM8gXg4QBJ4QFyJC
qvDrAlMBEN5xUcUBQSR9dVjmkX2J6WAeMYaluhftlEVW3QEvEejN9Ql0HveyFhr6+7UeP81jeVpU
8DJaBum1cS8tHB0Hv+aHxnpXDrbryt0CcqXygO380JbB/dgBN4Mgrt5Nnv4aOBHqKga+Bj1JBzor
Aamns36Yg8Rb57smUE/B4ImkrKDL54pmnmq+lj29Un2kk8oPH9dtqOVef/JrdCTNhq43gLRTQhXa
/K0JDqqcd1GUdK4VoAOQIQNBDiq09LIF40xnGaTTs3OrQwVPT1EMaI+6fvyEGR0umcoHw3ZpPQge
hadQvOcxMSFLy04/0d773Y23IaULE2cVCQxi6z5EQA0s4W3mtBtk24xxYoV9DrpwTHXbmV1dtg/u
6B4w8x5NP11Q5o4N6V5WM+6actob6d3WfrEm0RKcm8H7gnJ3KsemfFvWNkq9qRrfGjvqcw95VhKX
ZJhSRkZ8QjBe+DAxwkC7D3oezyld3fn32ptdmCjQxj4ird+/qrS9rcKwT5alH1PfDjdDN3tQ0oM8
hJI1mRd4IZPBbesXQrSS+CydzwKetLJURaalhGMvqWrhn8ugbZ/e99D/65LzP66YRAzH3H9OcUpU
39k/FZP3F30vJrhhfLO8Rj7UgMiz2OI/vseT4ZoFgDAIdCAId2AkxD99zyd7D39GGB3FNQ3Aabbg
lu/FhODKcmilULFwpqHcxH+rmLy77H4pJpEPEz5cjzCt4znei81PCkIu5hF4WDsdmLfuRqjFYD7N
HVqltp1zM1me0x4aCCO5e5ITxGSRaTN0P5862cQns8pjpKpsXOM7bMEb2DtDrERf5gO8kl8nO82P
up2O0rIJA2x5W1WpRw9FwT86XTtkIJRug/VAmYf4Mra3gAr7Mjy0a5n4G68MmSVcrWI/sPh+HoO8
80bkHCEdRX5dR5Ez+wxlZNoENy0x6TLOiSm+LjBBLW+tfVG1gzmRFc7nxcqneAUkOJUSxuJ9OVQH
b6DT00KVlwZAWdMQCLCulw9+1O355CRxdVOC3p6sunRdnfbSSWGcvIGkOMc7O7YxzeNwOC8dJhDB
BdQvfK0OYlUft3hSREkNOwu5AGSxLRyd/GKWC0QaN15wxQboUJrN+M+T1dzM+iGk5qZwmnwEbyGr
Uz/oT23o3LbIkrgOKNynMb8qI2hi/tm074f51nv+50377T7mP+1aCG1+tADRbwhIAyLibdZM0Hk/
7doIhzlUaAgaRDSN+x739H3XIrANUc5o+3A8I3t/qx3fdy3S+pHTD7EuktKQzfH3UgUpfv2vHQAu
v8X9uAEM1RQqZ3dren/atHUNW/nqm/5YENz6xriG/sQIuCfpivN0NxG3owcNgML/ML9n+s3f8v3e
s/4o7N3Nc48EwHiLAlSxcRvgbiUFCFRYzCU5HWthXyQYwVcQbO76tWh41Zxw5VcPojJsI5LWJYXp
OSrsai8YCgbIyEDcQ8qFMxz29hPo58RGbIBGD/eEPxS1UUkTOFBYaZxVRC0XsKyXmkX4gTiykiLk
IYIxhn3k6CvHemnRrB0OwumsI3hOA4bN0jEQIxCtAcCEPAFRAsAJhdFpKae4/GdvfGt0XXST/3lv
XDhSb0qN9OT/Yn/gld9Pteg3dKEwBAbvO2BLfPh+qMW4eQSqZCjvAxjqt4zBfx1q2APQVkAPiy4Z
qG2I/fZjewQIz8EGgQgY07T/9zpk+qcOGQHNCHDwEb0JRTEEo7/uDwU0dZkrKo5dZ4c1helCX9Ud
lb/zip1pSTwOk+oShHcTfG+vo6Na0LwiviqDQHoHKh0nBv7i8ES2d0hQit/IGNnzLOLlS20sYiM6
dy2e5xZ9XTREN06rD63DstnUGXPEdd0P12JhD5Goc1t2L8YlIIK7Z10Vrwy4UDn4Xjq4kIYF1aYp
u0UoYqp890kI/8GtDP43AFphG/zl/FAARU8XSe5VTc/9JsQkwZXT8g+SkksL8xokic55hfNrUeQ5
rPi5ZNNt2Ey5Jfy6fa8OoBSgotu2CXvfMj02j6NYAUlHBPmEhuEksjxR215zOwAG2+5T2k9DbEeG
bVkQESZQw9WJA5wmGbF5G04uzbab221fI9ZQJVDOSchUOADjBNoueYZDHYAdRKLtUXv1koMebG4b
t6v5k7comFZDeR3r8vMi+REmwhcaRyewSjfKaXZrOA3wxXOAtksIJKcsXxeY2dcJDKQvhicW9aBs
CIObtCHXFXqVBI2YB85LIIHSsjez0Ed4og9VpKBrE8h/dF1wl0CQRexbpAqMV3zuro3umoxbd2N1
xi6FIvJ2gobkIHrfBw0VI2mmmtYEX8uZ83JXrQUk1YH8qMepPFPkU+TjUt4tY8CysYwugXXQW5QI
+IjKHcSXx87Sq8joo6flPZjbSxWAtaUCurfWTUFNkCTmMJZT66j1mbHNvuMti0O+pUL906IzzL//
uaL9r7b9Ur50y5/qWbS97kc9A6+AQ9vdRmsPcv2fCxpad5yzEegN8kuII0Z+GHcIXC/ER7VBm/Cj
oL2P/HC4Ihp8e1FE/06X7v2aFkFRaylm/U3njKYkwJn/az2DTR0tvde2R3eC0CvD8iL8CeNeGX6Z
WH3bjy4rUv990SCTDQsofF9MupeIRI3NkjgDXAf30WDmCVo3uhYplb0LfS2BkCSzFXTv962hRdqh
53jBuzXDhbsUKcWVp2eeFK2y9O39e/j/fkGCBPqrBfn7Fz3iErvtLoo/rcn3l35fkz7OWCDA9McS
+tchi8kRGUMBQs1dhPkiQvTHIYtg0RBJU5goA0xMSAD9sSYJ7nfbvCgYKqGeRSTU31mT4bbm/m1w
xFpwARUzDKjoh39dk4q1oa+EYw5WNcq8Osi06POF0S+Kh7emcx6d6NNUELPzuKPNrYJJv9578Phk
zaZI1GQHaZHTPw1VCfVcMEt3uY7WQudR6DRQtFShC4FaZCt4OAJWyTvHFFezLYOXiih5XXrtPWC4
+SseAZSgHwoAPICiVnht8qWEbIbbAErlfu7AvNgZRo6hOcieDg98IsOj9Dv4h5f207i6UEw7AMpu
dTnIQ7CiVpeQrt+uC6q9omYPJbXWud+uVGVhpdGNkh10FqnbiNce06gq1O+hH94XDvD71huarNiG
W4R1fDTIUevfh99/Ns/77Eb+spqnyG/fLrH+887ZXvd951BcfYZpCzsAufD/DuAiFQ3N6eaqeC/L
P3WnOBEwpG1NI3xuP28cQLtkC5aG9QhhGEH8t3KzXezAXzcOnmibIBFniUqOP/y6cSxkpsj5rMtj
Ybu1g+jAWri3Y3/KPfA0NgtXFq5nP4LxOPUhj70LkQKx7jufuiKDbI9ANdaXw3Dd+EViBgVKllVI
QwLgR9i8m3lQ+Xlvo3j+Zpz7/75gA+r/q4KdVi9mfEHQycufVt37K7+vOlwiAZzKRUX+A+r70UOw
3yIYVEkA+zfqQPRrXDtYvQhdwh/wIB7l+1D0f9VDvNNOv9RrWB6DMEIj4YKBwIP8uuzENPoRJ1of
Acp3Bz8uaQ23DDxbXwHVrSTTbTQvh2KlVSShPQL8nPuxcw3fm4Z9oKkStw8/FxVyH0K1V91YZVbQ
bGlLlsCgAeggLHZElsjcGt+gK1ur9bEbWBLr6DoUzZiwaXqqTdFmQyDbXCkHEjOtR9V9gniiFFkQ
oXoevUpQK9KVdn4NJ42d53RLDwVqWCrAfKyKwCDICqTqfdG7iIyeSORd1y3Ey8D/ENn8Dw7wBw4A
fuo/d83AyMayF1/Un/tmrJ0flTb4DZ5ojPKoqRvnhZbiXz1KgDWPvECM/FEI8nUDvn/gZNtaRNoc
dkSMMo3x/fua936LUBFhCUee+reW+vtdDLffFvNf3r7xJ5wMYAL4MyAK6KwQH/1vpbZtJtKqxkGy
be+J4LLCvPKM0FX1Jmb4DdbDVPNHzrfE/Wr6uBoinUPN6tg5OriN4NAgiQyQmosIOY9zKN9mx3jT
kK56UalcVLiaRLvuPQaHIoUQqMlNJObcCzhJAbVPiWtNOpD6ZkEIsz5FsK8+Iu3HwLDpCKn2ywJx
dwI0Rtj9P93B1h0A1fmrVQs6Bmv2v6jSeNX3Kk0RvA+CFuMcpqqNwv2xYsPf0C8As8KCxXX278vy
+4rdyF0KtsXbyBL8gJ9W7FalIxRwhgvewP37f6s5YH9qDoAQMwDIqM9btvb7v/+E7I6kpwa63PgQ
QTkx3ztVizAl6bhje1rKk3E+j7S8EHc4tNa/E7AGHhHF8wRDCPTgbvupgk8n09AKBpI/97B17jwb
eueupFegT1SqecXVRXTQrWK6oPSD08HGkVQkPqqeAWpZKcJWIdxZ+5xCZ11MUKzvuGHBEd7G9lxO
aoCovufOlEK8TXdFNCmbIeL3f7N3HstxHFsafqJSlDfLaY+GJZxAbipAgCxvM7Pc08+XADkiwCso
tJ67kQIk2F0m8+Qxv7GH7UIig2CeUx/QFhnBDxlXMA+YbzKvhQ1hbywmuEKPcis91E31eFcy5130
wJfcGnrfywgYioitx8JKtcdZD4o5Y+46PTqGaHmOVuT3rvM3RsLoFLoL89uuxTxjvK71AHocDZDX
eigtFvjGekwNC2WlmFtD5cp3Qo+y0bRBQjq69Rl6z3rYDQdilTP97lWu23/qYDnLmdAD8olJ+RjF
JzOT83QoGKG/TNMnRt+VHrAj9nzdv8zcUQxc233c3o0HN+2z6FMA5NC9+e/Ofsn7HWLz359HN/Kb
+vrtPzSl9T/7ubUx4oD6Yfta/OU1t//ZlA4YwpK8W2xd1yVH4x/9tbNRzQC5oS/C1w3rv86il/xL
YzZ004Wm9r/a2S89mjf5l+7hMLIh+4JURjr4Nv9qFMyz0HCLE+mVI1l/3AGdbIeitLZVBbC8MuDY
HHy2iAcOWOO+wffewyz083UdiH7lYkoz7wZUPC6g0vvOnd3X5poJTuZX8CwZYHaXskJDcjsvub0r
3FKthWnDohjbSlAUF3I5wh73Vl1WfW5sIGCBL/ONsTCvLD3I0Mj+Qf3yB39TIsixhuPTowBax1AY
ZHoELz1FD6Zb/Ym2jXEmldemJ8jc0Ua3UEnIoEsEp4Xusluh3Z/n0mlxzQlAuq0hq12FJfPsb7FC
nOJBoYG/+e/GeD3yaAb+/cZYP0r52D+qRIn/cO7xT39ujvAPamHAQgxYfp5gP3cHhQvWZJTEpHGv
faFfd4dLPczp5nAsvRjI/MzUXs49TCCoZv9dd5O21PuKWFemwPB0Tkjh/t5JCgwEorQVKhGLNYz9
kUmB6d3wB81wk+RGG24r3ZqcX7qUlm5YlgvCtcg0vHQy0ayv421P395ZeV6ZbwQ18b6rURfIRFZh
jNIfnan5pJp+NzvohbZgjccsyenrj9uhat2VSrJtP1THKQpPPcts12i1qbWv6ltg6FeJM16jdQiR
OE82A5Je8xgflr59TJWEBrUcIrdby9bdAyKFD+KP15D8TsolempLWlDz4u6mWO4NywR1PQ0bYXT2
2jGprxpkXyMZX1aVD+5pyhFqEO4lMeSMo+MBxlexxsEAxDbndZgEV91QXJTZ9N0aLChVVY16vAe0
NLoXytu7tf0nc1qUIfutKM2tcpZtH8uvrrD/HLz0akyHHZ4ykjlsINZ17B3RRrgK8+wsV8Op6czn
oBcOdiJ3mWgMQofxKV+ai6S0TpXrb/smuS1IQ1RU+WsAjl+Szu04u4tqHWYlOrKMhTJRXMEcvSZ1
yFaoh6AOADDe6NqTEmU2pMR861BF04NEbH412PZtFDXyBDrPfk69PVIhW2E6V407f5kW69BNxeXQ
FE9M43iLY3M7hNOlZTgc8lV7SPoa7wdw2Bh9kDH0OfzWfpHHzijs9ThmQHx7uays0gE/Ng03oC+O
dWlfMDA6jF53cKfOvgwK+8Fuc28L7fwSwPkJ48mUVAferVLDnZNF2d5X/YWwncMUOU/oz3irykgR
sRt2qp+vPaBxa3DYF6HfPvSA8qCX9o9d1x8zhHhRBuisVWZhxDIu0D9mSFJW9xnHBfAuNpiv/mHI
qlPaUvPKU0jCb6PX+rt/Kcazsp3NTWwWZn6GRBOq9/+Nma/JBPn538fMG9rv9bcn+fg8/xYzUfj6
K2Y6f+i2DGm/BxqEl0Cy/jNmuoRTlGYCbF50bcth/ldCwT9hjKQ1rUACa8+inyGT4hZkMPB/1FLZ
xLQY/0VxizbW+7BJdUtDP4zo9TsAUd5lFJDzq6htUU7olZ+CSYwh9AJEjM2jEbXC3zmNIEMvOycN
YKKK6FONnvHjqBq/XHvSnPYSS42stk6Myes2STjCr6jP62D4GsjlvnQbdKtbHPPG8A5269ZuY5vF
KINNy/7bpX7QbmNPNnunUmfkD187SaJPe6yr8DGpg1NAKsE6Gy1sLKmml0whzjlO4Trq62CT+3Ba
09oqrwe0NjbQqo815NyjRJjEhyERnQ7tbK3UEN8tcUDQ0uCQXvjiqWugNlh1sIpDNKIQ3UHwbnbR
zxYhmNIB+6xVCVPcWQ/QoY1Docpd3s07GsYnPhq+kczQBjJu/R7ya0QHLN3khrGZgWAq6VxkFXrn
YwlLcjpi5bMBhnsDmXUtEtD0Kn5GCIT6IUsOyDTSEYjtQ1m2d1WqzpdUrl0HwlCG8oYIL22I1C1c
jpUztl+dHDoSiu53aTE3GKwta1G1q6Rpt2oY3PPJSM3rSfXfwAnej8lFbc1XAW0BkPbqPOjtnfCC
7ujMfnb63xDwmjZ9GALWj8iS/ad+7i+738dj03sBkrwgMHUD6+fux3OWFgI1AR18EJhve1sBeZbF
jgRMCd6LFOyv7Y87EKEkQsdMa5j9K5DLiy/cm3oC1wqNKkdeiXYZwIZ39cTiqc5UUXqSlUir3wBb
Ts+slwlAbXEN6yWuxxskQS5BJzrHaejybJeOc2zuijKy4KgxXQwPecCpAqJCQdFEamUPH/8oI9tZ
jdK4S3Ok68sExRojybc9vE/NJPYPWGInEI8ca1Wh0wFUPEKsC7h0Ym6bGiHaY2VaQ3dZ5D66Csqr
H6GPJvXGbUarhSLphd1uhFzTav7qF2j4kA9fbGzN9sXT1hcSg9uF/dGA03gSsJK16om2wu2HttpE
SYoI05DFK3jqKdI4brenzch1dNW467ryDO0Va98s3VfDUms7nk+WODsdkd/d1BWkaNVt88jlssu1
M5gnoxEUW6Npb0Gm+xs3LL0NEqjhXZJ1wbYAp72HJB/uQ1S+dpHKs3UsZbMrLJPaKYFsOIdESBvF
htkto3WQ45fYQxI0Vla6JLsxmNShnxX3MNfMNBtSoXCdopJ1kYHzvegNcw/az5FoGCAv9t/t/XLC
63319yf8ts9+bwOC0vjraA//INekE4A3Uoi7H3vx/zZ39AcHOq4ctIU44PU2/b+z3fmDUgg4Bmeu
5aPv9gvggw4hu0pDQ9EwoMT5d8adoT67f93dfICGl2rbQ7oG5BFvdzdCQVXRz05/wi/YZNDkuiSs
h5ZOBTt3uaxJh4M84SQkQZ5ldRkZ9qFprS89CXRAIt31/n4gsZ7gHJwskXs7NQOqQp35kOgs3OvC
GXOF7sTUGXpGql6mebYKSN4Z0V+NSQpKc6xOIJRDoWzJ9FHO+oJfjb9Gc+MoKAa47K1RWKeD7MiP
0+uukcY6Lhn4x+KA9M25kU6nAeUFFEGttHjMdd1h6QoE7ffd4uRXDqVJPY9fB0qVEBuohdLFFNnB
0aWM6+/BW/05UOLAn69xybb3BcUPPZMLM4kQv6IqiimPJokNiE3BNErnbKCAEnVtr6oROR3YrZd5
lILxptwqzAGyuq7A4JxtynrYZ763a3SN1rbJc0fRZlG8dV6erwTl3JR0azBaB8YIZygWPy6UfT2j
KEzIkBdUM20YSj0xXGVWe5vrirE03HaN4AV03PooKSrBM7irMJ+2TcqHdiXCTigTXEpK0X7uPjWe
OKa6Rs26oloNuaLSbUW/7iJGDbsQ0Zppa8LXPRtFhQ8FRHI6oracT72hCpetXdr5l7K2/WFDxDw3
C3keipSeUObv3GQ65S0d7QXivORJCPNzbYiVtSzHaQRxYUXTp0ig7iiW24JnLLvgU5QWz0Ftnddd
eJ+b0S4Is83SizNY4Gvcmq5VkJwA8cCHQj1a3O9QJmco4KO+sJjQd+l/LgY6RON9HMx71LtgPEfr
SIkLTGawNceNOXWSs4ABH7pUvAF1RnG+Cfz2nOJmlyE0MLr5ST9mn8x6PpS9u/frFl7l+D0O+o0D
GjgRfbwWaEGuC6dEt9ZD32Da4lhzb7cWRJ3w0WBIAyNcnRR2s4kX96wPo02isj/Tqb90I0ykjPJo
x9FBBt5R5ro6zAZrtSCTsGqWelf2OdUdrikA7r+iK7hJ5beyC8im51uoo1vk8TnfhrNQLWSlfneF
6Yxa+UG5Xrr0YbGnnTmKQyoUhjl+DfcRyqVmQuUb00QmP6921dQ9+WW4rFrPmnBk8HZ4y98o4Z3F
Ij0mTPaFa+wM5H5O0ql214FRfRmRsrRR+WjyYlz5dKuRtL5Xlstj7SsMHJGgl6mte3Rnto1qO3Cv
lWeMF65Z9Su43tMxnmh8Q8vaD7NE+sxEdp79UKxSv3Nx4w2pYouzrJQT+t9fast86Jb0jDLhxEys
ixFtA4f2RFeibdMtXbhBJm27SPSYmDHM6B8Canj2kvBqtP1nKzT2ZE6fxyq4Qm0IgpcdfqnQWaA5
AmahjdNoPU3EtVaFty0aIw72ret0iMVJ1wIxD6YwP6eRjyiADCdOaYvsZt0aLuYrkIAJMF6+9fPG
PMuQ2T+T/eCfWfmc75XqIUMrjJ7OWrBQN2VjmEdw7NVpHtXjZh5tdergebmxzUzHNQoT+ySTCYoO
IcpePLP+ZSLdvUynWz2odoa8QtNyesBXUK7E5GHXECFluNzx1hFkfFqYecdLtLP0EHzS4/BRr8q2
STdw0/YRE3OTyTk9CmQa9DDdZqpuVt6wMgvnHG2CjanbAaqQn6vZokFApyClY9Dp1kGqmwhdII6u
7iro9gKb5WGh3+DqxgMCENc9nYiSjsSiKHzk4j/19Co8eha2bl7E9nSH5YcPS5jGRkqHY6HTYemW
h0/vAxqZfYly5CGcc3SvzIuCLklrTzfoFxCQdAMlmRGnanVTBTeBI3mos3J1w+X/Y6Lytp2gbf/+
Pkf5n/IRk7vf/8WPhi2+4fiK25g3kt3/wJ2+lh+0FP5wXXA+ke3ZOGboofuP5kMA+o9Bt56ua47Y
rwmKpx3HmWGAG3QCl0Hmv5pm6CTol/xEw6PIkTDLo6IxXTAA79AkTLfnqlKm+y01lzb/XlZL7JhU
8brBuJEyt+f7HIcWuROzU6LRIFBIf5rissVHqNGMsh3bGY2YAhHcpoDaEZvImIRlkU53vVlh1bru
3dZffJjsSJkZawQ9Ospwp1Qo4SAQpoR9CcqlDfpVwtx+vEulQpIJQeME81AX+R1EhBjpe+HeEWTy
HkV7rv0gynECwr6rBzRPs/UMJh8T019e5A8cwq+W4u+E4oFB0Cwit0QlnioRgfR3T6dBRRUx4sX7
1opxiDQBLECwAxENxynOIw5F7ZtqZTXYG7/P5lugEtof1qZc436wbE+mu48vyWbtvXlhekZt0Xai
Ye+DYtNkp18pQ0FuT7ja9cmzVZq4kbQumgXHBX8npApSw8/QmKzQ1iYAofQXKhRlprZApdFs8RpE
vFH7NgbKM/JjaQ7CZGpL6qWY/E68iq2U4H3uMazD+wnzlwKf92WhQkpp5LjC61BHFKi4vQYN+OfJ
t+Y/PGeK81/vidxcr0GAfiZtOJ+98Pae4rSYMqMo62/miIDDDSJqRnNdlXGzXH389N4OKJCKZ9Po
ySGyBpg78H1vv2guifmLP8XPcMNtRAjbMi5cnIBMdvjkBLkLi6/Rru2z75X4NDJhCIZrBOWxf/z4
St7WBS9XghW5Q+0BngWjYf1IfsEHWE4ym9GU+8+DCHv/wmuZS8sVOFxAKMdE+Iv3Tybo77/R0uRV
qhCfRQNu+L3oukffAMKj3z5GaegoEGIzeK17rIwlWhd+nIwkMh/f4/unTXvCAi9n00al+LE1+fXX
e+yxRgKd5qSPuJcpPh1FObFcKUythuvEjhJteBphAQile+bnb5jQmf0lSiKVd/LxlbxfYARYLDxo
2RJRvd9NT8eawcEYJc6X1JQYk84pJkRPYR1o65CPv+n9U6ZqNLlbWsZ8GxDUd9uzcCnIHCu3vihG
DAVpQanfa5bT+D2geKl9sD/+QkBbb/YO2BIoipidgmYhUr1335R5uCBGMvdfGKPM7FPEgRe2uKVS
7dIc9x3GYmjwJDO5WlB4KU6nH1/AO0AiIU1bjmrGV6DR6t57khYOkWlptUH9pUuxQKu3LPul2AoG
d1GOWluKpM3Qpxgy7OmD57z0ZTaTedgbHpBtZ1v5+HQxq3l9OD+MzDG4YB5NtztyGofg9GL1idNU
EyK85UgkD6l1C8wKtGjRwNoaZrj8DWaIJkgUFIk4bvMNSsjJ/IRI4gT1YSiqOt/iJ5PZ8iTjFApR
WUVOna8Rg8iLGYUhO8DvVmRdyTvDL84dbgPh9DrDb3vk09ag3bE/X4mg1P6xCLIv6Msgumqi0kNA
kZQzcY5aEDW3wD/LXodJ3iOsb0OgLpLTtC6gX378+H9bcEwg9MwA5jmgJkBPbzeZquM2Ncxl/txg
n1b1hwQ31LHZRIsU2KKasdQnwsdf+RbbxAtHigWKH2xa1DOgxLxb43lQzlqYcfyMxL3FG1RZ5Bfn
UL7sgoxYmNqPlQ6awl14sjDLor1WVvpqPr6M95uaaQ47DaOal2EMPkFv79ywEgPB1cB5KgFPs6y6
udVvhdWg/RM//i59S3+1cXS4JhNzNcGeVE6jvt9+l53VZdFmnv08WYnI3G/2jGhnehK3ioM0gYlD
IClnX7EgP/7i32+SQxFIJi1qYuhvURvDSTwemDk8TWakYygPH4fc2DYylujHX/XC9Hh7k0y0oCf5
nq01gDQS/9d4neOVWuBHUT2L0vWq4JBFcX1XokHc4QCHEWfSXk7RAoPwrMnQ3MCZcEjxhc9F0LbO
qirJ8FhxeVxFn/Kcw8ilFKzt8qwYkj6cD2p08S0/fHzRv70YD6uiyA0gpMIRBZT99pqtqAhtHNjr
p3qWPVeBV2WB8bs1G/ieNhWKHMgSDs0/Lj5Nt327IryXHaBhRTYzwPeBPgYFMLW9Z3wlVFn2so6Q
5YPDHIRt2qP865Ro4x4494vgEb18tME3Hdq/BAgcce3hNsMukaCBL/Mivya1lUc7p/YxF/eq2RXh
5h+e0rs+pCblAhnnSCLN0jyj9+/WS0b6C6pvvqYhDn0+svezXK4EEtwsqh8BORJMGy9wVc3YTaJG
bcuAvzPrUyUqXCIpC7DKv/uvQTCL3WIZV4PlNvn314wSWwzSJW/CSeZBJBFiaUj5Bojvr4ZSCt5O
3UufuqJ2rIE3klbQycXWEHQN5o094+j8Cak6OX1eZl0Toe1K3y3cACLUiq7mkmmTRNvtPPZ3l6I0
e9X6oKm++aOyMmvlyJj8gu0feQ91VrM0e6zOuUbK5KgGiYXk4wPqcG1eb5U/lcs9jY9guAULSUYi
cv4EY03gkDySNPUb3pmdTiNfXTlpxgGRo6HJRsf3ruFmGjPPkaicUZSjbyLG3OY3fSuL+ZUMi7TK
33vDlMpPEq1FTr+5m7T3t8C5i0M4TyK++qc5oIPtc8MUYm79Cwep5O5zF2Zoesbu0GXnpVuHiK1Z
YqpPU5TL1FGhKc1aguWvIx9kcLKakAGsPnleQz5+Yja7rQ07nd81LjIfCLG93oCXS+2RWAeMJXU7
K9b2tp5Zs/zElOgg9sN7shOxj0lNFrRzla+F9s39+Rld2xn91slwmEjXLLkGLUcnXTyegXIy7FwQ
HUoJjrPTcE/J61N1i2LkyXlhq/iFcZQch3XZK45WK8UDq9o6RkAZOrex9rBp56Dj9gj0erk0kSQN
d/B6ZNHksZ9X14DgmgDZRxIxlgva3kDpVgMeMKyaBCtN3pkzmXwgQz4rDnYSHZ/QORruRP7XVdPA
M2ymIef7NW/Tim/C0vR5JkugwnI8if160C6SIOsoRnNr0ofZ7FP+chN51PpYyWL+WuM3jJ0AVxzY
A1Fg2y/OwM00dqzXb+90Lj8lodORC0Soa/Ipzdy4bAWV48Om508y4OxCcVfnEDN3zx9CQ9fXAmkO
zzjoEwFbcA47rOFooaKVdhj80OHywBOGuhCNB7PI6DmCz3vIlMsPawApWrwvR3eBe+zQjc+/q2lU
PM4lDPSaK6lp3UMuJ8yzUQ/29RLVvYLhtg1r/ttZoc6GglwSG6iFdcqGtyb7fO7nRQePtKCyzDun
11saW28+tAepyZvwBIUwQput5ZBJZQVWR9u0CVoxH4bJFHl1Tp9TZxBdL3qub6G41KvayTItw1dE
i+UdJuZ4U7/JzdsoxR962DDuCXRkSpl0LDv8iHYeOuets5PFnLgmmtkLWIBkMNvlypvRzScNEzA0
3W1Ujej1kyig1X3BzHgoeiDTsuyQjcHnIrsE+pvFqGnmSr/hOhtm00LdLxCDcZIJs8zm1dR3shGo
6ghhjIiui4BrjA3Bu+ncMGu8x1pgOYx3CDKISXMTVV3sYo0gmgjIhG9m7lhuCcSEm610khxdzKRV
DfBqRXqP7HJs+zI9xE6u8LRahQVh1n9aRs8gryXYztwzlgEFiTVeqlOaJmdFkyoruJBTJPTiybBr
YiXKcSYBw5Fdr0tTYdvg44nJgCI5bRZmqu2uswfVWxeLh5nuPfk6T2lTFbyPejWZTFzpX4++rTPc
ulO8pdqCSJpuGxxu+ayoM3UUVDx8Vq6Z4aw77EzZjvwmPZmOv5N9rOMS85qKGYXMdSmUuiohSrXu
5PP8ZIqA9AUN44C9YNlSsKCGrnfm5oS339END7EQcA9hKRadQE8GELa1a+FN1e4IlxxHA+RSTnkG
Uy07L3RLfchKqTqW4wSTFAhcENJX95HfSQ33cjJn5uzIoleee2g7WXNLYdM3UJ0qW6dYWPEV81MV
drRXfjRWiPr64eDKB9RvX/RE1WibpPnoGCcqX8AQrsLQSTZdPAJhdLG16W7ibuLmEXYrifbDPAZc
cQCWnqfUVGnAxs4V8ys4LcDyeYI/lnWVjfrvZhdFQ3uNfq/uBPiNocO9QOFzubcMVqWzdYI+Ap1P
JpqY7E8m2OxcN4y9ABlRRAtaGseE3Y2I0LQ0mAhaMypqyBj1QDKn8hbhjShnDfVd1h0ZzwzFzm8G
1T61FWfMaY/kg3sec6XOGvuZrPuSEXOXXRHUTfns5pgGX1eNX/WPI9Lx4yWaqqUJs6YE+NM63sig
L8zryGvXQDwZG+3G0UM/GeP2eGpWPpMewJElxyomDHKw1h3viLZ4g34y2hUo2fUYQyVTMeiUfulH
fGTdYC5tXNN7Y5afmQkr9wbtB+rPdd65xWSsotKe42bVRtx/zDqNE7SvU5zOqNyWclyWTYQXsdnv
YnsZm9OJzcHERxbno4l30W6IAkj5HgnacpvkNt4kGcDq4ChmtFNXjittaz0jwNXMiFhIEW3QqQ60
j0dgY9iEcPghsB1svhsmSadxVJvm3hqt1N7BALVquZJBuWTrNHY846otmsq9U6Lr82ZvtsHcdtsI
GdXpdsLXTp4bQtbGtWu4YrmXNat65fW+398twZDUzarEnaRv98zzkmVamUPQ+psIzkaxjzOZT7sF
fyK0KCJs/Bh04hwtuvCrVeGL8Zza2J5Nm8JHkvcbjliOUmsVtE2w0m7g0tzLuO7Ai6jC9Ep/H1c4
DlxgAGYUxR7dfNLa9Fsa1o4E89qEhWI6Z3m4sKOw7kjHSC56m5tBzOA1+zbnMvata5iBDR5jY5Pp
A7WtnKr17gCPtK27aeOR4Qf5lJmQo+BD45GNxebIhsF0l9pohf9hTgbVO9Ogj5WIQMLm7kKdPvYc
4GwHMKk6wlWeqTPMzJhjK97lczmC9+LG2jE8XbrEICX10o5Z0LmHWC2njKy9xF72cxDwmTvloQG9
rNAx1JVDkFsLVzu7Q1VGe9VVmf/g1QKz+73VAjaJ9liB0zxtVUd7bQe5nMw+LGiy2XvX9siCR5Pc
zcC7eGyJZXmY6UMjNkZdoqPt7JlbHCD8xQF6bJekRDVwI2JKpSrdUiAvCWmge17V64BYlTZn9Aj0
kdRknCPJA0IyW5+cIYK9XGmfQPq09ypY0FS5GWhG8XeIO098mJk3MXtJeI1uxYgo13ESCHHJr9i5
FXFF9BKE1T9GPSaL2R48NtHGlqr3v46YGzc7386D+ixpcoSpdrJFOM451m2gU5Y0kvoZIUjkS+u7
MtCTQUentNCCXnEe0ghdBS2qVMsqMnuPx08M1/6HzUv/2heVPqV+nGCu1fAcC/x6iGh+NOqrt5zY
4EG2iZtHzX5GaIVhhTJ4sISZXF+BEgaqVYefT2Lp2EIr1Tq6GxbUKZ+IWI42gUK2ZtauCwbewdk6
gz1FzVJNsfdQol6NPNbLa+TAtKx7yj8lb8MunrhjJ68t3hGa5gGa2XVSDGN6tWDDEEefhyLwMNBB
oT2pxhNIaP5wu+jWGQP6pdXd9L5XA32ulok4n2XKPCMFH+1ZF/Ihxir+Q8UAwppAWuLrIDcuc28S
ZxwZOS6Hpu177wAvVwzh1cKIuMnO/DhgKnwAl673geMgM9fR5iLJvC2Fq7cIzpe6g1/nHb8QD2gx
P8IuozTOOuulZxWrjElyZwc4L20wV9ana4o2CYcmM0ndG3OcliwQiQidb0pfr8e4zHW7zOQJ5N/j
Jaj5gT/Xv/3a7gN0FXBcWinXhTZuGujUsEBISCfzTquv9nV7FNLjvZRqbHipvSDwVZhxOkPyBfXu
JOsP8O6xAV5XHWuhXGczOUG+w5REr10AE1F9DgM0GeQmKUVoIR0qkV4iqR2xegQHagzoimESDvDz
1myHTDcr6JOj7jRAj7lOgijrH4ceJ/hqJQrVSoLLPLoIOo2WLGroZDbrDMiGLgJxOqBiM7GO4oUI
NyK9pPDkPWPfscynzmhTP0F9nKdhP2ERUTwOqTXxUOLXzEck5kCuIZqw526zKSpIDH5UxOFSRyQG
U5IABdzWCEvxU0LNAgnIwInvyRlUt1yZxmCaaydtU8qRIe0xFz8AWHfUrQ9fT6GmPlq0W4000kV3
4MOooyUyWbrIRzRZJ/JJ27A+YhEnvDVZMaHC6jE0lmid9YNXk6PgMbjc89R1xF2sjpLxpAvaehS6
fmA5+fCF+KA+XnSobInJ/qENPPr2WwwqWPoHxEtSSpUiJI963Xr1UOrUqjSqCGfQuWuQqtrIYdBd
wQIvSS7TiJ2Zje4AyxzrS9OdJoQ9pmTRFbcXGZIHOWL0xBZfnDFpz32/cEle5zFP9nFaT+qTPwF7
OgkV8laHUNjUFBxshkt+4EyYcAQ7vywaPiZyZU+sygFj8Sbt2iaKr8fXqnEqErgXJ10+WAQpEn5F
e5jOlV1uUa/XVeBrYVHGi77oZpnGOVmzy2aMFmW4UPG6uAiw0CmSTFb/mNY1rzSjIc+lq3riJNxO
qQJ7uDVAhRTnQUtzhF9cZlbUbBc6YEleo4F2ZyGy7MU4SCyMOlOnLh6dZtIV+vwaOaJJ6ES3sop/
7vO+by3TMwJrB9/uhdSDROLb3loIzw3jinL8CutF15lDapSpt8FgriujlVA99/sPPcj3XTX9lZSn
IPPge6NL967PCjysDk3py6+eP+px9OvSKENDd3Y/7on9/lVg7slxHT0BZ9b+rnFup0m7DHQnvuLh
peNTA2VvICkkWBO7Pv6ul27gr61VNPFoUzuaOIhS7G9jdmFaotQy/F8nQPYUMijl26xEj2EF2zDt
K4uzcMGipnhUtesJmiioz4fIiEqbupsuhB7VRpS8Ova8RuYfw9waYxOdIgWe4EwI/G7kp48v/7dH
xYAHtccIXWzKcdj+bxfC1MeVTGAAPmImOHEdHFC6LORwpYT6+KverzkA0K7JF4Hn5D/hy/j7l7lo
7SOGzIAm/Vw0dAuOWdXL6s4uRnypbCEvPv6y9/cF0BP+OIWV76Ar4L7Ic/7yZci/J1naCvFl6DBE
v/fyQAfKPEcToP6HR2i/m9Px6ZqOHppw83iMiOu/fYbJOJklUEX7rhbSDDcx1T7CmwldBxLDLB95
mCsG3hX/C6hvOO0mD0IYuY3Xhwgf0Y5qTskQ9Py+xVmVsG0trj7XsoQDPQ2Y7D2lTY6LEQhTQ2fN
UE4bYtkQ+rqrUlQ0E28Hw3K4OQM5f/eQJIZurFpDpYewnJ/F1J0YBsPRclc3ZuKe/6vnzTOIyHhM
rdCGMMRvAwYPC2+Ap2q6Q+NUL+S4obNXrIyxIdH8+Ks0p+fX/rx+p0wkfQAX6LIwHH03GBiblhaE
5ca3odu8fBc0V/+iGDp9Mirmt+T3r7P3EpAOT6Ge0Jhsdz9+6gelE2pjxOb3wXMDXf6TOrUEdrvC
fWE8MYpcGZDLmb+Bwszaqhj3s6PIL7ZFHZNNZguTymH3o09Oc1X3XI0yt8k/ltBc+LuhqfQLX7yc
bzFehknBayY/WDQM5AYBZ/0mc4tNjjviwDS32cg+032YHx1nxmys3ZwWIQdlHFMUOKvZqkYqho8f
afh2u2gHBgZfWlgBYpQDYeLdEu64gyE02/ipHJzgIcegE7MepgkHvwhbl5ZYiv+YO0VYmGVlvGnd
uD5UdlHeD0lmYriEVdc+EomDZd0cipWfyu4uJt0TV+UkhnSdhoN9yKL8U0Vn+mloXdGu/N5I5zWt
Tx/J5rg5Tc1MnDNmTheSW3j8G0Pkzp8LY5fhGGO76iH1GZnuhiK7uDcWQ3KWlhMWfiLqr1xGzcXO
LQ3nPJh7wLbt3G0ZIZX3KSOvY1naNNXyVlL9NsVIx1sixcCQ0Tud8XbKcG/rABw7bR/c2pyNj23a
WB7687C2XOaCQALzur4dA0fdZw5YyFVoGm6NKYnXfi5UJJ5Lo+1vfFcIsA6xOuSTwhycnl67Bjnq
T+tpjDJjpdxqOJZ1s5VjNGjVyjz/U0FFp8kUqwJOQ9/cLpDKN0RrbaBmGO4aMddPrpzNrzbqOV+s
YHHvUuWpdToBmiwCkW0xC/pBOvpb3M7bYM2CYApDMPM4HlxQ4u/hNA3VUoC9QP3M+5quIjuui61f
NjLntZn+3T8svzcb+vXLEHIGkGVHADOcd6kBCGDwGn1UP/tmUIERmsxbq6YdgSlncT64DqjlCSmc
T3TUUZ/4+Lt/W/kvtwlWhw4nQfz9lFF5ImpwQ6ieu7omz3PKtph2lYM15j8cEy+f9Fei8HKX0KSZ
00WRxZT9fc41gQ22cVlKn62xYc84NsfFqiE/0OqOZXBd21V8nYnYaJEd9aJ24wxtVu7xJvE3UymB
fQHW8y97v4+ONUa8d5y3AvCDKuV9VZFm2rKGkGNLy/1kDnn9vVJOeFbTzfg02LP9Z5ST1iERpcnT
SZFcOlXEOjaCyqfYKWhdW2NEHdpH8zPiZZLOm+p3VuKZj1gAOeuF9/cPAId3IDweiU4DwDZoCX3O
6PcpgWUEYnLDeXl2lX74mPile6fJy8O0TI94uWE2ZUTTRtkgXFcgfv2DW89evfl4CXg6ur15M7Da
dRIEGBDgmP9ed8sq4opuW4qXoaLPRvXZF3g4wTvbiP9l78yW47bSZvtEcGAeboGaWWRxpqQbBCmR
GDdmYAN4+rNQslqUrHaHIvpc9N99a7skmgXsIb/MlYiK3WowxbhzRDdSualUAnG0FLuSa97lUNnU
3VE0pJxmLTJ3Bu3RyHmh90lQwkixXKZcJlPhHCc63eC4GPdIBvmpVPjSfBsdeQrmbkSlpF8oDJzK
c27xggzlhgKwtwn2yZXhVMk2Q1jZJUQRT8Lq8m5Vhm1PlVjcP6iWnkGIcdkg7FGTG0PvJEVqTRLd
y9yL0yCuVf4H4lHz/KGLUMyctE7RDdkT70xLcY9JPJlPGiIQUYCMQrB/8dj/OMXnK+Z3CyST07GN
Re0v5QU9CgrfuxN+qRPTulJqI32sEjioq6wu1CtNYhD6F3/jT6Hb81/J2UD3GN8bWPAW1ud7swOJ
nbwRbJ2vaZWaB26ZiqCsfVIuuNenG3S7jpWeDPiXylDzxyQauyOEKfVGGTxj8/ePlv3XR4ujJsun
7i70Bu1nM2CD0bx1o6J4jUb0OGZRZfipbGZqdWtBg1hN4SUXAuAiud9ZXK1XaWxbRBMgKHCt8LyA
+YCIV01pOx+Sjt4qlBIUJ2Ii8WVmJ+2uNozxyu7jaB9ZTmT6JYAm6beTpsOtqlTR+43mloErZqva
KvxaNmnWKZeerQ38B9JRjjbh3utplGxnKTn9TSTZvYNSS7KjYCrCidIQ5JLyOi+YwEoQ0XQT5o/W
gMbBWaS96/Sx2MciN+jGdoSj8iSirgY2l+Rrw0sIWDgYUEYGAMiwnZ3nUUC7Y3UpK69t/TKpbHy1
Lo2ke2a51IepdqQ/dU0JhKSQ3ZuZ6Ak3oyGltfLvv52/rj+OyT0BxzX+Er6fn5dkQ2dwkI0ye4X/
pzq+BwTlhaHohMjOV7aUBXyZSYlQ0qy8TENKg+ZkE2/8Vz/Gj07t8wNL2pRjs4Fz1cTw9+MDi7Gg
Fe3s5K+hsKd+df5CIJfFOWEPil/VefDu64aCm8mOw3XlhePH2CVnyXMya/f/4nfyixeWZCxSDEsH
1qSfHbszfTRDSb/aa+So9l1ta+2tnpO+dtBBLtgX+6s+r7tDZRZiD+FKu+xA36BIEUu5Tqg7xpBc
yOGYKL3xhnO+toA/Jdndv/gpf7wDLL8yG3uYxSuOZ5pL5U+/skFQq+jVZv+KSFRHD5wsrDbg4k1z
d6sOV+StCOHIdrbdldtY5Vs8q07mz6Feya3hlO2j5RGMIriVweihnZUi9SzcNGmT8+uOUicwa6Yj
X7/ofzed8/9o6xc013df8l9av4L4VfRF9GPaAuLT+WPfEDn2H3zpWBRY1L+FJ74HvvF+Y5V0vAUf
teC8v0UugIAvWpB1ptf8pfQDrBRvHFS4r9i43+E9nNeL7wcJtC2gEhAlOMqQXOVc/lMklHbc5eqk
Kbso2SMZP2j0O7lO1i7V0pQ+jef+J7lUQVmKcdss5VBN357mpS4qWYqjciReqHfGZYEE9DBUFeNH
e9bkk02ycZngxwbF2sJ4GtW+/ECmYi0KMw76SStfqjosA1GlGm3cjcaVolInpdxZIROzA7XwVGYC
Z9MpAroPF/5h6gjTeMD0m3/R6kqtdzhmNXU9D5WjrZVEceL1+fv8dz/+/4ENVChC/zxFxINdPBdR
+Ysnm899e7ItnlF64haTNRvRmWz47cmGlUyggR0K5XRBIrPWfSeZEBchBc2jR9oATud7lAHcE5UX
AYlkwSX/Vtr5zER5d0ZeHm3uZZBzF1bz4qjRf9yjXOnIgXGms5sR3t191GhI98T7K/2l7LN1DJEz
i+JVEq47kE1lmaR4WHjl82GdWCYSuxUf+F8cA7OttZUVTa+OzGEGeBMe9jx61RJ5a4cuBZr2xNw4
SpINQuS27F6U0iScq6VbLt8b16UbIsvcR0xcG4ZQN42jbAZVbLso+5BUWrjVs4pqaPZTYoTeBe2d
9WoMs63oHBJ8RQdJad7lQ7zjgz1eQHiDjk6f7SB3eRzfuVp0EsDPQ0SDMS5uxIT8IVT3IN3ldjg1
B0bad1lnf5La9NFrxGvIeJ8Ki2diLhsxGBunzpij5tez1z4PrseUjYpQw9iXjXppVy9p3m0YpV6F
dGkJB3ehkWDX6+ReXwANrgifiQ6Sgzb2s7B8J6y/2G6CGwBpJCnXlB5eKF4ZmJNxNbXmoSzI3FqE
XF170zpZurKa6IKWWk5y8wWY3itmXrpffKEJz6ddK/IjNx0QaeJwO1rOSQ0T2puls5qFfNYqTnmY
FVdmmN+PanHUadjQ8/Fh1LqdV0tWM2ZCo7J32+otL5uHLhtO3ax/IKJ6ZLvcRBSz13m6t1IThuPk
p6Gz6wgrBClwqHFGykBGrA8ISlApPLKtjnvdKNFGkQ4tePQJS7Nd9/q07sr6MOjwtgDQsmnTwOcr
Nh7KMp2ao5pTW6gN5A1u6sjFrO5b7QLf1hcONy5/kNzWGc8tUtA6yKRwMJV+YWIOCx6ztnNrj8ma
NmrMmgEJfxUm/oLUrM90zS5z9uGZuMnpA/rm/5ZAlU2alenvlsC7Ps+T4fkXcMjlc9+WQIBNDGKA
33nnai6V48L3JVAj/co/ZolEQlmCKt+XQA7v0NhBTHtnVPH3JVD7A/s2hwLiDISEwOD9zubOWOQH
mYAlcCE5kRBg3MMZA2j1j0tgb2JPBv4DbSBvxb42WtrrI0q0Y/dC753H0TU3WBr24NnidSrlrvDS
C/p9FsyqRylPB4+7S8WzbU2PUzU9TbOn+bYuV0YmnpUo2nquUvu6k21yJynkG43N6gt2SHySvQbm
qVl5bg9klRx2V9lPUC6eeiN7m9TsOecGJdAyE+EEOewmLonOI/4CCoCyTVg327G1l1b05Eob9SvZ
K4/dMB3NuToCdg1YWD4DUngcO1ZEYaibadYPfQTRaVC8T7OrwfEeVpgm9lXRfC7U7GpOKZ9WKSBR
zeiQxBIbYQbyvo1PehGdUlXcdIb76oRwmxKo94oT3c15gVNL/ah18zYjYh/MprZvwvrCS+tHB+9a
wPXsqBcIfKUjPjUaxYAYwYlgl+3H2Jq4IEsh2/HGzKk2DDpVCntdSPzZ604J82xVdr3d7xS9zFUU
VjPsbzGVzVTLi0lZK4vBw5+kh45tkssnOW1McYlfuAk/kqo3Nw5eJsYu1mWVssPUzG4CsLxHu8/i
LU+GvhHcKzbAf+8xSB2KDiI1csE+HRfxPqvZ19Q82yG7JWupIcHElbl4QAw2pNCtMAZ1YscC2fhO
hBGENpj2UnflU6im6nrKi8smESe7N8KVjR6xJcgeYhnOSfvIdq0qjSAeAhbUmHSxg2O466Rigdar
i1Vss5z2nbnpkpJSQ2y3Sz0UjKs8WSAI7JaN9hQP0QrTP9+oWd6akTKv8z4u973aR6seBoXfyJp0
OTyMfWUwKGs7GrQFnAqrNK70sNoXMx5VIOLlHicdfvxcVX1vtHdO0Zeb1NSvSihIAQlMBtaOe9UK
mlZN7DKDOjo4Qq14p9pGu0pcM1tHEzBG0yZsT5XEtBr1pNl7afK5rGhwZNR6X8dZ5U8pkDIH3/tN
7DmUgSEwAOOIygDJHajIzD7KTBZcBdIIhVLutZlZ0cYN468X4v/6UyvcvL9bsnfPApLEr0rmls99
X7LJvRMlQEDhdnWmbH1bsk0aPoi/LlciMtOILN+XbPMPJs2sp2RVaaVh+f6+ZBt/wPXhzsdS+/WP
/J0l+6yu/XgfWwQV+DucWYlt/nVS2CQ4hCpnF3lupWyz2e4vosn70hDHqv3QCRnvzRJf1dG1M0Ca
9YQ/ctvrQmnpN8vdF6ERJLjwGhjz6WSs0IroPE4MfedI3Q6GdLjO5+LZLjl+5Xl4o+eRfm2HKjVt
ugl4OuuOGk7wna4pHP7m6DQm3q3iifumj4tAL/I4ID414UvWv9CC+pS2/TMWyTqIe7tbN72o9lZv
Vu7iBy9T18/ttoCH59YcWLs7NojUORq4wel1Gxg3y81Up2Ve8Nq0sbFyOy1wIhCEQVKpRnY3dZzk
XsJc58hkVaOxnyJr7nbMH0N5KB18Vc9xOm4b1UirhyQbR4tzJXM5cOfis0zN5quI81//ZoHh/bs3
i5rZ4lcv1vlj314s448lYmxaGvwGnOILOu77i7UcgbDSMHC3lyPJ9xfL+gPmBJI3E35Q2iz8318s
k7MQyT9eh8WE8ZvwK21Bbv50HcRaQxBF18jfcLT6SX+bYVaVpjTCnQgrrK6qG8n0WPf2dRJVr3PV
fsFF27NDgJvE2F3sCAqCrgJBfXIUIDd4pcxdC+cFs9yQ+pXMEhrAzWpdVmi9tSzFSgKtIL4/P1k5
hcXwX94qL6VzOE2mQ5a3+3SYd3qqxBSaxsOWQt5N1jnBXBU3OJU/6qq9GxzxYFrlgyFi3DaV3HcK
3mU84snQfqyrEWf3ND9H9Xywq/KpHOSbNZZ3blyvoxqqfDtDlAeQcDE43FHbuC23ZcGdrNVql0Bx
aK65Tn7RZxTbqYn6VdJnGxL3H1pFgLAYKaKix3NtNOLF6XEfEmd71toqXpvxgN6dcsQaqFZN5Hhb
8DsI1DS+zgDNzU59O8/Jwzz016VTUxzQbdyy+DgM8gWzogeZ0n4e9TDNMYRmH/QWmD+rsLhx4rla
kzyjCVl3xKrWkyPxJOUpxZ1w8FJqL6QlH/TEfSqFupr7ceeNJazf8NaNvNMYuvVK6ZK3gQnSFzty
+kDjTBKEMo3XHL/eBPOzI2RSa9u29Qdrit210Rs5J7y5wWnvGNt2qKJNPjIOAuHlGgQnsy4xnsIC
0iaUYde6iBvu2msnzVNzz0C3yi50PLK9r2ogIqifSb1ua+JX33MK7dygxZpW0X3pWXR6qQboXUPW
yf9UKTKgi276t/t7UOa9eEmef6FKvdvfWYYsuAfMq88a0sKx+bYMUXDHgsJtjW38L3qrpcLZY6aB
Rr9gNL8vQyDJoZwg37N6LSUAv6VK/XV/55LDWBEDFohfJjjLLOOdy2tWmC3rpjbtah6YiyI0StOP
cUkfMyVUG9+ovLzZyxo/xqhlKv3EfUN0DKiel9nwpnQ9PYIVQCTVY1oy3rK2f2gN51OZGFtHLaNA
aVs+KTIffF+7qeyq/2RN3XHAW7VVnRxOuKV/sjIT8JKQt53bFU9lpuY+Y2AOpqE+7RIcoFfNNDrb
uRrDCxl2ZdAWNudZoc1ravVWuLYISHB2vxpMZVxhHolWeiuproPk5sVyXnNSn24aV68DrMkxlXb6
Bbaiz1rUzIEhJ7kd2p6bD2O826kWwzO+N7GW0/TIJBnIHn/jRBo22UVlH2E09gCCg7lqo2NpDlb1
1Qj2X7apv38r0ByW5/6fC7xXry/Nz6CoPz/053buWQArmYOzLVs/lTBpKgVNMCxxRHJIXjj9/1A2
QFmCzyEkurwx4BDeHZPV3zkWMzv9cfdW0dlUjhZoGSwUUHOW3f3de7P4yQGixzATxewN8eWcNbpu
ZwSh6nQqjoOTYFwS+2QICQT1ilv7CAny3oJns2/nLrzLBSXkfsGPf9loqX3Sm9Y+jrxRJp4spQqW
KNFAOKdRNgVU6Q9mK8RV4zp1uhp0r994nZtc6aNrULPbRJ1fDTPsRC1uA2uyjKsuElZABKLeqIMr
rrNMLa47KftbjyA9e+YUZY/NJOXBVOhGJ7hpFx/UWoaPvRorIPDc0rvNY1fcNnpH0COb90QIxi1M
m+jappHgVtXy5naMjHBjePz4c9iNa0Ua3SGrPGiV0uB2T2CDvdqk0ybJ6vy+T9Lx2XFEvYO9H3LT
hjZ0XddVe801KH6qRdYTnChTfDvRoG+82NHuHKuOCc3b6Xogdhv5ilqMxyaS+hHh8oEbOpg/XLkA
pczB0AOVOo77ouuXgvbxhQN40/oG/uAd4YDkWCdFCoarstpP3GroJ6n5Dh/yLBVXrhzijUI69tAI
3Nd+PJFYzAfXCRBmXBclVkmuda9Nd0oenWSWInoTNF3NsUX2G0Fup8pSHhG8+2OhaMlVrAnbRTqR
E7eGut9kRBpogs70k9uM7W7S6+LSqVV5NBF6d8wujGc4OOUh9bTuDtNPPgYiU7J1oVcd2edYd/ei
MgFwa7W6qUmcEUjKixulU407Yn7dR8PT87cJHve9PvTJys7G4kSISqF2keyypXa4H6JqCuqx8K4R
fcUHPC7DRnOrYlV0urqWQAG2UrUWracZv9SybU9aV5XHlNQdYekhIebBgxOhfnveZ4MQLhDPRqux
QM0GoD48jtnatIv4pmhJWyN21N16CsXsC7UcNlA7Z5/T9fOgD+5FQeBni5ZZXZkEiwIw6qAK9RlT
XhuNoFFwLa0Rz9JjhZF3l0eVu1MHO39Niyi9ViuP6tMsmk+ZlYIqT61Q+eyWBip5GLUYdWpp5zRl
O1Z/UYAbuJ+qOD4kGY3dBlwFWOg5FlRNqE/NmI5H28tUMnJtf0mYH/9OWdXDDbr6/LHOK93Cl1qN
F5WFI8hDIjm5tek3bhVth8EprvFodLc6+KJ1Zhkd0/NhBnOqLex2EHA9tISOMii77Ziet7JQgPO4
drg30jTcc7dv9taUtjkjfs2c/XCssUjZeMofWUaq66nI5x2JF6JwvbDWeKfUSyfWCrntGW0GTp24
6yae6pOIRHRqYiivdm0bn/Ik9zKfd3t8akOa4TFj9dMdqRAjAhuaK+s51eKdZYfi0M8DrhShODIM
BqW2hg0IbPUE6lXTAsUCjXulZG706GhFXRGbKcOK0X4dspIk1czco/ySc5yifcoW46UxO1RtJZmV
ZCtST8pjNLStt07hlISQY6NxZSRaWgYzsWl9M4411VaVW41c/FXtqWnDoifyrTdVvcltFLHxEuMh
2Eq+uEj01HRh2oiEF0Ryst2I8nfMCndhS+DDfogcUXW3nUFL+q4k3ZUUh7nSW2UOOjcVY7UymbNI
GubHyP1sRhnBmCB2clXSoI41BQ62W1nMoJS+79IvE+AWLdsCDGsazoBsbv/uHf7/qIsBWervzgKr
1/xZPjev7w8Q5+P4+XPfbvfLZRxDmK3aTBm0c9not2O1xb8yCGPQ9IOs9v44QJX5Ugu67N008TAE
eX+qJuSgs/pgf1j0uN8CR7I4/3g8WAYdnFb40RjrMF0+kyXfHQ+S0WbaOUQMHrqiCmAMDsahNFIV
1RxhPO02TWsip6duaNsxmUEoSb5rpNO1YUEAWHlVPWpBhLiLDubiv+9zoO2dcDOGwuAD6r39Rvza
YmJM99xz1TjLZDOsE+2BMCQ210i9Qdffd3WR+BphId/p69JvjNza5ua0JTB1rc6u6U8xNnJpul8y
IDHZioSvTqC+74wKSNbiSm+nB9pSJSv4OG0TxdUfugRfnC3cHX7va7gIe2oeeVcxR5RE2JmaHsw8
vbUm/kGrt48ANcYTBknzVea1BLcKJ21C1oj2rUhnPyEa92gpTYM9zTbHFRuHfRr19qqrsogpcwo1
Zkie5ixW+PPLPOgApwUMiR5HtSqDam7vMkqFF/Z+wNa462saesqqUDkPWMOKuNwLUMp6Haq1WFuo
FAGJ7RMh7mlD0rs/9or1CBtsCCDm1DsZjyzg0bwDzYfWQX6986JVoTNJyUp0vXC4K0LnIzUDEWpD
YjNHn2Y4406Vbdy8iZrj0FFAmBbGpXauJFzKCQ1aCvGabKKltnDIy0/VUmQYSftDb1kQnEfjljTG
rqXzsFO+jNGhI+N56RXcxIhTw+9OolPZAKlWLIVJwZwycHawGlpqooKyy46DirO/y+YrQsa3nkWV
FjLWqpzla5enVgBmKj22ScbK2LInkfEICFk6K7uzGId4iroSXnKVQlvydWV+qTvQNZOjeCRE1XiF
zLlR7bDZGHUfrvLMFGv8OB/DOU64HbqX5QTiBpzHB81rPtPU9OS0kg05L2bf1JXnbHSi4P/L6vkf
Z4LB4vt36+KpKIsvz7/o8zh/7tu6iNPFI0OHIwv/4dfW2W/rov0HFNElXsTGbeEWfzdOYGYAiYWc
uUXA96sg+r3Pw3EQKlksMWQxQLR/6970U9JrMdnwIxCLYJrM32TTIPDDvUmYeQ6kx4r3wrJL7WMO
KVtR7Yaeb5OYpu8J/I9b3ZQwyqtpasqNkjXVwaa/o6/Km9IZcn/qxy2y/WrmyGmX3m5Iqn2foS8q
0a53rL2ufwC6uHULsbGbmQfe2JhudJm1zUHV6P9a4OWddxyimtUn0Ymp5pcOsqrWFr4p+wuw2Kts
sC5Jcu+E0V+YLbj3no4LjBKaRrIsyx7tUV14sTt6bq4UFjJfdepVqFUHFrl167nXgloMXtN+o9Vy
XSczWFzL8dvR3pYlKRuBd8ONDniX9z2LXV1bG3NM+bmII/SWtzWyiuGkbe0LLTuhyeyNXG45Pm1k
OgRJ125SUb6EEHeaftqiU43+aJY3JJQ28IFOgyYu3WEo/ckrXkaXMFkxcLisPSOIxPw5V+SHGnq+
hdu9MMoTWJZPaLf3TJ8PAya50sxP8TwvO5LxpaQ5LrctYuPsB3M8rrgU7qs4P1imCjooWmtTvFXy
LAItRMdJY03t1gzLW6OIxn1m2C9CaDjVLX+asgA3PXBIJOZ5Falchxb+hNJj8QkH5ONRuYdvdalo
HA/LbtNPF3P1MYr4HH/PqteaTZXMfHmauoOf6Gd4atlOTPDfXVCrNZpP4pxi4n9+KdUV5Blv3Q0M
kVJO8QHpRel7dqgtEIDRJ082bc12KXTMoiQgevscpkX/AQsZY+vZ/QySnWajaoxX4LUukep3asG5
tSi8HYOek5kMRuBpfbFqJC0STtRXjN8HtPrEDpyYCsu03wiAIfMsTjJJiITTSomtEL4LFX/eaiYw
thazrW1kYbIpOx+Lnt0+U8s3JVICTNJhkIiaOFmdcL/pnvqmN/etrn3W3SUWOBtvEx5xproDbkXR
ylWZe88KEnpQcmbyxejwi67Lfi8rnPEC9seRG8V0m5/bbFRz1vwcLI9f95Td1PybTbkU4FCbsIch
vYS8vIdY0Dc3hNWhOffmzHLub5OlTGey1KVX59yxQ4xfUTeSTTHZ5EsNT9Q3p2kp5pFZ9Wfa9t99
dP7PW/zVv138V31Hn1vb/uJQzOe+Lf7GHxw8wfj+2AuLOqaijyEmL/bGH/QxnWZzjsKMdoFannHp
/+hxwvnDhOy7q/e3DsRnGfmHMTJxEnTmZRNBOuNU/OOyTzaiR06up11TuJkJdALQQVyFItnPiW72
l+MYjcNFuHjIhmiUvsrVq/cnQxcfu3SirSzuR2QMQ1ISs85Bh2g3Uk1bjshKhbzQkO/oPeu+MRJO
TbCe1AvAHCiz+SLSame9Nj5rt/NZxxVagasQabcs5SOPtlhnJvpCNn5QIVAsvK7Eryy7uzAbo/Mt
PYLJpbunMCMYUvE+XbjC2hlqirRBaJGTEJCfekXYKESVAaFCTdTEmGlIP3ujwlpHQ/uuSNRyr6Sh
uYmG5Hma4tc8zetDFqEDTFleX0ojKl70yqp2YZl0+zTGEsMozfk0OmFxM+nGq4SMtaktXeJv4jxM
6YZ779Su8ShdW91HSfg0EFjZ2EBEgnQo9d3YWLHfikbZhk77J5j8f6/iEuH/51r1mgDq+Iv3kA99
fw9xy3MMgybGlZIr6veZDw49IOU47C2L/sTlOPUPsdr8w+LN5R+hVsM3eF/SbFDtjHePrDanu7O1
+Xc6Fc/R0x/eRsjEDDRx4pmkd+zzaPrd7RQ/F7nFqXN3k23WkiloGY/EjQDIAI7BhTVtRd5IP8wY
w/ZNg3qUs6E2C9gut1TwcJYQQdnYSF5lsQOLlt6keaVcJIPZHXWh4xlLtRLHcqOaB/xdCWcmRpyA
Lau1FN5Tpg3OJh5526uqmwMzTsHHpQAd6E2eVxDGtp1FwVndx/o2wmLxkR6Gdl07ljxOKTMgdage
kWHBAQ4oZyVlrYhs9cuYh/dKNtPmUeRTkEmwWRweHyB1mL5nfSbLWRAPiJNV7cXXggjWio7nreEy
1Zrq/pYAuRpIQAJZY1IhxDUmSJQ48rtQfSzBjWZa2eydrohg8clXu87jS4h+7Wb2ivgYJzgMHWhb
O56JfFPTzfphMDP8ikryJAvVfo0jmWwSLYqpWsKxVg1w8Yw5BQvkYlcb6qI5cZCbgqKXF85ovRiR
WWLSksWWiz7J72FWL6gz2iuVwwGjXptM2qXWvVlM3qU5HqQin+sQrEvMbL4c6g305WvN7vcOwBuo
B+KBpNYDXIldM4Yfiiq/ySY7qJj6J8v431iMAAmOAKZke6exxoOW8D8f4xrQGmHTYjc+SZWT7tTT
FVMtJgMbKMu6XowH9tjS3WsoybZcbAkFITi/kE1y4hQV00mhF7twMTKQbWJUjbchKcVrg9chmyij
P5JqMVWc2V8FArvKrjRCcOMWuFWj+vCD0EQ5k9nlGoN8WG5iPWzanXE279TdXbq4eSo5IgsioSSu
b351/MCCrfZaG/Vre3EEDaF8Vpf2IqxCBSZpCAtVHPCQFUGIocgL7VukhpO2OI3UxXPU2P2xXlxI
iWewxC/OpAyLkrV4lTgBP89Zd20vLiZbkM0n7Q2ERG1xDWF2+t+VV2VwBoji75bap+c2xuHxK6vP
+ZPv1lsyf0Sa/jz+/DBjx+JDQypFAGc58J3Vx6D4Flsbg3RWQN6hd8NB/Q9ChCB28FEDP3Hs37r0
csj5WQ3ElI1KySCSbBWtD/x874eFQkMMHMvMoFgNfuICVMxPdUshfRLb4VHp29tsig8s19cNC03A
MEP1aUgjuD5twyp9wYX7CZbw57gDBMGoYT/r9VoJC5PapCluwO0O8/VYa4V73dUReYwp7kuwX5mT
6Gsgxc60b1KGIml0bPq3LnS2OX2xzC12kGUpycR2PdvNthdm0GclIebqXu/EppTFiuznNRMnn9vk
qg9pUXGS69GUgRhBh1HA5Y+MTmpaFbZJ4wa1HTEF6gKa3QK9qvdpmu9jOhcC2+xvMgK3BF1uvVj7
NJjjTTo0K7jpV1GHBMpNdakqBwEpWJOJj1+kPV0CtrFzByHo7Z33ptmsG4ZXfhHHj7Pa3utK+Bhp
buYn5LMCWsqctQUdK82SJLCdYVNp3mfbLfZmTq1CwuTPy+CPqIpxMwuxHY3xvmdYQ2XCQHRk3g11
+3mwynXIfdJHX+bP8N4a4V6H5UQ7oP7QMEyE7ip82x0e+jlj4iRvXYU/WPTDtVMqh5yoSzSXAlzM
HF1oafsWGcy1wAR/Zp0hVW5Y9K/RxU2+nJ6fuA7ddVhbmCdV/u2ouspie6ISNOmuGAT1O3jIBpcz
9RqPuvBNA1B37yX9VZWI/rrLq3THICSrfShynHszLvheVrkPIimagOYFpcUkbl7YXOOp/IULPd0L
izEumY2tCy0ncELnzYAZsNaS+kPmmcHQ0MYY5hg1W1DHWXlIxvCxzrLALtRdj7g72EidBI7hajYX
Ydiswsx6gP9wBNcVzI3nW5IIdkijsqlfJCgWWTvc6OiRaakfMKdvZyW7VnJwwl7CY8RTzSx9nVvi
1IdyO9rtWj8CEqa+UC+vNJe7dW7TGGiHN5q06GekDhGmRRNUrRnIrLmM7QE5G7cJk9UQHdNI8+uh
pnYVb/lVNVsbVe2pRq55LMRVnDaJX8J91biEVMLcpmGy6Tt9nVrKI5wHPxLNIxzddVi58O24Z4/M
o9i+P6ayvew8Q6EROspxysMab+GOOlZ042Htr2oQFKOzzktgQnQd31GLXLsnq/KuJwpZGcmf4jQc
fQs4AuNhPx3SbUapbK6lh9TOAoxbBzI+p6jsHnKDUstGrDtctwTUdQxuyVahTGLXiGlvuOFqMKp7
TWiMNvuXRnEuBPfvtFffsCDxAHjtIjatY8a/qfjI1gat0LgxtDhQYu16Yua9hav6cdIdrAP6Hm3+
ABV000Q6I1wqk3yc5HeKwmFlFlfQptZz262jvjwwNlvs8fGdFEXuF1ZMUxVFielWzE417WCy0WCF
rgSQ8KGPxooCx+QO6+u9VVpracx3lCbOG8jWD63dmXsPGnA8EC82Kk0JtGV8D0w0W+kzIlsdPYZG
GPpT2ZwoZgCOKiciAalVQIOZtrmucpow5ssQIBNQc2p8p0I/MMO7MPqwXVVKuPHssto2lvhUReW8
gnU1rXu7kJwJxUdCI93K7fVr08NrAY3mMJq49NJhILTtEK1IwnlVSS3bI3moG0XcxdLqt9KuzA/U
XdcrWVM3V9luSa7K+wy+rvjflv/nFA9/zj+/XW2a5yLD3vuLCxaf+77he1jmPbKeS+L/7Iz/pnKb
f1DBYvM2GDQ5vK+sx9mrImFTawueiavXD85ezHZcufAIkc78ze3e4uf6ydiLEwmygYvfiEjVGa7x
7nblWDEVXSKK9nopjjMtMHjLNQL/mFDMnAkOYHhOshyel1Pt+YSrfz3tLgdf+DMdU7LwbNN0zpZN
Zp10NZ+NnKBiMXVKV7H34dnqqZ1tn8bZAhqf7aBGq0v1wJoU3WbmbA0nI5vkuJtt9JA1PAytu6iU
MV73Akct286zW8JqsVPP3tq9dNde39n89dpnyF2XeHF2Gf45NZm9N1N1S30lJBDRS/RxtJsO1n+7
zjH3TH7ZScQR+f/YO4/luLG0275Kx51DAW8GdwIgfZJJK1GcICiRgvceT/+vkyy2fMWvO72K6Orq
bnWSUhE45zN7r61OpXzXWVK9JR+lKDZtbMzTOmjya2fMknsNSLenOd2HsSUT0ooY3/p/S+VzqSxG
Bf/y3oC7+aXVhE+9vTUMAsVym7Cv1zXPN2Uybw3oPY0swdc5IMOMN3cguyFmGDojCdZARP5RQX/d
DYm8FHB9lMgyUUvqn+yGTLH6+X4qoSMTkdEKCvbAWfP6bZVM2aUni9wb2y7XoDpWarqpWA+ZSacZ
lD2y3DIl7fGbSMjZmXlPznMi7CijPJdEQAt3BUJ7OacsKw7J2XzRno0YQa4ZiltZC45as43V06CT
mqwh9Jn15klJ8wdZsjamOhP9rN+qS5r67O+PqSY956xT/aoJnolYHD28IxvKMpkBg3xamjYRU8fT
DLNUi/RP/ULm0azf4zy7awsc0F3jXBjpsMvSpfUiFTv2SFBzy4qnm/O1OpG7OlehT0DYTtXja3gt
q1o16bknXIVa1bpqVGmkCysFcp3UhxZ3YGPM5GVuYJu4czs3KHZ6ld5WiePFcv++Sa9v0r/CBjYv
xUv78iv5yTesAesdr4RqmlAU36TbbxeQCF1HEGryxnD+c0t9+yop3FaaQCsBzOG++fZVslFfGzAC
+OB5+PcHE77zAO+7V8lghCgTF2mahDlC1Py+4YRipo/2OFY7AqrSq06FODQmWoaDflBCF4lJdSgb
sH5upifNSmc3KI+RsYde5Y10kT7pjHVPIHupTOQQMEJZV3k/T4QaT065rUwtIYbajuvxwsb4cqfA
4WKUlKe0tOk5qTuHg/4IGZ78bgZE8yGRpV009FoDz2tAkoW7a3hkOqmeZt1BKYLDzJVQw3z5+wif
H2FR2Pz+Mjg12QtJKj/XUOJjb7cBjzBDah5DIhh+wGWIR1hsijBpn60J3z3CYovDjom9EZprIWx6
uw00PIl4yP/fhiYqN873twG5mJD+8ERiw3L41/ePcJCiVqZlapkfGA0rVfGcqUo7jBcNRCzSFc6P
ooJ3Br2mLVmy1y0Mol11mON0XzWGvnxRoPB/qhgSKzTkkbH4Rc2Qt6OHYbnpkdLAf+y68N7K1SpY
tQab3Ee5MoOR3PVIPhWNGm6JY5SyvzXKP7U9xcHvH8tN88LZ+vNTKdBTb08lmw5BvxUFNCO9H1Yn
4uhEpmfAg+PU/eapJCsaIx02P7JdwFWDKfjvU8mKE48NsFtEgkIM+AfH6s97E0tVMf9x+kF6Bk70
wzMZ13UNw2tQtmmIBBHjnSJftFjB95MRFwBWxrY75LVE7FOi9lue7nFjzMPiod39HBnaoTWj2NNy
q/aCaZmvKyIyV1EV73JHnjwtwLbSJMyq9HIOLxc0gy6EWz+lcFnZmRO7ej4jQOCwPQySbm1meegu
Y2GRgcceupWwzfTCQFOz5Yf/rnod3po2heXaJFK9oSc4OrHeP86YctazMOWENCW2sOkU+HU6fDsZ
/p3ITHhHFt2oGBsaEmpFtxsNM151ZjJ9KQf0OYVNIFFijF6IDsWz6Wq8Phk0dyTob0XSWrvJDCR9
hkPOPSZYyUV/bbs1KWsgG9NmZc3xlUS3wdBoeqirPBdSHNv+CFNk2E29EyFzzGnn/FqIHyVyAGK2
R0ITWU/TtDzEhRWUR4UtwrL9e2OcbwxB7vv9q7l9adKYlcvPL6f43NvLqb/jzYSupKKPZccuJuZv
VQ/wJSEPAynN64nZlovmrYEQbQdcAywM3DUg87+5MtR3vErcQrTsFl43bG5/8HoiYvvxzuBuAruL
xk1Q0vnb93dGOy6DMYWpvYU/au4XYsd0OAtTuXLmDCEYe/73WlZk+U5qtOIeY1nT7hs5ORn14DEJ
HzC3FbKH6XVcZRD3VoC6A0ATyu0gyu68yg+SlPqRKMhVvdUYElOkx1TrZG+EfJjZsZ5eZ7K6w/yD
YmnOV/y1lgjXcDVq/8xM1tWotVxV466nO0gZIKCp7O4Cy7wf6B8S1fw00U8UrXSSRYNRMtZsRMth
yiIKKcKIEUcvQSp1fkZ/4ozzkUDh1Ddi69YsFK4vZ4MH98Gs8cFjgSBzpMXMTtNTn/sfQvta1q5n
q7rUpuG0J8gcOpGJzlPbScLZDk4Vk3tSCcM7vtY+9xxs8PbZEB/0jnxrz1B1H8jVs5ITBtMu2fLK
a15j50pPnh3jbSJPNC04tH3GWEHOy5D0J0oOxc95PFZdX28LST3GerdaiNbBTzIsu7rCpBpEzrru
5BuGbV8Wi4EwcCsSi7NEwz5MFlM02x8chywtS2UFnSYZZuIg/KjUJkALLE1xQIjKlPgmGKvCyU69
JGFmNllGlPwV7gfNuTNN1S9twZNuDHqpRCfmb7ilnQT0EUG2iirlWmmi3Bu7BXpoFEFkV2/nDAV3
lx8iCbi1W2jaEp/IFEV5V0n2BdupT1lECkWYr8lpOJpDvniyE6orRjsVwW6JbUv8EbLggBGTiQiO
3BJMC6GoTQaCwG7I9fGJGGHpMSvTckdMhp56SVNy0HekS5V/z7nXEkQQkH9/zl3GKGiFXeOl6OJu
3j3/3//z9WNvx5wof5mpMQd8BQdwlr0dc847VabwpS5BwIqW9bs5iVgjonvj+flhToINEcEFYSFU
1CwByXr/g2MO7e0Px5ywNdArsjRRyFM3fpRvED0DH1lK+p1cSI8y6FOvzJ2roZGu867x5Sr1NVOY
2+b5QpGLByVDbYgOXO9if3HCgzawoSkxsbpN0vsBdp7BusjTdm928g57PVgi6mi7UzHvakTAON3d
IKvrRG0RpM/Wc9R0OwkPkWuKdjGK70pZQ7JbVm5eWtM+DCrMeNJ4qaUJO/aawUim4+KCFJRbtJ15
5gWxTXcpje/rRHKx5BHUZ2SHkZm9KeWPXcFqJ4gHeydL4SaqaxS20b7nLcm79lYJhARKEasUKDtM
MT83WHZsLScmNMYbqbOaInNWcpWuJsdzbLfSOK4HLXmwoAcLBaNr6+2VHY9Qp2X8m7O8L9NstQzy
3ZTwtbUd0PDN4ISfCS0FM2lkHyvUyMPI6q6PB1h7BS6O1jL2uC+3k5TtiVcijA/5hpF+aG2S7xb9
mC6VXxeIL+RFxXQcPLHkQGZQvu8bPJG5AbotX+MyqNguYbxaiukgWY2fmfMXcoZ8JCgbxlXbYgyv
wybeES5zu8RIu8zqImxqP8VmGAyqb0+5F2rhMRtCjsmWgXLVX0YGhJNBcoN52hTz+F5dwlUPAd6S
0IUSW+YvZnSUtd4zhulpcoxN3pOUlFg3yE48bp0jvDwsgTaLHPu91C8XbOGe2eFcJ6Wxnlvgl63q
y850rXSoO+QFx4fSuqSIgqZi1L0YblOGe12eD4GlrwkYJPI57dD46Rd4PJkRAJ6lp0osB4eHaLSU
c89lS8wfHu1zL2aItizBeOiSQ8QiHCKE/aDp8uCp/Vjx3Zk43Eital/X/FOucn9owoALR8v0aK2l
WjNeTuhUiZA1cnNP9KHhLVFYHkKjl1dJpJE+PVfyNklTWA9paEO5y4I9M3L4fmXI85t3qEZCs97S
VpgrVD8MCydi8mRpzrZdpF32cm2NHtBPfryoXDJvGKWF+eJkJxdVRd0bEty5A1XOMZ/THPT2XVYS
71ByxXkYitj9qWH5d2T3ejyLJcrvT/X9y5cvL037q/m3+ODbuY4xDIQ60RyseF5L1Ldj3XyHv4H+
EMixRXDM96o8XbgVXv1iVJdfO0vtnQm1iZtCwGTOuto/ONV/BjGwkyLAAUEKxTO9zg+1KyipWUuV
Od3FoS1AYXpkVOugc9T4ln0NUoBK0XrVI0YyrzaKpAfDKqxIHLsdwyK3vVxfCl9ui8IjAzB05ca8
rhozfeztSX+yWo7uJY+13i0lxblMlCnYEJA3+XVV1SHRKWzMVoR09eXBqns7ISlW1/qPVtGB/Gxo
+apdVc1S+gLKZNmghxhsz4lK1SU+wWEdPVg+MeXtzgyb7DQirKhUSm+zJm5RcsbGk3CkcNymjQbp
cy6iTZ5jSpACA8GdVBPXoJIpjIzCIOEITWDV7FuUCQz9iQdOXTSwxolSfB42WYk1fN+N0VydjPaT
FCHUQuchNeHnGvZlsnGqTAHJAvXbXE+tExlEBpKx195nXbLo67/NIh0azFvqmt+/bgc0WT8NF18/
9M+rRqLXO8bY1EcYJ0Q1xNf7512DWwbJgQrqVXP1TaOoYVBiO4sgC2kq74Koa/6ZLWrGOwsRF0Nt
NjhilPNHmyZLvEvfjMdlKBEaX09mhs8IX9Z/GI8rAT5txirGZUS0QXOvEh2WoytAZ85jLPUWqZk4
Qy5aO9UeqtKcQJWM2TXCIc+RtSz3m3jqYq+z5EDkJpttvctJJPBnXJ4G9h1CdxARB3ucKJRhZVYu
6XWZpx+qMb8xlehxGjGsWBr8WbOofR215GqxptgN6+hTaUVoLUmb922Fy3WWiS7v+g3qqBQ4ezr7
tI+3BPg+4ICvokMpJ8vsZ1EeTu/TjOjtPO6XzWA0aVX6EV/V9Mp+7ooLXZrN7Rwl21iPgzUKn3El
d5hDg2KoPqnJ8hgOSFGJAA08pSrWLTmO3FvJlgptG8fMg8gZ/SRrTYILKdD8Rc/vidb6rF5UxXxR
6mzMkD17TrakuFmDOwBP13kp03gPm2ShUDDvx6H9YGLZ1oumdv6/RKYwzvixLVF4NH//Ih5fxvin
F5E2mg99vfOYVDJ5EV5pDHdiaPp26WEVNATHhFS5s7GPb/91ZEPXQS/zDwRN3Idfp/w6IgoRDqe8
tkd/0sv8Aveu0vGTIQG+RWOiJFqdb7QSfaEUmHLbaFcQNmrD7hlLDTpsEMa3mpL1T/3rNAFaBaOF
UUwZEEIwcOgWXYnW6Az0cDeVlansDG425GtWZyUrEblQHszzrWbmBoHmhrjsCOhkKiAuQMnqVTAL
4lrsxAXZZW36qHBnhiX7VzlLOA3EhTpaTWZ7usX/fKue79yYoLpqU57vYnLHuZdJroz6tT6wXG4s
vRwOwzgMKDh4+4OrSA+Dwft76/DT57mluPr9w37x9AwW5hfCIPGxr487zxPOQ6rG1yrv28edfRdC
Ba4R80za/Pq4s7kSU0vB1GKBdS7/3h53FTkRHTs7CZVS7w9pW9rPPiiuG5YXXI38pYov993zzmtg
N0XjcKY2eo+ftEJMnFwvAsht5cbSHBXdeu77cmML8nY/+Lba8Pd0b5gZzkWleTZb9a4ctCMWfRC2
EY2Fs8J4SrC7ChVwyosnbSj8uQwe5lja6zlawqXeB3U0uYEzHC1k6525D0nsizrrJUmKS6OeiM+a
PKuEFj6I3a+n2dPLVDdumL3MZbuf2BAMnXVF7PNKLuyPlSwdgjDc502yJ4T16KhwbmNTvmqS2nOk
/jrQ54ulXDa9XNxi9vVjnJOlYexMJ7rIqmzdWCSUO6pXRfG+sdvdOCBqnMctsbmnUjUOCoO3OjLX
oZZukpblRpr3pCKHmxHVUvlgl0MHg3fqCLzqWqLMmyyebK+YAv4MqtxLH7BjtSghERhPSGCXCKyn
7LdB4OFWd/MkO5TBUTdS5gfpCm76wS4+GewYjOg2R86LyQDv7kd7OIrI6WS2NlGuryGBHABUnYKS
JO/F56e8bZMUz67mq3yXGOAKFoidTqreyP6iCAknym4qIGV1Y6+XCVdYesE/AFgAroSSRBhMkuow
JMs6ky8ZKIKRhmpT5WsltDC1Xsv9x0oiMCdhXinpIPFx5EpIh7tjjaUGxK+bNJ+1EG+tHQBCA8aj
tSvLeIS6umgEJyLWmmxssnuTGbDd3cRO5FcE9+XoWtTFHZojtgiEW9rOaT8k/Oh7CK9aGVwvQc+J
qbNSulHG21oyLohzu5uch3jYpc7BdFCMdbOzjvWTsUh+rN7xhw5x4+yQjLtz+BJM2qnq6w96EruL
lnkzbIE8iT0qnSavtnFwHBeCgfvmphtI4bqZbWMTMAvJQvtSiHvRLrCyDUJIM7ZzJMPjPtUK0gfr
8VTN7b6a03sMvO+jSN7HpgE02d5pvb7BToMYNBTzXg15aJXTbpvaBylgQlEk9/PMOrdprvA2vaSk
HtaxfF8DrikYNLiy2eWMp5dTHEC5CUfPmkegR9oGkbFnjdp9XAQvCjUNWzXgQ1agrEJ18RsqNRKs
QVZEONDlaV8sSua1neFpwJfbTt6HjRodmE8RO5KA7G9nBz1cx8+HdOJwNYK4caHwHzRGa97Cyv1F
RU3qLUP0BUHFbjbyNcE7N4kENwlSEJtD45ILFSGugjGYyvswhX20mvSpdWF4IE7vg8s+ilibyZVf
4N6m0nzGhU6IJ77uZuTnxTgtVOe7Ad+3ZeYnHR+4yaQmxRc+juPnChk59ijhXwc9NeEhT+u25Kvn
F8qSngJc5plRXxfCdj5oy8bBh64Z9acEX7puD16K6nvBpK/iWycPi7WHsVu6FBIFznab6Zobqum6
wvMeWPVlm+Y7uZV2Zdr5Bd54uYCPKczyM8+oinsez9A6YLDPH9a8GvDX51m5h/HpJ30CDQUHfoET
v5amp6rP3xuQMQZO1rGWVjr/gFGXH8gVZUdqXAyEhmk4/FWc/tKcnkYruTAZ7rvWXLP2cI6BRXAV
jIDUafcazABQnGujWYhnz9d6mW8U9aGDMGBX8XaAOLCMNXWHwzIDOipEgnNEnUAUQM26jidwTgJe
UJ45BsqZaWCf+QZCj5b7f6uCc1UgurPfVwV3QtQa/0rrIj73VhaY79RvPZei6Xyrgk2x06RiYPZj
EPciBC1vVbD6DkkWU3uslyQmkaXxtQomD0n8GntL6MKCqvEnVbDJF/q2HxVQDCZL/C5QPfBvPw70
Gypk2ro83FV6gk8nLbpm8KBtBVwitlbCI4DXL7Z1n6042Ge1+mLP+gEwAOPcSr3ChrKR+26d5vWT
PWv4N8bjUKW7yMSVFmZ3st71a6MwO2/Op4+41mx8Dip0nyHOfKvhytaNZbPAj5WawgQ4FD1GRfsw
mI43W0uH2lFtMEI4j0bdh14Z2fuEDvaxYsIK8S7WIw3/RBsdayLfwtswbTgO0Bx1Vy0wXrPsjEun
boLLOLWWB0qFwY3NcN5YzpjkbkOXS2azHfHKpmUP/N5q2STMRLIU65HKGqNJLUWnXpkv+5Q2HHY3
MgdkP9cYX+TFtYwl0FaTXS46kLU534xmqcV/S+5/5qo8ir9/uS6f2vap/0VXyqfeXi2YAyJ+VATI
iQnNtw0mWh7kZYh13hZpX18t+R0cbUp0G4s0Zfc3ox5dfmcgkKREFwGUZ5LBH4xVf+R0YghENMRt
gZoMwA2Jd98X3KlCDBJCABjtpuJpgPMiV4m12vITiFedVxgd+Q6TBQ1JImse3fplVnTKfDCsXNlF
sjwlHqn12nqecO9gc7myIGOuh6XnOoq1cDWoyz60LSw0xuxWJOzi2Mm8OjHDw1iriAVye/SNvF52
7AOwNk+yDwDn2Zq1p0ztbV+JF0xa/LBUNtwTJL7rbBrL/pNUdN3jTPjFl2HWqpVZN2CW5rHeA6PF
dBUpcrqaTEcltalrr5yoz1fWEBT3tAfRuqrCcW10erJvneCLygnqthkxGlayl0MVoMlNpwwHuarr
29ZaLE9Rmw72nTq5SpNt0rTTxJ/rc18UKALw18yjYm/quF9FUbcJ08nVSrXlzVa7m3Lm8PAQEo7v
nUWON6M+WBjn8p2Gr6bttYGiyCHQcC4/l5C1/+47/nkvmdP8y3v5Mv7nI7aMX7yZfO7rm0nCjvLL
fQeSHB1Bvw1t4EyX/ubSk4lKU0BPI9k5iz+ZCr31wvI79MxckqychVZH+aNL78clNi+miMfk0hWi
f3R737+Y0hCaOCUhNfbV50y+pT7cwzbiZLf82Alei6P/ZRY3VyrfjF2+ras6adwcO99/Mzm0Merb
fLNouZwx1RrOJS/L5pufwdXr/Pg/RZ9flaQPtAgHFMZi39/j529DZoqgOAD9FlG230yzwmyMh0Gt
BsA4YkiEta2drMuM/LQ2KjFK7qbQ8TVMnpOifBi6XHfVghj7Zl87q6md1s7yoFQLQTUVqYT5tiER
DMwvsNGQVWrxrFUVDp7iaiw+29y8rZwfR/VR66HVDU/K3N71lX7VlcmDFNYbIz6C4nSXQpY9i4VK
nk7Q6frx87xgZhdBtKFdbNKuXhn9sjObzBt71ZdkPA3j6Be940q6ua+l3k+D7mYSgQD2rYhWImj7
M27HwHww4B2nagg+Tl2HzXTKTekKnsBjzbaeQxCtFN1ofwqNO7k/waTl/MSqaphfNP3CiOwTAUq9
khyXKEcfqJu+bjdrUkYI3nG69xNJrds+rkMvJjyDo6TFt2SuVC3cj4azQgJ2EmE3yRh7HMtHkdnh
RKjJA1e3ig3QmGvTXjwjm2SPzXC5UxPJWNdAP1exCmm8IQkNGkRg3yKEJ3oaUPM6KeP4OKb18pzi
5EaeCTcBqnLrI5WXdueH5S88RRDffn9ynbr25Rc5jgzYvp5bqAw1zHOvJO+3Mp3drcL+B/8Rx8b3
whvM+lTv7HS5519HdP89sVRWTUBOEB/q4FiEd+kPaglOih/fb/SFdNSgU/hiAmX0/futGkUQNXZi
b0kHpRvNTBaUkCCTPvhYJPNtCiIzF6zIFmhklYSp1wLT6uVpS3o4zMu0rrdhDWuyAzpJ9kh/VNHv
rZfYPuHpRkLbj/kqQ/CyksflU2gE+IoFybIXox4phHjhQEpODcIhwV4qNlh6AxBmK4iYJE5jrEtQ
5cRW+iHSUNRGcMG32dRfotczT1RqBsGEgrQZ20H3vhP0zUpCchhNAL1KzcJ2iGBSf1Frazo1oDt1
wfAkiPEmxvddAPfk0iABMlxWsebsZPCf5uJs0RZGfNNKu+9tfd44ghZK6IDghg5oJmq98oM+UE03
YTyRItCxn+dyqNy2ZUDWLuF1FcmbIumMjSkYpcYASqQV3NJaM3eStFwvBf9LB2X8GVBw2rh13g0K
iAEze4waOTyFGY3AoWDg6hdhBOGciDEDbc/cZ5f6We7JhiF/P4VQ+KwakaaUNJPOQis29/1ZWpee
ZXbjWXJnptlyt2QzLkibDV9JiDjKowUw+8EAX+xG7Th6GqPIhJEk2QEMYoJsg9+U1GMHlI1+KKL5
1DPM1AcH/XJLxDNHFsNOKQ3clOFnnYcXBcPQiKFownA0H7PbmWGpw9A0ktrrmiGqac5XnD8ELTBe
zRizOoxbuyo6In7/GAwoqDvjCraUOzGeHZXnkWEtzpoXrnTGnr0PAy8rRzjNE5mPGYgF62VsGVAw
+rWzJ4dBcABD1e0ZDYewACZGxbVpPbDF8KksnxSYii5PY+lyEayqEf0Q4+ZRV44G42e0189ZHiuu
xWDanuq1xaDaYmDd58WmioznJGACLTInHcSl7tJq0F0JpOwIpgy1huA0kioXQ3+uGRSRvnqViShL
agS3Tad6r9im7sUi8NJBpRkTgdni8dCJxDS1aCcprRitrZMIqCnRmS0RmlFY3VtEanZRsJOJ2Jzi
/n5E1KoQval203aUiyNpl3cT0ZwTRDAESOPTNJn+ck7vRF3Af3E2AMIG1xIZn3bPcOdJF8mfubxc
8vwfNCJBdaJBU1uKfTu21yqKhrAmGpUQ0VFTLhF3eQUJggsoXtmoLwxCR4uyfJ4JvLFTdTcTSmov
1lNgNPzpg36nkmuYQ8p2JcvZVDysqQhkqz5VxJzqhbpTiT1NEAsNTf2kVwnY/fQYlCoasGQdOM0T
kOBVJCcvZT5+xErzWAbjLWAgRnsS4KDI2hfcql4WZdcOUawoX1CLxSeyz29qolq1KgeTCStE6xDj
5cS5sjne9hQJmRB9OGqyUWMqF5UIWEVkwSoiFRZtLLmnS/TQExhbyME6JEA2CFkYG8b7dO5b1yRi
FqXhxirmaTUGTwoRtLSIwPXrTvcNkU9rSN1NSGBtKJJrTZFh25XDyyilCrou8m1tgm7jcMlWfcIr
VgXPhcjCnaR+tUjlKiYnV++SVaMsn9L5L9TsTeD6rwqqU/ESPz/93E+ofOqtn8BAL4xYaCYUVldw
tL8O0Vgl0/vT5ipwzRiU8UtvQzRUUgj1heX+H6HU134C9T9uAv7/3LSv+Td/cDurPzO3RdnAAAL1
iiWjFPmhyAf8hIcknYOt3sB5fgCQywB/oFstyLV9wMlbcjQK7XUnZNjxWZHd2wXaBlSx6sqMCIMh
/OpoUeTmaLnZj32q0XZ30wDXcwGYGZ8oMVB/V+jAF/TgaqPzxkX3+tw7lJqIAHNekOsMFTkZecBi
0JVXQmA+C6l5JU4zNPDJaN0paNEtrXRZV/p9FN+UaNVjVPKq0K6TYdNr0XtViNrtNvlIhByHhF3n
3jRVIJ+D4EM6zL0HZ1tzbSGQl+J8QvXRf+HEupHQ0MdmbPrAPAjgEgJ70+hXJYp7w2i2ORli6LuE
Gp91Bt+zO6v0WXUEhybVOhShcnQLWlAARzI9Yysfn7fY0nmjTaxVEO9GDW3uzpYGmyte0saNktn6
NQ1KPa+UIGJLtRhkm9DfsNWoWG8MYs+BVoSbJLP4XRcphc95H9I1mifV7EhSSdkTguw2LE8o9TJ8
Rcs+a9h7TlJ6wlHtA07yIbji1GMDg61A9iKWMibLmYElzRRRQrC0KUyc2sDVelk5yfbMVkfsdyoW
PXGj3tsFCwoWQHXdXZExtNVYDAUsiMJe+YCgjt8y48te7JBw/8UI0/QN+PZdTfZyyLopYO0E7Py+
S3oiTPtTIvZSGa5vOoajJTZWtoXdEKmbh6z0Ege3N7HcGvoLbSD5YepurOpxSD9n4bwLJFK6vTCu
rwaZS23pN0ttePWoXZKOhI5W9jSxVpuru96OvEHdJ/qJwHpfCY6V0j/0MQBZFp4Zuzl9Dg+LohM8
rbO0jfyyti46tnkFtYAtT5e10pA1cwiAEsMYx6nhEcnhOVO17vlplDVAXHS5svMRc4U/IkiGt6eK
zaJitGzUnmst8hXjRrFfIraQQOKPalpfSfJpStr7vrPc0RJa23BVKheRGnqBBCln2dTaSbKhqp+G
BBhxaq1LtqFassJcIUl+TgE4VE9h0yFDSvfcca5SPalGvM3A2YZVfaVad0wJeFrivVzJh5AtbCpZ
O4WHCgE3NXGALQyfmX0dJfd9mfKO+fXEw8eCV14AZVwE2k7pnrOW7Rf/1Ihdn2U8olnv9y0r3Lla
I45xbRbFioEXQ81t6UN+XiPX55Wy0y8qCTfnVbMlts5/u8Dz0kb916XNqYBBH5e/uG6+29ngNUPS
DZHlnNVAM/bWDFrcKXSDAvnGePc7uS5WC7GxYRDzX5Hv2/iK9AcL4uZZYSsguX+UZQ2y/MdmkCvQ
BkCDLoTfxDkL9tthD07QwSScL9uFIwuLZIEHuUqL9EXJFM9IioM9Suxeu1C+c1o7+siAIdvDCIu+
zHFC5oI8WeP7AVrtnOtmdQAD4cTTrkmdtTlNd03BzHaIdNmdanWlNZDXOmdhjERNxS6ePCAZkHh+
S/LP+2LpL8cgNdnBOjNfGDw3g+O7UcIhVTfmozVEGAw6h6zt3M7Q5I1G+TAHA8mryGOD42SSYsOB
pUzYDdLrNB77ZW1jpTtRbsG51ZckadZBn+OOGOX4MqYqk+zhyojiQ2ypH+feXsl1cEiVenGJbDkG
WXzN6uyiaIK1pJmHOZ1vIRP3RK31d6RL0z5FNwDPgFRL8l2tKQ9JWHj8tK80PbqdA+UoVcCgoozu
oLU+aVX9sVPOUQdPZp6sVEO6i8v60sjo72q4GBL+FpT6RWechoxNWTJlwce4n6qZhradX5TOmg5R
Kduf5/bCIBbG1StJsl1J0yt1WyJIvYgqKb23JC391PZGFf0d9ryOqcWE5F+GPbCcwpdfvOV86q2o
JANRwGMIXvnvq/z2lsOk4eVCP8w58M9m6a2oVBgRsXpFxk+xZwLE/VpUKu+oToEQ6CCPmQrxS39Q
VDJ0+fEtF7AO1sKMngwI2Vi3vhvpWkVm5zEP8FZH0Neuw2Ixnuwxa2WXmOBaeZJgYXwOJ7IIXHiz
yRr+KdmAcd1e6XVResCg0NhO6ke7CaWVqZu9G4KCxOsDjrkTYOZZIJqLeiQQWWCbG22Q1xEkZz1P
lJ00Vvp7aZrtu8oUo53eGdelHVnrTq6NdBs20s0yheO2QFjFKTElB6urPsy5eoFU+JM9LjUtZi3j
amGkVneeXE+fqdRvF2kqG8Ll1PxWYt90URaLvY4KeK/LmJGhwqKmJ/KxyBtUVCm5h4v6pHTTcZyg
LSaqfgVSDZxiOz3aS34fZvpjoTqfZITUXp1l0BobT0+nQ9mFm54gVHJFVJa5jGpT2bm38cWU1Ffp
pCJWSSU/0YMbzW4p+Ii7nwLjBUfrNfkBp2KULqWc4VcUjWu5lHZKXx/rnGSCTpuOGTulsVV2edNj
QVhuR8l5zGV43cui7jNNXjvIPN0xrN/LXfaZXGoGwcUxAiI89NJ7dVIvWym+nFuzcNW43iQxuQyB
fawLEmFUjBRRbnnqoh1SlFVmHD/lQfSFqf+HyNE+zKFTeLbd3+ctLDjQv3YhGdtwMpZPVVSl45de
S9aRTOyfZSC3TvMnQx39aXEoZqv5wzwwtkvyp2QsEceNDoUPuQjMvZNDPI5bJYS6x2gPfIu2DhLj
fRLZB7MOnoyQ4AizKh7qMmzdzElqYl6Si3iYDkXWoFtnpBUslQG2N8m9rqbrwKFqrKo6k65GJ/8y
pczSpWpEF0XqGoI3wobzjaEZjXEcmQRVH/4WOK8FDruffzn52vHXY24+9XbyYWkwKGPIieIQexWe
vJ18aFIobagr1DNW61vSBTt12cJwRDLeq+/o68mHihWoOIsPVT2Th/4oGJb8tR9PPhMiHv00iD2+
Fcv670++oCEPpar0aCeS4TWGcbPo6sammVeqaPbqroRv0doLWqsYj81u4HcdgdTW0UAbQg4dn5XR
0tnDxC/hZ4rO3qb8bMVJzrac+dWjI3X1UStHpXJjkpxwMkm9UTwliXlBLNxQn0KbVNj9mIfyamYx
uYqQ+cqIXIiFI1qAESthF2Nvym4gAjAKkjACEYmxRAgcJxGTEZCXIcnyKg6Gx7TVP/fMJHap0X3I
z/kaef3Z+h/2zmw3jiTbsr/S6HdP+DwAffvBY2RwJkVS0ouDokif3Xwyn76+l1FiiZSUylKhC7jV
nUAhswQqMgaGmR07Z++1VeLGwnAuI4KjVFkciYg+xJG5K1RKBwlzySbOSe6IWjI8yLmn/QeULdQG
cV4Q9MH1YOsT/JEEoJBqOpaJXFACxNx8IpUT4qjEENtqzgURIobKEikMZ0+c4VmjUka6AqgNaMCH
WSTkPqssEs7Ge1KwQIaonBJunvNO5lzVphEoqKvyTFKVbNKpjJNUpZ1UUNr72S1CQyWhkGm/jga5
kkSkMBigV+zX4UJ4CnE001aO9G2JVdG0KV9Z3nvTO9YJXYkIX6nm5LQijCX1vBPp0TQfBbM7vzpx
3H1tJk+JfQ3nfIk+TsuxV0P02M0dVjBTXwXOaXxvmlzWn3TNCSsMNXobfEpyXn+HxnhtkQzTqIgY
Ktk6jFRsjE5+jE/EDs1AmvoZagolHpjWJeODhMndOpsbsmVQCTkoG3slcewz/KaGuYAmRf9oKSHk
mJSnogPwTqM+W2mTdz+jmpxQT+K8OZpRUxpKVjkrgeXfW9yXLY5a58+3uAsS1+/LnxR3POpli7P+
YOdgG7O/ULRf80Ko+3zTwRr2kpHwrWNo/MEEHY8JqGzc9G/U+MYfFn09JYYx6Ecp+/1vFHc/Agef
dUZMFZXdzMOf/3aHE8McOcJ2p72VeRFMe38msqdMCCOlgROnB/Lt75LR3vbNFDEOZ5y+bL/8c+pz
MW9bd6QxlHfTyjHL6YjdqQdjY9ExmYlogtcng1MrTrjt9fldlIj2LjPndiOdIcxK97R116ZIVXpq
FNsf+llWSPLIXcJKHYj1LEfnujSCqGG+mGofQFbHoaU12WemJRegBb+oS/ftCBia2M7M3mgJlSUZ
ExL2/pKEss93ppvQridQkBLUtYubgTRT5mNhZGbXsrOP9NHd2q4gXoX5ZKXfZ57UVgQ73KA7PHR5
X60Lh7sZrNFrMdXa5ezp7ERa8cBt9fj/x3X0ekGoFEr0Zn++hs4eh/u3XfevD/m6gKgNaGewehhw
f/Fo/aMHgo3y24qBcUUTne+xaTtfwzC/Nj0wTpL9g00ZoxeXFzxbv7NiDNXGea1w0bFeqqch3oR8
E7zSSgHzSuGS9DYatba2Tr2o827n0XaOOI81WnBLoa/npFQDsVocAPE2RiiMZtjoS9xtRtcvdtLs
mhMn0qX53kmW/Ex4pHEcN9Ng2cBZGlJyZWvPt9ZgD+97skfWfTwTn0s3A+rN4HOLqfusX09uQiqi
HGfjSpIB8aEaogEaZxAxOdKqUYZkjXBqNVE7btPSzvdeSzEsGY/K0KvnfufS98Qvk5DfvIpjQQ6I
NlvThT3PxOswDR/jPcbWRa4ngjo+ZbLoZlq8ef65QR9Im97B3jWO5XTO6cQwsYkj3jt0oJm70YTK
9QhAp70gJKcFsSOalp9anVObB+nH80WTOM18FGuVk63Lku75wecFimM7WrSSVix43UvTR0Ae2Fl8
BfhzOG8KZg6ZV/Rrjjmf7monsFWOrbcvg4J7TWaLJd7TXJ4uCPPOK9jrLeaYUys3b3oiVjxgFGPE
8d7sI8NJ5a6MzNjydj7pvvHWa1N90ddTVir6UV7505nlLWVlrHoCfI/szoDaH9a4U91VxmW8qnKG
cAUXx7uuLuzOuhroe4Ut6suaeyYV1nSWNzBWI5T6KUT4GqJCuWV4z2RV4qQnJMDRYPudR8asbYdI
kLWycrqeqXrYSCx8SJu0IVnHDWeL2OvdaETHZsvUZt3Y3aC+ON6yXyayRrfalOEkz0vGiPjCeylr
/cyYS5ixDMS7bhiRU+WQiTvjfRwlprl8IEt4rtrP/dj0ZRk65MWQ6fFv2cr+X833VdytP9/0LiUU
wO71Pvm1l8SjvhUO+EFNLzAt57mHQ1fm5W6kpIsmkmJsrS8/eukKIV0EUYzpTkdNT/uXzeml96uT
fcnsGDoZ6sZnQOBvFA7cp95ug0pPCFsco61uGuy59nfbYFs5NvS6qN9bqeeEZKVW56nf9wPOse40
qVhaSSTNwzLsfTbHzw3dxZD7U7qTQ3lwa83ZNM07EFaMLYKbKUlvuuiMXphCDVsfA71/bJP8srVN
EPzEPgbpOs2Hzbjow9rVh+spHs70xdigFj7CqP7A1GpdGNQeSUHT1D02i0MulmsTLW+MqytvzHtA
Pu+NBKEOFExCz+YHI/OvcjMI1s6SnDDmQ7qSBhcL6mDZ4slzLnLiHWd508z9tkhQN8j7us62CBhP
MMes2gSn1SgT8gEKUhBS0Pyacx0I1bXOt7EJm4urUQnZ2Ovf+/G1T3JBwr2ClToOoY6Gw1fx525V
7uasQN5ntsfuglqYNA0gFS24rqIoQCwqnXOvxTZx6MV80XpdscZ1c0DHgx7asAkmKmV37gzuFYrS
9bDUR7wG/2AU3sfAqYt139TbcnT0A6mdJtS2Nt0YGXnBWbJqZbqRXsOOz6XNE+ryl546UH7KVoc5
1EznBcLGziWbQLEp+vcN1dCgro4Zt6frghSlzmuvyFpZ491kOOeT787cysjW9mCsGwIuA206ypBY
akgSJ4PsZ4PyiTDHh3Kp2hPNrg+DPvA5I9TsnWNuzjuRdms7N1FndvOeJvVpXRLgoDnY4aRxvST1
Cb4kwdSrvKgx/4c0ezYuX8ROdGts2wAZ6w3hoQck2OuxQqbmzd0nSUYRHfS9zz3ToOcOqs0hgdpZ
Jb52Ie2nSu9OjOgCEIcTCrs859a/11uDafSjFut78vP2Oj6ple6JW7tBfd6Pd70ghirXGMpGEl27
OI76G/7IJLDPdiQ1u2Hji31QilMLKEBo+42zKW3j3hRB2GUYt5gVL1dNUnaHzCFaenHhUaFhI8kH
fZWMuMTGtOTCSSbt2mcGsQXo5aymKrOLnVM50UlcO3g6dZS1TjqZq3HMIhyQkMErESSoQUcUp7K2
Rg+d0lKe9K60Lu1cc8q/RehfdmSlX/7zffyKXbwjq/2x/XEvV4/8tpebLupL9kmTQdkb2YgyiLCt
4R2h3+UoQfk/ZCOIOoFh0/rX8W3YpsoJftnLf4S9/sZe/qNBhBcHYRiwq0FqJM/5tqIlTrvGOOEY
6CKsaHgysjip95Xo7OzEscfmseuCiSA506+m1Zx4M9vE0DSrKaAtU+FMti1BaCV66p2opyetwFG8
StyAcRwlHgFNAEY2FpFNqcpuyoi78QlzMs3404gO3dCxUai0J+QRA27T4KKY8WYO3VUqxuhknnKe
QKuLc4su2oR/kZgRfGD3QnWAckzBK/qIPsqHhSSfvLs0bfKM9GHO121J2oMU7op9+Ql02w11br9n
L7KAmOE1KYNOvycYqltFuWesFx0JNWpPnziU0LYZji1ivolZPCc08enxUGizs9vmvhr0ce2KcTxd
+oEUzYlR4MqO0mlf90lzyUzjKddz83RMYiq/Mt32LVtRx4Vi28MaWqMsbI/cKIpX82wFh6z1q0th
eslllVDJdj23gH9LMfaflxhrsVx+sTzFQ17cV59/sjh53LfFqYRbro0TQ9FBfJo33wotCDzwcWgp
4896Jl+9FFqqDcP8PICz4DtUP1RuL4sTYxc01yDA8aMaNL+nuFa6sdfXTRXnptDkdIl8/m19f93M
SuBv7ZSPe93RZThgbUr7hcMfb69l+ySX4T4K3doCIxWY5E1q9hkbPB3MoSQaDQbpWvPs+VoMxd04
Fx+doc1CpNbkS2n+U9N0zWla2OuhEf1qia0DjiYQpI6IQulmethM4yYeHXvbRjbwHE90m2yyzbXp
lO8jQ9/qRjVsBtdB52q0B2vMjyPc6WE7DtkqS+L2qomygzC4+DbtkW/3IhRJh0hgtD4vZX49VuX1
rCXXi5knYUuel6SWXER8hmjtOPNE9uC2R+RF4haBEXqWBUtfEgg7EYmI9dG5p/twNsv3rWfR+4GH
UtwZlj8iGTO86tqkI5sKNFLbjg9xCunN35nDxTgR+A0sjL9GXBW5b1SlmxZj/LpCsMYnYX3W9Yam
uPfx71X43CVVeSh/vgqv+/9xcj+2j9XDT+bg6qEvC5Hw1y/YNz941layRl8WIuJKV0ev8jwE5+bx
7ZCkucOJBdCOpat+yoNe1iHXJIUiDXBYqfkNR+tvHJIK1/V2HeKreI6PRnqtGHnq56/aPulszxZu
4fTIn828eI8w2q8n0Dmxg0TjOcRHRNJbL/V4x9kB4FNl/WiE/vRf4n+eo4Ak3ZP99BwQRMYRYUGI
nwkOotRTIULPgULVc7gQ1CKChnBGBk8F4UMjuGB6D6fMfU3aEHj4Ayr0fWdl9wQkEaJILN5x0Izl
ivEwpMWxrVZFg5hMX4iRs4XQqZKHmdx1lwwWXTbHstO0485LSTtvErYEDEztcWG1xC/lTbCqq+bO
Jwx63deO886t06wNa8e1mHzn9YcMS9XGzgbyFUUpt0Ztzqcek9t3pplEY0hutb2OEz+geo/fM81O
mLP39Ule6FS6IohYeSXnYM/0nPRoQm/WtktgKM3k6DDnvhE2Sfw5atPulNNc23q9XuFJ1e18axb2
/GS6iy+IFkzYD33WK+VIZKTc/WhtMZpKLdjIg1256AgHtWF5Ljobu5SmvRLPCL/mGefnPqP9VOde
frCf0UmomMAodc9IpXkibioPf38L+OdaHpj6+d//UmaqB15Um8ZJ/7/f/rH78uf4Uazv+/s3f9g8
o31pM7Tz1SOIaR76xSio/uY/+8OvJK53c/34X//z/jOBiWAx+jZ96NXp+R082KJN+os9AOBwL+L7
nz/uZQNgVgKIA4siJ93XWvhlA7AZ7KJM1k2+Y0rzQon6chJbf2B8YlRiMcAwvxDZX3YAyEXKQ40H
9PkHMA9ePoeLL15GPsI/NVBi8vxhC+CpFQqBF6JO4u/qZGnWXq0Ly9xHGEkw+MCbbfN8X036jW0A
LQCa1YQ2E9ihaU/MmUZC7FNdVqrOHFTFidXQwiuj9fuccjSlLC1VfdpRqHIiEvuXGwR09GN3OVPO
xksMxFYDWxyXCtARIZaY4s9GTDEKqpXbpUrhsxfLfg9HVUHmrkdu11tjDvIjXaX32YkaXFTzYy/r
ZANf7+BQ3K4CaV40kUH6nyM+DCoPEDfsvGlURiD65Y+RSg3sy3hnqxxBofnHQTuSLEjEoKayBoPB
OC1NxMyip35vkIHgjZeMeC3KEcIKIzPVwqa/lZYrwOSpPMMBMZutMg5TlXY4tdqmK5k+9wQh1ioR
cZyna5eIROZh70ggvo5SBIHRbN5wNdnqKlXRTNWDFtkeTVEPr7mTEt5ubK6E4Z03wsxDj0+/bklv
dkwgPzmzYSfDOwmeczvTOT6TKUBMAJkofFLXCK0BpLEdJC3I84kYz/FuFrDUdalFK5DGzWEx2OUm
Yfgry7Wqvc7bOgdjr4VmMFylUbOtPXKT557ReknhvtWD7qoGrbZNs0XbTk2/13T52HgkV5IwPQ/i
iqi6h1xKQmJRsnP7Vw41q3wcCo3vTTkEh07kZyl4N6ZXhrdJtOp8sgqAvxZ4mVZ375n3XvhVcZq1
8tTpbUipttLyeo23rUz9CgUngsJo0jfakF6h1yTSspapbWJfH/LmpFcBYs6XMDEBftfnVgoLuojG
x8TPkywEf9OdIo7vcMi5mXMKqctjPC4Q5sRLnW/GsWJG7imuD3htDWeMPCEeTOxi16s3fb7gTYtG
/yZZmuVQesMnrZFES09Os47jgbTI2PBoUECdqgzhhfaIHy1uegDEKQHmc4XbC27jsg6qKb6xkhYG
c+3dsWcsYZb1ALNpgZGGZm7sNNuPopvWke73nJ99TPK45+1+f7v++Ub8Zlv+b35ver3pmvDbfrlT
nyrexUMiu8e+f9Oh/vrIr3u1G/wRqJQ6w3MQBr6hm3ps46BNuTOhDH7ex7/t1dhd2KjZ3xEnY71X
UsKXvdqAT6MiIwnB+Drn+25v/tVeTUH4tljjGVA/wxDC+M6r48B6XawF1gzLotbqvZ8WT4mIg53m
c6VJfX38cqL/6anws2eCh08cFHBJOu/fPVNR2VASJ4NnMhfKOb3+WFdiQgiZyNWrE/PrefTaW/+z
Z+I5AnTbcAsA5rx9T3EPw6utc4W8y+Uqkvp5N5BF7zbL7W8/EQJxGAFoxXlb5neV7uAVRgDLtd7P
Xf6UF/lTpKVPGf/+V54GW7Kh0o5++B2ReL10iK/rfaSNwSZQKTdd4gK3wbr4+x8d31X0sLAb6L49
Qwte1e5xrZc2kqJ6P0RlezLpzPJwEfonbZX9xZtSJcArrC7faayZzIZBMNJRe1blvv7iecS90aYa
630yMpNz5Xw1g6U1tPm2HgZ//etPkNXy45ORtYDtjBtO8H1rQDMcLMuGqPdBA8vQ68p2n/kQ/4WW
3ut+jCLKbq3QmKP+X/k8lfwuICzT5Yb19qvotkKaRVLVezKfxbVsqWooLPJbLeP//fo9/nDtUh8o
hR27AvMwVvXbp1rwP85kHNV7jQ7CvpT1vMlMPbr+9bP8ZG29eRbVhHn1BQFFzj0D/vZeCyaHOet0
O5RjdUC9/y99dK/ez3cfHUqVRAwVz5QUcl67U3a/CNBpf728lMzi7bcDFyAjOupUhNvKLPL2PdVT
SuVmy3yflKV9kENXPgkLLR7TiRFuRhjb0bRhwsQcIsmM/mxwC74seVKf10ZlrtK2vC8nUR3IQfTX
s8lvtkvrqlwVs3SObTMNTqo2a09ytws2PQpCJD4yQgAciXRnTXwxNrZXRtfYW+x7Eh+RsgX8Y+dr
hneJwcG3VDhDcaunafYx7XxARBXUktW45Mzo/uLXq//wYfjI4Onz0ZkLUIF4330YIiodvxR1ua8H
U6xrfWAaOdeIBaA4z5sAYcDaCFpj2wSOw9xnQnJXWMHGauzqMDRcBVYjwR4bH9DgqhXV+OAlabny
MrxVgacbWMjyp5k8waN4MYbT2uuisK2XDo51oMxiNX9lTqJyozOIX0lOz703NeXl3AbmXe6Z4siJ
sujjUA7QrcvJ2UceAyNBQbQbM9Z2DsWaSnaWyCPyavLpUsVUz31SbWReVJvepN/Va5l9INNkfGgi
TjyA07x21+BZEEccj35HTy7x/ERsZrtA1JFTVacdr0czAxtpN286H/p6K4K4PgfsKNa9A25iNRBC
jjobiySYRqsPaNe39bbR+fpkkPKBtwAhKXXe3YL2BcilB9q75ysEvh7dekwunOtyHFbeZGA8rek0
DsS6AGYd0l3WLlzl9V6s/bJJd35QaiuP+Kg7mhwOXEcj+4jwtbh1xzzdNZ1Vf2jc0ryLeO8wKlHL
fqhLG963G2EuCukABP3Ksmb2vcm1tTREBlLcdqPvHPtaV16S6d5/5OrjHidZU5+7MnvSDX6nMnPN
u9JPn6ZujK57dxFHozomkg6K8lyYQBnbQmcUwS21SC6y1J2uELrYR5xu/SoaSuJSYtYPJRF0VbBW
FfZti++4LeP0LLbq4BweVvXkaoFxZoiMD1EWTrU2tdFXgwa2gKKL7cOiI79PXD6yPOVDiGSSrRY7
mVdlU8fv/MXkLcVemn8Mlkn5GkaYOk6SleuiH8SyEkvrFruUu0B9asihDtZuEg3vk6jW4MUYQCHx
5+cU3a6uhq8iXe7QCznvpiovn5hAiAPvcaaBwCmCnqrZ25kR3OJ1NN5ZleD747S6k65a2xmY5ifJ
ILZyKoOTdiKlF0Ygv4I+mvDzTyRNgXiNcw3kpxvcdkAn1rWtL9pqsDnu6Vr7u96q0SM5xVgnt32l
cYXFi5zdB6OpbYOKdYT0hfFSGgzFrhui6Wpsg+H90i75zqllX2xHraWdldWWsxAP7OcNepcY9ZM7
5canJai7z+bC2rK1aDbWxeh0Nyhr6g9xZjNpngvOk0nwYlup0fjW7ZTcwTFl1k224cFJ4vxjE5vV
YcLcv2mnzsQ0mz2ZfhKcRKSXHHghBpzackY71TUjnDM3OYvzYNrIuAh2mcZvSNIS5x/8ehO/JVQ2
CaLrbGglVDQUz48VgV/7KnehhLiJu5zYeFrrDmC8VYqyDQPJF2EZ/eow2ulTF6VN2Gi9vupoqAdt
zLW+JXWim66rxtwDEPgkkzk9lJVrbmRUu8eUBd5lIlmURsXL0o1iOB3QTSLiZp3bfh+F9DTyOx/k
0rEOlLVcCAiKl6nuV6RTdKiKUkQOVl/wpWZXnC6SghZbJbOAcVzOJqCx6nNJYOOAdJz0HVJ2l5bd
rRz7YWeoGqS2ed9mmd2nneaf05x37oup8y+toTfORDwa7/C+WIdJ8o3K2VA/yiAqVjrOlvVQ8fad
bmEZlX4TnPcV7KZOawuozB17TmLn/qXhtlye9eLecdgo25b9w00073JJJ4KbkOqvIaxWUehY0r+M
RA5fepTsZM9VpwzaZlfopURhnbGJmVKs3ZGnboVo98+nkmkY40PiVEd1BV8pppfDN1g3N23KSLLu
xTYZLUDSXVmfd426YwhTHBdGzZdpbBLm7yVM9tzj00mjYFyXrjQ2z7susVEfepqdj/rIbjWo74iD
pOUM1lR6ljlTvB0IK2CPo6oiKQqEZBY7W4ayhGmK1lw5xK/tcCBMAJpccQOoIjgnL65aT7qH90hD
UEYUJjt3obftPuY0eDfUcbTy3arCISPLy06y92jkV65H2j9VPpR85oGQWytzGpCXQ3pmRab+ieZO
T94mdnTwlOd+3hX7DhHOLktEsCuDWDula3hupdbwXsuyDtV90p9G2XKX6tZ4B4/AX/szVQH4AGe/
BOmyqZIGiYXWRpguPyBkKdeplTyJmJEo4Iwb1vNtO+iwAHyhbZK4bFa9btXnNiL7gmMx3rG5f2LK
Jel9cOjlAaehhvbnliSk6gDBM7jVS994l+pgwVcLv1Jk/2qTde2u3pKYbmy5h45AbScPMrNNl2wG
E7Qv4ZW3uyoJQtNIsAj1HS6EcC4KNrOMC2/DVyRDjGLEen5UjY2Ocbr20rDKW7Sa89AsbVjUFvp8
mNRojJ1oVI2e0ryh3VUexsYqD4J2dr0SvmwOFlmja5jC6CPXUTMJD6PoaE7lwuFTtOx/pTeCKjHH
dFzreZZoOzsdygRKXGDBYzDLaPAP9iBFFUauVOkT3Eta6YZL0HpP3YxnKvSHvHykdR8DfYy9o8n3
SOEa56DtqG4cfdOAXMz4DLx8Js+j7fuLyvVictFsGUhyneJsA3SntdeLJY0BmZLRffQZb/crMRXX
RGpPRVgbLnUlFw07DWtvHg5VQVh7WuufbF/uayV1QV5ahjaax63psr7YOIZLx8m0U8OqtGzdeyX+
e9uES0fED3b8DMGpLPx+bzayZ0YR3eeJA0xtNPONqQt/LbzGeF/25nQmOaPxlMWtvq5sE/F2UFjL
Gcs1fogLj8ZkbnRaWHhTQJmtaUfpRHt36+EjQ5Pjsn3bIJPwbXj2GI52UDjrmje8z4H/MGycneFL
V+lPWwZK0/F9ZQ4plOsMUykFDv3uttEtSwz5Xi8Y6QzsN+Y4nPax1PGutdQJPaXl2WxpCVMTAot2
edAKMuNAwvdWiV/NCP7q0oqQ5MfXQ7cEZjYubnoLb28KXmzGrAFeT1sat5LMsjZnTx299B6+9VU0
c8z9uh7/4ZbM1QQpIs9kUI+j7H77hJ3NpCse62KPjKQ+r2BjcUBxHFdVgi/UnsXRr5/vGXH65lqu
nhBBpAq8sSyc6m+fsGopcGywVmwozUhvumKfTztyX9YZ15xeE8Em77j5uI4/XjwfO6NYDHeXmKOx
TTAmIhEpnHuxNMNu6jjX/+L1qef//vWhP0BzhNgA1c93H0gsxyhjx8735AtTY2ooTfoJrNpIb79J
PW2vUSoRyZOYW6cNGAi0/eHXL+GHezbKGiIVMfhyZeRX890rwDI1MuUz0n3AfXsH5ksc1/b4V1/9
HzoWPAuNCpQWRD/AP/7uGiZTOZC+KtK9a1MwujGLtaqBMjdmQG3t5sIC9U/BnOQUer9+g+aPnzHH
MpGWPiG9hhoivf0OzEZuDy1pRHu7G+NoX9giONGiCMOspBzsxOjM54HmBLeVPd/mwdw8oQUcNwjA
nXjVi4rBB3sMoI6mkL61iVGVb207b/fUnMFJJqruM0OViGDIqOOy9vzq/2+zEv+52eJ/83412+UP
00Xu87+YLj4kIoGm8fjzB76MF5khukgIcJXCMqcdwBL4Nl70aJAYLuYQvhumEuG8jBdpWWN+56vD
t1Ypfd6o8Ohy05OgRcrwUYV1/UbL+jnd7s0ewItjRySD7zmTSykZXvegTB1B7rDk9h6k0fChQdjL
Hkw2eITM+sQlLdxRseEk6yIIVVHi/RRoYeAzu89V0HgGBo/ITsLHOWDJZZZZzTbRKHI6alJDxZVX
5Jaj6pmeLOXwEiQtYJU0mk8To5/bBZu3Zi0zDCVudZHZ17siWqZd5zjzIZlJvfKyySTgqziyhize
1qMyozckfVCRFKvAEwQ+ZiXAiaXr8neDO2nbKHGbgzkIbZsy376eAopkK/hQkQNwNPRzcmQ4Mbpf
qzC2qV77t/mYMXwWj0k2w0KfJxS1s2/urCimV1ukj7Lpb5q2X7YBaAS898keuGy/MWW+FQ561ymb
Dham2HI2zvgbJ9Ks2gcyRY0PHQHC9knS9UCiuHt2ZJJpZd3uEmZsXABLo78qFT0RAjYgRUqJmETs
rvjIHFbiyawt9A/JILPPhG6mxo1oPfpb2RQE94nnOn+TUb8S2Cw23V+uYzkXPxXT8riXZYwznAhh
j1Y+ojis2ayTl2Xs/cEp/wWm/kasB/aGWHbWKY90TUJqvo2dSDEgCA/Vn4ej4neBzj8axh3OFvYL
ZmMcMEw13q7hubelNBaM4H0yb4raF++nsfQJ5+COYIKqOJqegf2l3i+Xel+G1QL2Av3sBAkDur+h
MP+sRip4p6CJEDZeFnPud9B1mKKMNyRxF94mBZwDVzPtWVbV8s5P5FM1OdgzO5gJgyGNo2yon2YC
FBD1uqjTOfhWXupfETGAxjWO0uOiTpWWxiXBBcn7OS5ycauRCWKGUx8097GPPHebJ9UOqbkkUY/N
xA+mDwkUfPagHg9Y78BhG4fSBY8xN2ZHn6f0zmtujhinLQerdW3aO78Q0Xkw5idBVDVZKJoI6V2b
158YnCX/njPyP/D048z5xap5rB4f7n9y9PGob2tGAYMZsqmZHnG9qFVf1oyLC9mA6aswB75Cmn87
+gBJMQXkqORIRO2qLEAv01q1ojgryemgiCOM+7dAUkq/97b85Tw2uQehczdYNPZ3Rx+NewxAw5Ad
OU3kOEJ919n/u+dcDP85I4PmKVzd0TP2eWH4x3XBRYbEaGQcNMUlnFSP27uZLPGWnX7WKJVz75Au
KNki8sAbN/Bv2qrqAMFhOdR61baZqhSwS9BtZe76NIEo7ZO0QXUhZ//G8bkGomjyYLDV72I7KTZ6
qn1242YlFG6UGyotmfUw5ZgW9V3cwClemk9o54ydq5UnWdW+S5i+LfhUFGuqeMZOzYpAxa8iICnM
+jg6jBDEDKfKLosj3swcDophtdjdWaegVsCtqEV3CHl5m9qAHmRem4qDRXN00yLm4CKDLccBltUA
zXJw9580tjNCFtXd4xJWAM1R+pHros3LK36TcB656jkP/5ba9D9v3amoxl+sO/n0JIqfBBCoh70s
PIOASVihGIb/UVi+LDxSQ9RoiO+763Hrfl1zIi5HqsNCoLLEzqe/EZfD3eaC6GKTVmyS35K0/aho
86hsVc4Boa0sOxXv87rmTOPOj/yM6KjFX2ZnA8kxxQSXdMd102PV6BaxEWl7Sl5AT7eogsWWz9Ya
Cu9N6mirxYi0IHTnPsl2DA/j47KYrARFmFHFpxr5av67JtYUmKMtj0vhnbaz8wGJRNSDw15IIa/z
qtNO7cUttqVR5dss6nbNFJxWTgWvuWY5eIcp/VQrjy6ZIYa/nBlmN3sbv0h9tGFAjXUySBjHE5pg
l/nezklXDzUXikE2pyHC13ZVSzM+JwX51MgyMzQSBjp6zXPFkkZeont5fEirIUZBNUzLBQznWTDn
m8ipjRRJzdGHejukNrEpa4hD7XBgcNYjxff1Ml+7QxtQfINCwAuNyG1pzs3UarHDMKAYd/1CV9kQ
Sn+rP6ec0GFWzVDrfirE53gmCkWAyHZVOEqqYlLiZuI/mk/xcaZCVODbXcIkBo9MvIokZ2VRgSt8
dqSs+4SwzF59McfeRFY25pIgptgIB32ZT8hPIsFlKOozR4W6zKS7lI7Kefl76T9L2tXl8M+X/k3R
4T/98chVj3pZ+dA9VI+LK6dFU4cwjG9HLlQ3RCjK2/sl3OfVXZPiVX8T3fly4EIE4WwCe4RXjG0B
7elv3DWfSQlvT1x2FoQBDi/ReLawvF34TBSxK2XVsp96w833zeA+9qIRlyi3vY950kwrOTT9kVU7
9d4ehurTkhfNaRHjWCU6sjk0Tf5oxwRpBrmzFanOuDTxi30d5fray8uHuZyDlYhyg5jALI2AXkOw
yVxam2RrWSW5elAVIf8Xx1qODL4x/XPXjImdtN1edTjlcRd3aejDs0GTML3Pi2jf+Ppw36I5vaoa
DXC/MXb9saH5TNUrlkY2GfqpT/1tQe0W5QJXCEo7o8lpWt57jFEQzVvZfGESq9WEVoJvIEF6i/nD
8uYlZa5uR3Q7gTPqCmvryv1kpEUO1d1CnzuNfeFurEJnS0Ab0k2XsTMz7lxE96FOMPQ2BqkHcUuG
buXlK37JJwhr4bllza1BHp85lneZBYSB0n835POHuajISGq0dTGZYQULLoAJ1wUaHF8gcQa0OGnk
XljBj7Pt+ZjxIXOtcq3bSbrymviBoexH3xM3PgQ6g+cN0SPBb0DXoEOps+lW0tffZ/PQrXo4diVR
CqhAi72R0GmrFOzOK6qR9jsAvBnzKpuY5l8v0PHoo8LJqxrFzPNGxc8zIOlNEPUGp71jwpwdlwq2
NyvsnqiCq7/3lC97yi+bWHf3LR6Zn+wpPOrbnoIJjcwiBGYBYRXKdPZSTdh/UEDbtPD/YXb5x65i
/QGcTFnVyP4lBFtRXF92FesPjP3U+HSdnv+Lv8VL44Hf1/EulwTFcnPIXEJv810d78WT2RTG/2Hv
PJojN7Jo/YuggDfLKZSvYpFsuqY2CLINkPAmgQTw69+HkpmmNKMJLd7mPUVooehusgyAzLz3nvOd
yN5zyvwk+0LjdJ6kt8zXy/20CKkHWwJfnRl96Q3SgHERXEfN/JKxWVmLFNtcRNnTIs/GGhavGC56
MLIRb0tU3Hm2ZO8twu7M9pL1kFd3TaPEGhOOSW7oCOlwkYZnjolpbJGLl8TigK2cAgc/tpMMIdnA
4NIGCKsxIA47qo9TJzcMXDfpXFzQOYIaFA9BSbmu5WgRnYYae7KxZxNe4LlgwZpXd/KmXZtYd6Cu
w6h27gvGRIhnXqV/GTx3k7So4KVrhVmvfyfQeNtp3ik11btZGCcvaB9NP1qXxnygTDP2k5WSB4q8
vzZ9Oskl+WL+ztaap8Gubus4P1oiC8c8P+YD83Uz22FUWdl5FuZ6Mq2k8m5nV66NWrvjO3x0UU2E
0+htiDYhck2tNUfcy96DzBnXp8AFTJl4EcCRqr+JLbi1ZR/SLkQOid1VjBpeP/lc1RoDTfFSKAtW
nNgGg7PTM3ujlple2mK0yYqLVXS3ht5vUSVuGStdmHVDABblnRaIS0kqLnL5nXAH1rr2hsUePxRn
MYmdAU6Ouynd6D7xhw20es5rCpItnQuME3eM/DZDpEAFVLeJM2xK7MKqKxUeCHGrBcWdVXo7zbGO
HKzXmRzvUwI0Its8iSheRvdr8AyrXICap98XSe9JIypuHtpTIGoXD0W+HUhyETpg9yyDRR+/JHpx
ZL8Pe9laa9ViU7Qc3AbNZ5uZ9AaX/feMtLxQle4OWdW4I6Ph0c47Y9OU33iwTtKuLKAtHBPDNOg7
Yya5xGTpXyE5k8FpSCzvXZqF1t3WADidnedmc3XRjKxAl4+KGeAcYv18Ue2PMTVdOk+fjEXRD/o4
XdmLyt8C2ktv9MY0tNsGG4Cx+AFA0Q8hBuvbQuEVcKrpJorlucVBYANMOPaLqSDX0m+czpGNOCVR
vPRYQx0PwogXIcKTwOh618rxG3qlfbKYFri5gu2MjwF1Z7PlbAApYzE5JLgd/lnlf1nlWZT/+8kR
Dwk+qvg/LPP82G/LvIfxn9rQILiJLuKHDqf/0yJiBu/C/Mz4YIRkTkE16QeLHNhmc/gwpyCxzmB+
TTrw327W+GwXH4+ODswrgOSs78DJr+/hx5oR308wiLRoDpYwlLVCuFXZm9adW2MTNRkZUKqfSD9t
AnDVcMC7iImmsH3UgOpcjO1DGchDNTqQmbID+OB4iyh1HxOlMFr+WSRRsO6n+JPR5f7Gb+34xKjw
WcwRqQBRtAmc6ZQNxBGnMKpg6uJI9GKyJjRtuJOWLEO3JDnHZAKxZrR8gRd1U/oEYau579gdDIMR
RbpVlXVAj3ErJ+fJK+OvuV3LFSp1ykM0qTijjUuiBwt4o5sx5jSfBx0mSmOSXBDH73YbOaue6AEy
J2ZOkmmxzXpmx753rNroTVjpIUvTr51bX8xWeSG6vik5wUNpjDDO/Oh7V5Ps3NSwBpxAQoo0h58t
a5gQKUiPHMqwV8SN4yibzc3sKfvs93AVNnWgtH7b+yxRSCnN/EA+RLr+56m8PpXOX7ZyXt/kt+7P
z+TyQ789ky7OFYhnyH8R+1LNcbT57ejl/bRo032fwxdNVMqzf3dQMSBigQHl6Du/Rbb9dvQC4cGw
ALY/FkXfW2YSf6OgW97ZHx5KOjgEvuB/NHSMOVSbPz6UhSC+xQM7c5h8iSvKzVSoi3S4Qys1kZiU
dV/Z6gmnStwvzrUPSBO++JQtzcHy2idMlpZhuzQP0VKlZ9eHxO+6mVOf2tlaxbJ01DOxQxAwFCBR
klPyYwKX5lXz5/mR45hNOlV50pcHfki+8VwQBZCQiLHNsvrFk4UefEZGmBzTOsWggGhvnZmjhh+3
cdcuI9tN5kw4xWYiOAZ3StHOCdB1nKpGmParMYN5UDSBGx/g323LZYSRTUZ9dplq/P/4CPzxZv6r
Pelf+dv7W/GnCcLv975v/7SMy6HMM9uin/FDK8NnP2JJWgZozNaWMdrv9/4VuwjshkLFwiPCpvV7
2WHplB02ShAeJfD1RPb9nXv/j0UHv+U6hjBRd1Dc/FE7k+I+B8Bna/tA0+x0JdKJDK/A7h5/+E7u
fhnE/5X9ankZAKnMOnw69H8SyMxG107DPGgksdnGY1ahG7N63ef0NSDK/+vXWp7WH6UAvNaiUbGI
lWavR5T18WnmWqRdgOx+PxlVcKu7ixSQkutoz/p4V7sFW89fv6D1J4UU8jYEQNBmgYzAj9MZA/24
gIxZ5zSG10Z7MbVRTFFWyXPV9ugeGZRXDtM/haZyCbMCHxAP1proiXQiAFmZ5a5xkNA7A8ruVc9Y
ZVenot0H1YhYHaGh/l6Ooj03QRfsrs4ENbdiV7iTGZbRWB6nFo9CniGZzrVWPl19C8GAxQBxsbhE
E3JYO04Ry1txmeymhnQPGtf4lSWCflOz528BWejPSWa3z14d3+gomDaK7kbY17m+n00ru2GRdv0w
Sa3+3uz64vvMZOZ2tlT6ZLJOkgtEYeA0nHRhKw8hgkp4KxXg5QbgAvWZXq3aZlIbY0E259LqTp4h
q0tbcwiReWa96Xms7XNXNeu51dS+mXI0lPYYRC5ATrP60vlFcXbnYrwPqhlugd4oCtAW+ogO9+1V
ZBpD0vWYQHdrVt6kYtW9oqMCE33GZ5VuvdLDZq0i7vMQ3Jder3SrKN/Rf0Nj6GP/JQ0yk6VbJ35A
6V3wNfU78A94WjxgbuZEVIGWinHbDj64CNztyXuW5L4TitLOb/V88Gu0sXF19nrVn+DwqmcgTQh+
I9GuTZOgL3TH8Pbx3Tq3wjI+JaPQqXrT6VPCsrzpDL19JYlpIP1Bl1t/cGFfj5VbfG3BCe/IVfiC
hKRe44lwTnHg9wy0ZycpNh1fDglW+U2TF/ML5A2N2AMxn/U5Am7TjUZ2cOEtaWuU6JG+wor8YLvC
OUQ0NfaDKlGxTiI767Tzv8adK98pg9N8M8ezW240ugZHvoJunUTulwa0mjJUeylzfWBimH/VIaej
OrNPWPLHVZbFTwF5CNykdb7Taj9ZzVoxhuj9yrCii0KLTlBD1vKUaq2NwwQ4awi9K32jdxvxj72f
rai31knlTpvRc5tPQEDMs5t0d86oFPy6JSU9GHh6RsccOAHb5iY1hm9j4WkI+zR5A/ZufpdjNYVc
Wee9HrPsVgTkfmWzlJ8aRyKYk/6npgkA9znzZ61vrQuucLh+09xdNG8GFhK46qEk9iqMjWDYEq5z
D1TkBbZXZe4F7ZPBXsl4SKYvpSsycwUgfZG999mY5qvJr02Qel0KNDEuMsh6Zj8BDc8b7Am+yqfx
kAd6PDE6iRuqVVKu4vk565RNt3A0e7R1fBFVwyGeFNNHu039WAKy47w+qEePWREe/86L186UtFmo
RZkgDZGiFiYzWNWdQszufR41O6ZBOWWmc2As0ulrkWuTv+3IAm2I9yqku40zNcdwVx3+pVWLIb64
Tdsj7IHhqu5iV4PfvKrdpktOQQShHvx6pJxXs056NFN6GWnJRrVjYD6ny4F7y+DJ8b56Y8KFSmQi
tWM21XHfPmRFVBbNzgi67FVz6uwhWOw+rV6yDFeF5+wHwjWevWjS2jCyzIjSHIfX0aHKRiExDxhS
0D0HO0da1lGZUXM2RixetASQ/I7IridA74HxaGJUXnJflz/2Ijd6mABgf6GXEPnY5UvUhpllHap8
5HV7u5zWGC/sQ93peI1GPDWy6OcSo1AU8bD7qjo1tt01oTd42FTcrmIMvPgpFodU2ek+emtgxVwB
JJBjy/81Uisf5k7HMuCUWl/j6VDF/WjZ9bclgObMGxGIQkzMZPUUFPOaXBNOee2kqoOv58Ft7gj3
LcfGlSDpGowtfGQcVyqjH5754B5DDYlpwpchMRv5+LIsWtU4AFJ3XvtzUT3ERYKNEDk39HGcOS5h
m1H+f6fE+X9CSfnhFBjYf9l//lcr5qr8eAq8/sivFRCFDdhZ3bHoTKBZvx5Kfq2ADBjdIFsAJHEW
9BfI7L9PgR7wbX6K6ogah7/hPfxaAVkLQm0RZDP9Bu5CVuXfKIDogH88MyHD5AQDMp8GN+8HQebH
A0zReF03Zq46G6Imbp7oYiULHDvM5yv9VNWDD5E1bTxJxmBmFnmhv0hMxwaBZXXRPZqFLed2heIF
bw9pw22tUh6dsqn9B+GWNVsLJsFSGH1Yq9GGHGLRocazGkz7VFNKS8LSMc1iOLR9XnRMWmfZlwCo
y3xKSx4lwXZGsjsJEhEqRQ5Vg37ARjjdkNcePaZWUx+ZAn1G+j3sVDV4cUijZU3nuj6nRcd5KR15
KhwnMx/xB/IwiYRlizmaYp7jt0OwURbdcB7ymUObm2NQnLPBedNrk/WglN1wI/QkajdmIlmRWsLo
mcJZsZ7vyhGD3Yg4GoNaUImDW8SNR9K1xBjSTTobIggQfucCDpdXhrgG+ppwIMDi9YIYT6+0ce9K
Hi/tFAp5sQDJTScqX6UCUq6uvPJqQZfjqGSniK9E826Bm3cL5hzZGMDzBX0ezdhgwjZu6vEwVj4m
rqh1+KDIbICmRyB2zsrB/9aZbruxDaDAblw3CGSM9qyqyqjXhGapDYQKGtIiUw6kxc57DtJpPJtS
Bd1OpDZt/aRr9RzbFYmRmtVP+n3j4ixhCSx2FKpRCI0GONWQSm8lgLVqnG9Bwq1818bJqCMZZ28Z
ij2WLwKb4qEnDVkptaEGR+EWm0NMXMoiE2gREDkh7Sz13YuE/jY7tLxQ7Ip5uxyumF3a0xshB3B2
A4iVu56QgQejhAqfuTL/DODWXUX6YKiw1mK5z4ck1lEBebeA09t1D3Br0yaYYcI6yYlG143RGDZx
nDcQZ+Jxk3htcAt/peZU0+Jzbez4iAlx9Ig7B8CHbMOpV07ScxhKteqAX8w8yAJcJab86GeeBrQM
JSbQ96gYYGwxLhmyXSwb85GIu/6g2sJDSDh4CdkJUffg28MXXTnaepj8eR357YTIMZ/EofJqYpeA
IQxBGNM+OBcuicx4evzXpajYDbAfMOl1s2GsnQEKesf+aK27qHl07Ly9MPyd33NZROu+iafnXuDl
jmY2ZlI0dcKjam22NkNNl32qxvLSOGnK0bxKsS+ag4hgq2f+2kii6gkNl1wRlFUeykDEL5KD50jO
eZR/ysjCC7s5q3eDLHay8rkPvchm+7Yz/d5Jmh7az2gF2wqfkWJlQe5/qms/XfWOrG/bIgpgJev5
t5KB6YF6B/F1gupxGMloLiP5JdWFvbYm0tNJxrb3aR4wJLfNt1FNL05OUhU6FzoywWB6LQ1My+E6
gr1ntNK7d6ojJIOXzRywEu0vBeA//oL/QC/7uCs6VLr/vV//rzZ7K7u3j83BYPmZX7dFPyCoynGJ
hQ6Q7y9b3O+NwcBGqezScjfJ4lz0l/9uDFruwshBxQySHd/AVaz827aI6pI+C16lpdnAdva39kUk
nB/3RRjx/Ef2NAYH3AsQeT7ui41oTG7r3j44ue+HvaMNl7bEnDtHyXjM4wZHplalUwjOdvrqVJ13
djKbyF0ULOpTVUHO6/HavuWY8m8yxhaXuYysR5cHC8NO7ZbruLO9S5IP3acpHcRj0Tn5LusHcShi
1/i5qiN/k6deCkfCxUzTNe/UBeke+ugySUzV2K66vp6/oMkCRxDFLtyAMTMf2k5kxwDP7SnyLPih
sMWsUZY3lWOi28wJq9FSrJB42tWhFMsMtmAagKE+9ugUUvkTrTTeVjWhG3XuB+epiwfctO5o3hOj
Hlww0es3xiT0m8ma4FsNwDG2dHLznVGZ8WcjEMHF0LI7Y3T7m8g0Hmcd36LhRkTLNDbWC72pre/W
NCUrVUyU+cYA8gAbqLwjxsmm4vGsjWU7IzRUVsqdk+v1V8UevbVaAF+NAE2PDS17auwUYPeY2+mu
LsZ0H3SSkAtbofXwyIOShtm/VL6IbmWfqHuJZ/9LMKnpc9n21j3zhGlvTWl7IYRxvGeWJEI0RGKL
kLY/6aPbvBdWP2KlZpBeD/mw84yMjxGP48rOShx4pTJXTWb3X7XAIh3amUIrqE9mGR8A1WFlFzmi
P70q150T3RRZXRw00udzDvWI1SpK9gELddMMzvc4IOerS6U4SddWO3SM4O2LpLgzZm9md4Nrj5Gk
ixDczAh8antKn+NJBBiA3WLDWagmWprStR5U8xjgJb2ZdVe/ofobyWJsLQH1we7Oaa/nD3Zl17sC
BUKwUk2l750x9zDC5JZ1P0+euIlj0kdQvUHmp5D3PpWiNtjIJCgT0VnD2VVCv8NCz8gGZ3QUprOd
f+nJFr9Erpvvp7G3Tq6kDVDUrnjtfU98bmoyAEqI6/doeRFOJdN4IaPDOpkIfPdtX8W3jIK7x3S2
AoQGXX4otB7XeKQi9kbHv5hNbb6WgeHeAO8A3WZAgUnT3C5WBZbqrSIe7jav1ckkcInbEdyNpstN
n8TyLel9fcIQkxkbs468t8ZS35xmLA7xhC+wmArngLTextRM+vPkleazZWdfJmURrk1ygPnq+eVj
RULkc9fV025GN3lfJS6xj2MSaUcMhzobOL7JSzIg7giV5jZvXdSmd16cNTkOBSv4IiI/2ZXwAmHB
ifzJF3oBG0TjCIPF+JTGXERlWRwf+9wFV58XD8i45bvl08wj/sl4xER3YAdzj5VqdmXJ9kqtX5Qr
gVv43jKM/JMT5Xvyy+XRZRJwsDMM6V0NhqNnsXyVVSAOnlNECESsZu0ByiY0e0w/UQLb3+YRr5OF
STqcEwQNae1knz1dGxnw1dp9bRZVyAX1dHKDM3PduEZ9p7XjVuVuc2poi6VhgIQaIOEu6hRCMj/I
d01+P0TwMzTEC+vMtYz7VI+tfUk+VxfmSh8upT60XyzJ0JCG1HpJNN5Vhho3Q270ONcpfT5Lj1kf
2etzTlyEh7i0JHP9dgb1t9NGifBsmhwvbIfRDegVqmoVR9OmL+dugSkCC1wHwfAUzxO97TwLag74
ccMy14l8FdQtZqW6qW+mMtI3hqF9Ts2s9VdxzGlI5AH9Bbehb4UjPsw18ULzRz9AYdU3nCublZlm
1XsOiOsUVUlw7xS+e+g6ZyxWc6zJe4Fpau15ZehQ/7y5qTfuUkq9O71zCxkSuaFfBp8Eej8q5nxl
+gjkCqsKnkEI6JfZTpIXGpziTIoduBLpEqAA329Ku+HCSFRwK6n03KVuGcpJC87YMNs7mUbNTaqr
5lmLRH6hNqjJU+/iLUiyeD2TJb9xusZ6yVRh7l3Jp2wjfxHzp+a32Yv7G+UE9RsRg8vm0s/254T8
nSdpGgPcQIFI3koDAlnnJNswGlOhZkTJnWHQlVAUw8S8N+OD3vPVl6SErKdJ1ptuNP2TDxM0XSPa
TW4tLyWdIeNADmvbATmpg5+ZYqvflcQPHbJgrp/yPiK3o0432RTNd9lg2Rv4X3RtJ6nPaYgeyl45
8bh1IdFejCE2j4EBbkQ1ZrZWdKpXg8F2K3jET11k1nsmLwQuZk0bvGauK9YFMYef84h2PStTcogk
xjxGg3fgsrQvNeO0Yy19wq5jD5WOKPODAwNlS4O3u88BFz/FJLdsDb3RH5JB6LwcoiBg9Jq7tSgY
Lu2ElaGbpy/63LP891juiFodbbgLloKUv4BtzE47OaVuDnJVtsAnVn2lHBRfRtkT8FGAr7lfqgf2
/jSNH3syp5tV2jf5FJZWIO+buMn3FQAJXLW1hwho7lqFWDTym+8BmLvDkCcEKo5KOwuz2Ex+Wdyh
Q8Uh7fSvRLXSXa86guN8+tXvmXRfHZG86VH/3cvnV78aP6GwojaYVc3rNcUBkOW0aRvxaDZxfawT
z3sc6sx8zlJVfmEyMr60ET84lK7GrY7evc2Odcyn6I81kPRB7qiom9m94ahVxpg0zEx3NsKspL1x
K5GcRxM7Za/G3r/DFDm5nzs3+t6LyfKp2RQXjm6byUyDGVIYVfqunzj17ApwSDeibrTqtWYB5ewV
DGtjjLJtk01xcfS1rF13KoUFrVvZyYin8kg6jffqTE7zs44ELb2LxiQ/eYljtI99MicRYZ1ZToMA
lBHqVGa3TvoVZnqnPWGvIQnXSIaoZKwjsuoAndRal5qOoi2oyu3gdi80Z9WqHeN8rVP70ym2X0bN
VHtX1LAyCtlf+JfjNshJXeiZ6IrWPvfIRRgraJWzymJ2Gc1jUMZZ5Kmccc4krukd2UG0h0QT8ZnO
O0KIEr8btWxzabmax1lSrSVCvdk4r49t4CIdtLV+Z5TjtCr75bhlzWa/gqjQnoBwZ9E281ywMxXB
L35OelrW+GLXMW4MwVDcF3PSrVHXxofZjuWhj6Lo2BamOEo9PrtGDmHGY3zMWECuEdA3P/cWcj9/
dIhhaQZsM5A/NgS/UFyLvNpgoQP2XSUZG1lUdyFaQ3/f01ph+mMSHqxH+ndguRyjATSKEUQuaoGv
rl+6/kun96XXfUFY3WTOU9TYnDhCUktFkf9TxP1iBP8fRZyDte2virjwLRffq7YUH7qbv/zUb91N
WpiG5aNdhX1wLdZ+L+MM0/6JDqZOQMsvEYQUf/82h+uIPsgWRBmCg22ZPf9WxuGQQx1F9MiiDPm7
+g6D1/hxIqw7zGbxEgC4J9LARmP7sYpjo0Mp0ffjpVRg6QbwojCgyeyks+6p4Z5p24QAnvVxo4Nm
4ahkD0+Z3bEsdwEo9x++vf8wCjcY3f/x3aAlw4OLpIwztru82x9wicwe6ixI+oEjbWmAvKIkXPVe
hZ5+HDiloRGx+1ePbgxq/8KXDUL3li5lNJOMzCTZK78GUuq3/A6Co8w8N55mR/ON3eQ60Tdj0oxx
+9fv+I/K5OX7wwHsYjNkiLOIoP/wjoWXAAec5MUaaarAXZwJArV5Srccz1i1hmkks0qw/axm1hUO
ZZlu7YqhBRzWDpX8yvrZGaEACbHupCDvRhYJU0SvdbJ4E1dpcpf1wbEgyrlbL+SX5y5pThnMsRHa
k+beiDYZit1ff6o/XwZv4c5yIRafCQ7Njx/Km7RYkYzTXUoZBc9VTDQcRR1npFVd9iNBF23wUEdG
/j9IGsu99oM64eqwRntoATlFu4H44+PLOvoY23UXl5fSB1cFMbK/lF2LljZKnv/6Ay72sz++Eg0S
xI4LvhXTzMdXqmmNzg3dzYtfA5EEdkfNHEkCGFYZPHO96fM5tPTJr8LUclTxv26aP4iq+KDcKKaD
VAUBC6vDH17e8ywBQB0NwrJyvxVp77xl+fIenLnoNlBQq9Wkc+l3Km+uVXTlfZNE0x7Aadnn0bVa
PURiUGVh6pXFk9XWJsNhf5q+1RroGV2bC/xlQWW3e8dy5/6X7eC/c4b+fKF83L5Aiek0YUG0l5HJ
D48pbG+ndJwIxlIPO160kqROWhqSwyd9izI+giDL3mM/qM/j3CRbt7JHEXJW9r6TlzlXhD3FXmhX
6fBNtJb3dXA4N/0v7ozzp4tM/4ubiAYacrhFhvLxXRLiLfQ2kdYNbfk6Cvy1DJJ5R5AnjVbJaDps
x0a/H4rJIWGPwPSwNUq6/y18iqVfiy+p+IQfmCaul6v4RaVFdaBNLVc1Xe8nd+n7RgDgEHUszWDo
6jSGo7QrL2rpFuMkguXCoBxE1bWdbA5JsXdovX8y0/iO8xbq0ZyMvIukFS2vTWl36U8bYjJZG2BP
zitd+ek5X3rZDCnsI8nsxnm+trqVnpBMzj0vaJsszXC19MWNpUM+p+OXumvkQ69rtM9VIT0mpk1P
38U0H5vEUNku8jSa7lQr0TtcaFrxAuvTz/3Sn6/rzjxkVVkD4Qjyr2KoXZ77pacvru39Yen0t0vP
n5NivTNsM7htYItubNU2W+M6JsjpGsbhoGLAZiQLEVbaWcwUgFDRFWDMYBiV3LPVmCoslzmEL738
81joCYjcoH5wLMm8IkjxKlERzm++W7UbujXpvB0yP95q46i/mcvko7sOQebrQKS8DkfGZU5iLROT
6To8aZc5CsqaYl8yL1mxnDNmYcDCyCW9jl+8aEmxuw5l7GU+Y11HNS1DG2BajG/UMskR16FOeh3w
WNdhz2h54xnF/ZJw2qtr3ukkrumnyS9ZqJ0iKb2g+9GylFdfzF+DU3t5zVGVmSyy8RiIBtdW0Evs
b61gRp2aefWge5p1SCfLWuYqtCQR9QJR5HIVvr8uo4j9EHGQajbIMWMSB3NpRLcJWgcSXbPJw1AK
ADeQZ7eTS+6r+iUFtmcv3LrXcFjqxiUptrnGxhpW1hXb8honmzdsXtFmHITLAD9AtrqaIiZJYdVF
dEKTAKAUrQ0vR2ATcSrYUrMUc+jPDitmadLuC4uk1Zh/dVPc3XVCK4pNFQv/u9YPntDXemXKHart
3sdAGsXRkUBP6TlpWI5dM0/7jvlam2yIovGKTdQNc8P0qivFdsohqpFXCw+RSPApx6zGoTrftaKB
rMllNV+0upiNtWW5GVOmrNC12zzVtY6w7rJ8SQvCHg9WG8h8g8/W/TT3yCa2zKZM45SopEPP5JHi
KXdRO9TlA5uxdUxjyrFtXy/+mUrm8bzxDbA3mO+mWt0UPujdjcaj0q5RgPdHAJVOvo4jKya2Esoh
c0KvW1xxc2rN35BzBfSveAMFs5oiaQ4kVtr7WHiZG5pZ1lhrUWFpnPsIdqimYLbdpZFK7dASTUoW
RI2T4oSgzN4adRSTjZoEhCMYoGSqQ4JmPt5kgZ0sccYz5TJ9ZoRqTYzFZAQ+Oq/kKLSf23KqwBgI
niPzYswoojBDDrZmPU65MvuLWwd0o0uMejdOX7IlxR0Av2UcDP5sG4nEKF9nIy+TYzPhyt52ypnF
yZCxfLRT03lzxqhY8h+4ebc9eBJr07kzA+GiNxaYrEWke+iraAMRrHnNleJkkcbp8NA5rnqvcT/t
Bw+K1sbPHB37oh/xe5y8Ssdt2Q7GBYKoZd930jEeDanxLxRltU8vewKiPEADFft2NE06917cmbdC
84LnUm+WmzNNm27n5R2iqXGyJYaVZplwJ6rkjVVESRsndrDgmWYld3fBKkk2phGMzC67IDLvUuCq
2SeyCgP7MNqp6m8kUfUcPunX3jmZ5o7EIxW8dFXNMKlHs8CQqWfe8uGXt65Yn3hfdWFcbKfkU/QN
LcdVklXZDC9i4NGpcxoD92Xr8ci3PaeCmL9jTTVlmdw2hj215cqqE0yxCQKj/qbQkrpb0Upoxi1w
Tt3aQIo0l0WDhynkE7GAjIGxnJNlWTxHqEKPPlFTwBthHnJfTLH7pkqLtzG2KO4sOerdKeaYmyJs
KLP0wWe32HWlblyaIG5eoVkxUkiwiprHyo+D/hShLRrWU+vh5py9ydrVJl8rRXAzkaGXOXdYHfRq
3+jTkL0oBADdvoi04vs0B8saQrmarKkD4J4Jc0pwDrlF8KLBfCZZlljsFezEZjO1KvkkKtmdgiJL
nbVjtmbMsufY3mpIzOC5TUmo3eRmyWMya5EVHOySgPRvBQvydCTTgWdDLSv2JnU0vtGRZsmGTUY1
J6PtSXCNAjjH7LQWXjGvbdKfAQIHj9rEMf04B7I1vsquJH+uILhiOAhl8qvGwiBMx1bxIh7nstD0
ywJ3O1fDIG9GeFYAeRFd+l63t4txYB6m0LyFGQm9M6OjrKpuSne0z4B37WqTNGUxnOIJZnHoO12R
PHIS6b7qARMG2miiG4iT6RRaDzX4DbvA1DwwZTPEZ6OibzasZk5g01MtLYjMSUOPnS6xBoNAi2r1
zmxfG8Lc61zmA6D67unaRPOu7ZtObMS8SDaEKVPrbqTD41wKt2bA0dSD7uIXSWziOTndEDWf1Fw1
uMHM6NrZK1g7ui7fGKM1ttgm0V7tZr/h7s/sEcTJFE30s+lruM0LFDzjMU2YZfM4iOCZe73o7kqI
IyywZh2kWx8TgcIa82rSe/MNZJOD9+SYgIzWyomlfWNHuT8Q/NctqCCcA8WmFhZXk8IBDYawZIbM
tK1xUJqjnrsHvJMBn2sctfgma7UaSG4XsWYw3O/lTc6ojzISPuC2W0Jq1mrU9cPUQN5bT+jOoTxE
iXdzLTz+GYf/j04KgR/Mr//7OJyTatW+fa1+HKH/8jO/9VF0E5UYIx0acZRMV6rJbyqxRUDG/Bml
uk0dDojx330U46cFO7k0OagBPqrE4BMFhhnQ+fg1aebvyMQWFMuHihKnDSp+UgB8Xs4O7KUY+bEk
ot+qRxr7M4KPJg0YKwT+EiA5BHbZHlO98GhTZ4zlQZowYEJpfLZYAQnBLJgPeHKFz9Ku4yOnLz+z
bkqNGhlujyZ5ctOaKCVC63Z9lsox2mW+cIQ4O7EaaFTP/Ck+fNzOvNaT7jDknNFB9UU/JmdjKJwJ
4r/yPW1FIjVrFDlZZXGEo8nmkFkqx/GJsnPQX2HakUpR/R/2zmM5biVt07fSMXucgEmYXMymgHJ0
IimKorRBUIbwNuGv/n9AHfWQJbU451/3Qgy5KgCJNJ95jdO19fw+bQDMWFtPRKN7Q5G3j+W7JOmA
IUmWIbLZplb4RAhWSRLTLtoMuBzMrR/ZFVHlf+uP/1/1R5OpTm3gPy+bq6rt4n/5iFPkyWuI5d8f
/Xv1uDakMCyiKXdgEULDhsX49+qBhIO9ECVICBqAbVli/149K5gE3xmQ81BtoPOv5K+fVUi4/4gC
sNwsPOtIA6x/snpc/aSigI0blBQ4KeAIsFWyTnN1N8O0os0V8I3Oo8xkyCzG8lJF7P3m0CIx3w04
5CGN48bs61jgiWNplrh6OIvCCIzeLxGitUwF7Te7ipqDltMuxVpyKGFD6rGlsCG0vYs5jEE2V6tC
vA3GuRM9AehspsSitWMdh8Rgco+oOef0/MHwg5/2LiTork+l8rCEgD3QbgfA4jU6AoZ3YcSmeHyO
TMkuNND8tHAcOlamV+/N3I1JWzOI4ls4N6RPWZogE9J08r6nK03wWutUMjvlTbcROnv3RWJMt21q
WscwKzgorXpyWxwzyqw6q+y28s4c6apvytONu7wsCD6NuEQHqIxIh4A9TNeIja/LepW639RStPiE
IA940A3LuKPWbD+6JmL7VaX1B9QKrA/L6E3X2Na2B2Xp9HScQlF3NRuev3aj8D6F2Z/4DSYsauPK
VKl9LRf1DbI+I1CKyrxLVF5/skJo6puJQhRMDhj2iDLZ9uMcreYtfcQN2ITTJKI5V9OtyLxLiRsL
n95IjGWEnHhq3OPzDVtf/YmkjWdHLps4oh8x4nVEUpyXsRtfWdD8LzxMOTftmEyXaZgMRxrDSKYn
WMJsXG0dT2damcHFBGwnYF7zNz9eaK5HHO0Ravn3JiR2ctSZYiavVKkHpMMJIcZ69XMAJERGoKuc
WByxKR6hQsMfAfKBLhMBT042Yec94zKmGvcYY+oXUn8Rmu27mhsBa+0KezjUWPLoH1tHCWsHB+WZ
4rg8xWHPSOgDmQYZ1y0NUHs3lzHk4jxMwvvFVOmNSxIu6Is2ml8bhXmHgAx8RfgDzFrgurtsoie0
g0TANy2hyU+XukrCnTCJELTHTsEZ+bPbDcwGs1W8WWl1JGNytq0jNLBeXOauS2JQR4rJp+G6FIRU
albrk7r7RsmPiFnvavjK4wr+deXECwb0RPjkyQj/mSytCa1L6EGJn8mcsHBgijobg2V5UdUk5Idn
FxstHUzLBzHCff8INIsMxw1Lj6jtQx9hxoRGr75NE5E0EAaNdzes82SWU/2JZuZ07VkdtGq7rz95
huLLugboMCQmuXUFpLB5AKNcC6P+1MIBvX+ews+J35whyVWtiz1dJ2noDNPtaPUMyYiOyPUEVum6
wMfjXMQppQzTEWR/pmTguqq2LNIxjwnTuzq+C7RvVwl6lgRuTsl+beSSYWHDsKfsYoG5IZ1dXPwQ
GrsuYkgvDmIOYxViXYUn0KZWeBpscI3E5gjoJ5iBasasxKS1SHkPlZ8xKXgc6gHHBLT5KvuwigB5
us4E01Cy91VGOW0btnAEB7PjqbF0oCpv6tYRexUJRDmXF0vj8Aq7ZOYbqhqiN0INXks71VVExWmD
GhmuOmpmP40WGeh57R4crFd2OIzKC1ABWmBhv9iuJAmel6g+GncLSoiQa1gUuHq0gC425BvTbWFW
ZGWzmurLKO3lNpmx2bFm1vKza4JXQj0jjQYdsorhiyPhvBekHVuGrodgdnBaYQQLMd3WTHTQtHHW
fMr0sDnA44kox8fmHdKkxhXy6hSdCJza5b0iPhSHCSX/o7XwwNCYSF00CTglyE3NuAv1ZanPosql
P2KVBW3kAuUV4CV4WvTCJNUeRt5SnoTiUSUmWzPMfOZUiE79apay8FpbhciRPkpW+FQaxl3Tr6mL
DTYuwI6BiKcAtpbtDNXJLR3r+tMoB1ZE4TTGVVJBuCkKg/tBs5hCxkDLmZVo5NUM1a3l680oVN+i
DN+KJLaZ3TA276x17rWJbaTnou7bQ2+4erN7nvM07fiQ3vHMvtms87+nOH/VJ4O8t22DRNTS121v
GJFhvMFTKpt2Oq2hfNOqzgvIadf5KBE+9uvGk/doMfMif2xpqYKWGNTuWoaxAVX3R+h9DTr2MC7b
bW1oxrVwWF05ACHQJSPDa1H0eV5xxeCJ+7HsJsOfGruNd887a1XFyNuj2dXcG4lVlvdjFM3ZRxsX
2sTPQf7hMzCMWHbEnf0oc9hFYDeKGyPuTd+Lym9lPMljW9frYdAQ21N+jNiBZU5HaFyAkW5y4ofe
9yqvhssTx6URv6NyMB/YfiyEaTBdIoTYRBUFALD2izwvSuRr8fMIJ5JWTFvzmyXNvwOZXoEGeadF
9xyleAR0dsEroh69bLJ+Yq9lTbZBzBaD4dBoUqME/eN8q6ikVBGm9FTDe32E2DZOxCEW+jvCO1Zy
PYiUU+Z3yYw0DmeMd41yFw1/6orWrm2sZNMY2KLBX67OsVimTu5F8YfEbWxYcmX4uenMLdTO5kIh
2Oi3nUs1JWUNbPrCKOCAdt18VHFfn7spwP7wmk5ABcas+1g2/Y7qfbPTHFde12JAk8JFeIzm9MfZ
yWuNc6IqnPBI+b1gV6VrsTaogN3ovYl3WV1QijEBeJCggINxAJD6dWUWB8NosCROBCovGlyxXVaa
g9xQ2YKyO41ndhojeaO54zxszLKO593swFM9SKZl60eqt7EUoViJz4RY3nlT556pVHLMge45IA6E
RgZSMx+EMVSXmu6U75Il885cM2T2GoKgJPaqbeSlNV5B9UTBMHP783Ya9EsXmgn2cZo9PSK7n36Y
3eKDSN0mv8gbJW4ahIbhaqrR88XSStij1vCk5lZ+iT24g2qU5mZhkm0b200C2ijtbtZSedAHZFfn
qaMM6OGm5AuRrmZLKsW3FglxoDq98y2FVrhbqIdzjif6NkrGD1Km9S5L3HZPU+EzxlK+naTuF7Bf
sFmRIQiMvDF3Vgai1Ozs9kbpDKsjS2cLNG76mvbmnZa6eFaMSl16SbwAN5ltv3L7YkfVVuxDObgX
tUwE6srqrpE9qketQ2SE63FTXXZLyBaVUZC3qdRsI+KGs75ojTNTtdqBhqACRdaLi8padJ9BK7eY
99rvJ4eG49Q03laT5IrpCpJhhmTXoklxv/XOtCUz3nEIgJgRQ7mLPM055q0130SV5VvkgAdgg+3e
W08IC+DoqpXUH2x6qRuVzNonFU6I9NWtvFxS+6ZPCjOgJK/fYnvlXVRz3n0wJ1O7mIs6x5HIc/nc
SOz6pRtySVxiIsLXTWWzT5OuekgJ3wnvekzemN9mRp0s9A7uaGlX+opJ5OR1gwwCdO/a844maYHp
jes+alnxMGlNBmeU9oU/tK3aaS7TZkPHRN/M0Kr2epjFPtJRDUDwBFignXMQRXF3HEr7Wx1HAiIP
+Dyj1sH0gDQ6ApC2HsNWr5sgxDX4gYh4S3QN44JmRxnQ7M+2XSOcO1x4jCt2/rbYJhWtNy0x3YOu
JrAAMS5XypxnXlpujBdxr7nGprbwwsKI2vHoUgadrd8OIwrF2wg6B3VIt1nApyahgTYZhXWRH9wF
+tM3Nv9oF6cmdHEPxhL01BK1/hiD100VWeEec1SNjalNnIOHD829likTQXwnNB1gjUYctHVHBhI3
W5c29GWiWBcU1sb72vGQEnYApct2znbL0i0giFdwb+omO8fM9Q9jNHlMcRzGhHaW2Gvgx0aKgshX
CR3sImoKQMCd+ghltT8vWu/SQaWVNjumm0Vv6g9yVE6L/o0Mu7OsaebkI0o3vX4sMkd2Z1pjgNM6
sGuBtZRW34wwnDUip4jELXwXYo5KNDsAoJjspKJh2uRs6iFsHZwDtHEGNL4BybZY2A2kWBT4Zi40
Hb8vTR8jyhZ6b33y4oJT1+zTFXafeFa0wybJLs4bveXvs4qQK9Dtgt7B0JoUIe2eGDQG90uLZ1QE
Is6wVlWSps7nM91YptvZHI07mhA59NmRsFxSsX+rG2++Lj2RO9uuyy8gEzrQAnf99xelp0FGiWZp
iGSW2AXi7QbGXPmxk9Ucd3jCNDihFDgl0hJ4hFg33zYdWWYTk4Ul1dTeFmXjv6hBXP/AUbxUtDDW
zvoLeAV3tKpvCNzLhYvgsHFyR5pN87tnxz9Ql+fAd+iN3HYUE+4VybnaeNj3kQyapvomUOQ+gmCl
rfkMwjBaNlMfLPkaPROS/vnGrN/dmCMoB9Ioh1V6ahPjgpSFSNHEh9qJiC2iiqgZ7N84tkjdglhU
5XvYbp444tjOu56sSmVngzCH214MUuHUMCJWoc/kOeI5ojE6EhAtIfyFF0DglUTA+/IQR7BNu2bp
pcRvK9CKkDw3c9eezUxJ59uPdCIpxum2p8PI9Jnr6TaGBg2pK12m6/UEfkzKDC/URXmgWG23Jnb9
83CYJzif9T25UIVor6wiLL8ULWNDa5J5cLW9FdvMXrNa6Ot5oHKZMxN3z5KF32J6g/YeIVTS3qmI
ua0ZAPT7STqMVmQZxJX2AmsTwgG/ZbD4CRJzjrbPib1l1uvLpr00XQCpjZJDFVG78BO3pmUTDbAR
lrng6raZkXY7GfR+GHBW8e3PD3uCBlkrTDb1L5M6E2QbcepD1EP4TuoOd/ewkrySoqqs6eMill49
AAaiiyAKSdBelXaOVPqIVuoboKrnWf96VQjAmeuNYAHHXZygqsbYoVNjdhGcEgmoNSxVlAS9NEIa
sZqKI3KysN4nKzbovKvhKWxrR4VXEYrLd57e0zakGzi8sXv8ZligX1g2jTvKf+7p5lFaPQj9VESH
Ultd/yaC5O1q8AsWcLVL7BKTBKEvFnIIWmz1pz+/lOcFdzImXN5Zf5GpUqJ/vXeVs5v15bAwJvT3
IS4azQzBSjUeYmqiiGfsHhBT8ay7DCD50VizVHRFRHo+gOkx3wmHtiIwmayL4kO3FprqJipTHC1t
Uv3nxubzDf+3f/NW/wbG4ItXGzx2j397KV09Ft//7/+hsIlZRJd87btXLZznj/0sQhvIU9NbZM/h
ZKDOy7HwdxHatf5yadzoVH7Zip5tH15CYW3WLfznn7TFn0VooWMxIbFOA1bxLBDwz+SeVlHtV8cW
0MP1DCVNM1xbBx74ejKCKoF0WSUD2sOREZhxAsJ8KaVvd93D7GRfPB2iX10t3RYUpKSa66jNNM0Z
DeasJkP37rzBy860vMsupz6/IEEmUtMc0KythVumtmpWQ1OeewExGCYOXP9CD+ANWPRmGrmrqT0B
ZemlDzbzpqYpE8CsLzep8LKt0XBGRQbXBEE1+CnCHb4O0yJIM/VAoAwVgkS1IWHzHTv94mi1HuS4
qOBSCDMA4n/LQds+GNTX0bQdLPRAbW1bhO69Nuq3qWV8GVou79j1Q14Be446hGgqF5yNY5KfozJg
lmsyVk/dVm+bB8dI5aZbZYBwy7U2JXiLVQZXDwbNPbatd2TjQgJXMTRsJdiaFdZmSbMnM9OQlXcY
ysprVaA3fGk+MAQCmRwegWHQvWORKBWQMXMe6tzDUAtYT6EJmCc2q0MqUHGqcqgETuPwr5m4GT3s
HNdP4vqK5KzsEZsxV0rZzBDUudVtbVRHyVjyGznnwzZXXBJEj31uCyzIgT/jbdtwQ1btZIG+RB8y
tbq5uitRqiqf5rIBxmCt/qjhDJkmm0FWSawgwxzhXLxv76QOq84q89pXWG6hYgBcDZyJt6n0AQJn
KtVd6IU4aUh4gRQ4ll296Mth9Bg9i8Y8XW736Bna3fMkSRrcTWfRKMozzAMANTdUXLBI1uUd3fEB
xBA/Ct2+GRJuKkozcYQzR+cx7RWGAsV05koqCQNN/EDv+L8IZlwlyoD/XSlz6w44QDuhA6wMMAOW
mOCqCtu+Yj4/TTKDh4PGxiYfky8Eebz7hT+lbKubwdDKYOw8hYpFxWcKRkkZ0ANNt14u9UZJCmjt
w/P7LiKvpJrLtOpGnjeKmTIoFa9+PXQue3IKwuToiUXOrKYvCS6F2em5TJVqXQtR080f8pg/Ol76
BZ1E3j+H5waGTXLVM1xIMtzNILm2Y8M6QYw9PBu9YrmMIef59EoeXHznfcflDXs9k4nM9ep5MMqa
RTFq/FfK9F8K1Ma2IaCVs9xU9laETNo8U+HZDK3ytlC4FJnodhDGzINvdRj0LYWJVS8pQVDQugho
f3APUazOPaVN+whc9YXVhLROOsQ2M5dFSQn8IhlxfYWcyyxD8wZcVpldeiYL1dLZCLwBTgvsHCxh
WCdoZyU3Q4wC8rq8rHRZaOP05nYSyGn0CFhsqh5eLB7DKhCxzM6iWC/3E2ye7WCsyzADvvz8brWC
x9fC8sKhJMEWwhQoaxxsKPUiar3O8sXNll1Fgr6HQJdtQXbJHToXeTBqTOfnCbDOcJb4TSKWkjIv
25gcWN9ikcvh+TV3/Sra2jKNaKCgtZwa4WNNGniwiWv9hcTHL3tDO4TSYveyky9QmHgFRvYEExST
b4vVo2us5sLqpG+WRnimt315QSI9XdmTvcfi+YsW0a6m0lRehBmGrVTwEr9fdO0Q2axT0jrjYqbS
tCN7RXyNWu2FpiRXL9m+3LSAks/mAOwNVIjYyzhXcIsmvswYBx+xP8fHQ9fC7NlWm4aiyXF08H4G
yucFU1LoSLfZ1lbLIzbFyGBzo4EXaG4m92Fv3sQW1uOLUc57QDgmHYlh8JF+q3Fx5xbG3mAVuXV1
oHfODxdT9+e9yZSTuX1etIAuB1i12h3fHV/bLVOitcWNOa96eKuQtg0HgmNnZDI1U71TMKdwTs71
AOxnCS5cTFe9mz0BKGBoZlbA81g70s6CrOAre4P3KkqgrWLqVKARZm/ylWro5lp4bUJsC5yqyfde
2Dw1Ln9d9OmWRV9vooT9RGh5sjPa9quna/a21ID4Vo17T75fbTMtvtbG/spFi2VDxBadzclENqPl
Kjdoh8z61sxGdKvKSUN+iWTic2bnxbDBXk04W6yiUKldljb9YqbVhO54Su0Tp/o7O8ryQHljnV7O
lBLPkhEn+42lgx3dhJEh+m2qI4URV0l3TYHGQWMQGhak9PaH/3CGMDwyGbgSQxzFodhpGu2sDvtH
rauqb6ghfhW4TPSbyJqyJ6+xtAU4srYsymdhUGwt22oH6myS9abVGppCKXbARSoGLYg4igLIO+Gl
xNVV2+UWVYAreBKeewQlqIpDR1VJe6BbPfgx4ob5RRjTh9u0bW44fjNnTXJlD445b+nxhtpt2RM+
xK5z9yIU+00+fhrjE9cIhyAf0JIOU8U6ScdzqZmLQHPx4CYzfLwlfkoyDher9O76FmdUGzgK7jzM
9D9fF3jAaTxFTgFnGWKp7lLIeR1PwVUwZ9nV/cEYnzc71iCi89/KES+Jqc6e/ny1UwjB81PS+UAV
A6NL1EFfX20ZI00gX9Qf8pkJskYCMkMSIIKC/uO5/psEvJEEwDf7Ixol+J4/jo/t95cZwI/P/MwA
bDBcEmoR9DXSgNXd7d8ZgE1ygCY5ueBPoNbfXDhL/sXUJTvAZYIUwVrThp8oFFRiBfIjOmqvJjk1
DhT/QOrLkL+Uh4CRIZGy+taQWKAB8XoKZSkxkbHI5kD/In5AVKqsA6e2ULWaUJGjqtEW3a5u5uu8
MpfRzzF+oCInURvV6x0aJSUxp7UYD2GCIDJeKOC6AVuO36fO0dbTPYXRjkRHHuGF7mkaGN/8s9Ba
liKyQ4gPS7WfaYxvEQ8E+8UgJoeQmOx92nHgTXD6r/LUhtDq9cSNLhhP4Ydp0Z45hp4REnC4U9CO
4bvisg3WvD2fGo5Bp7AQq5iwqhi5OXNjtU59dJckPFKo7m5LGYkz+mKf6ZtoD0lecP40JQWuZioh
YZgRYHxC5dpT9btlYpMoJnVDy+obBlA8ZMiTgoK5Ya1nOwluJwBioAHqLrs9gIunGn2NcYMbAahy
ndTJrmkbgYGpd3jad7fxYN441qSDlO8ucQqyNr1JkGF4d6hHXhqhLEE1lO/BtBkXE4cAUgUlXSa0
JvlR0DwoLoRXP4QYtvuL0U1oK0afCbCPKwN+s8p2YLz6ubGJ/TCSfT+B2PiU5YRHtRXHtAlqxKvB
JvsYXvpMwbvJolHnQknJQor2Q99sHJuvlg2Vendx9XdAUDToQxmigkrm9xXJ3D34V2KiNfJvAP/v
qLdNSIJ0IKX14kkt9TUU0OUQUhbvxNw8VsJo71BLBDqSgMn2rToHU2vW17D6DqG3AM+2u+bdPMTt
g8i8O0cl1Z5SbbI3YFVcOGHmbhcXjw/ZON4WdbUP+VJjyiCs8UMkQkCEBXI7hCirjK0M+6+a3rR0
9RrduumQXL0qElhAwWjGE8lJ3CxbXBneW7Ajt1aLQFhgVtatyjtEp7wQdVwrBiDNysGGY0iCOAdJ
PBRTI/c0MyHUR7VhECDM4Btwgtx0aLRWVyadifMIsYd+N7aa/QEcd3IuCkf/LHjwQCG+u7p/mgmi
XCChd4YHpQjAwayfjzNypMcKRQhU6dJufsJJd9H2HrS48GmW7niZm61Fi7ckVM2p2qKuRxe1LlLj
/fOR8t+N/o2NXhoWW99/hh1Cd+ra5Gv3r+rpXyB3++LLawb0j8//3PQB2ups9c+2DmvVh4P7Z9kH
X12DmhC7OlTCdd//f9hDD3iuACQrQRmy073EHnr4DhHF8I8/0Iz/0LLsJEohLbdBFhs2fXDqUuuT
v2yfzPgDGlA49EM2rQJ7Twguv5vmECTE2pQoD0Winyna9yykByNjZ7PUG3HSWkp7FSitt0B0hjA3
z2yuipWvbqFCzrz2vEg/VO2sX4XiYYY5qYZsWxao0ZpoMndNH8g6KnHoCS/rOgJEbIpyO5qfBLWF
JSahA+Suw/uh97XrsJioXTgbq/SdsIcN4fRavl37518FKixJRfZd4jORfU6pBay/nQVK+8n8AWvG
fVKgkKxtZ1seRNWRqUeZc0GKW+LBrXcEy2CILCvQMziAVnk/exk4esM6TAiMFHjWUIM/j3podUm6
3IhOrfhlajKedsmCJnhH5xpc5AU6DDfsPP12Qpzf1BDvcOQnw9K2KnIfQeVRnUoNGHuWDwWbBpoE
yBlv+yoPhqnwoePcThoKlw1QFRhs26GrP3Ne6fsk768jhTeSgb0cAuJdmvmNM+Z7Z+E2xo7WP8iU
r8Uk9H2Weugf6ePXUkRB5PTqooTSRLGu9qm+c7Fll2TWu6hIox/dl/9uLm9sLqtqHCHcf95ddlAB
km+PL6PIvz/z947i6X/xFbTvkE0QBIYrf/onmtn9i9IyLjJA+xGWfda/+xlHwgUAqYxZGTegm+RE
/44jTfGXTU0a9D0UyWefs38SR/6ymh0YABZgWpsYy/ql+xnBI1m8uuoPptmjyAF0CuivMGN5IXqL
JqJrt+UFGsRJGciYysKLsfpNsneSBtHIWYvlMCR0HHTQnDjZS5oGYN+wTN1+7M1h686FszUSM0e8
KykO/4tLIY9LjCtwBnJOLtVa6WAYuH/uiWfAMZrGSB0T3AmE9+Z/8VQMpcQQxVg7AWuq+aLHvRhT
VrNDIZYzTQliQUsTtF2X+d3k9sc/P9VKXn/RknoeQPphutAtJgUA+NeXQmiiz3KbAZQghcEImxDy
eudpGpwAyCravRXh7aqF7aMdUL3RkmUO/ubiFNTWWQys/uQ5O1TTQqvuuj3eR2Bp0wmjMEM0b/TB
f50jNmLGuPJSWjFxWjq5ikLAXA1N2O9btCdb5iYIuY09Ne6wTcEKFG881EmbmRG1qYJQBiB3Y5o8
911evDwUeE0rNoDXUO/qIDy2313LfPKiqiBwK86dEILLn9/hr8OIJDLuvDSOcP/+JZELY4pknlX1
4D5txE9h9/GyZLX981XWYXo9U7gK57XEIIuamrUO84vnAoNN7NBk/d5KBoypNO2CYsO72TBphOiF
/cYz/W4UX17t5KXB4Iga0D/93gPpuQmRnY+GAjGCNAOgDvxv02bZlz8/oMlG+ssTeujQ2GuPlgnJ
vv3yCecYB/NxZNkZsSPeoY2Y30d6T3JVLcgUVRFZZ3PrIsnrN3T/vzmd7p3VtnXoo7baD70ctv2E
smw7uvXXabK04wzOdWOGXfN+aecNBInIN7JmeWNjMn7z/rGdduk1YoFEZ3v99xdvxlMU4KuOZZSM
vcg2YtWKp1WH7Z+mWeSaygAr5FVjYDF6WxMFss/64k4USD28vRDF8aM6ku+gpf596v9H7Qz7t7fG
/ryucJtfJ7eWyhzRADvvEKKIt2YY2wEKLhNUfKfbqiZSHyZ8vnx9dGQeAEIpz6YybS9g3w8ZmTc5
46CX0CtVumlmTKotqOBBWHoUVsG0E3WZ7ZXpLNpxodoaIC+G5Kdrk5hSv7/v4YHfd4MX+hJKud8K
zd1Zlgl22Go9Yp3prMta7My0nKAptCXiofZ5LLIP8DEpbIrZ2szWku1a6hW0Brp3oF2XQ5O4C+Ej
9ewpzMML7CP1j1rbDHtA9RqJ4/yEt/dt53XZRqL6eACD1r3jm8vdn2frrwvEs4EdIbMkhHR+gTJM
ih6ATXS3T1R8pWV9jHKMjl/ndNcvYb3tgc/+4yXJFSEZg3ZaaVXyZHlIMKgeiMlu34aAapXYIpT9
VZbiorWQTIAM/PDnJ/x130aLnt0GMiPe6mD7X09rFcmh5N10+3TOa+SnxXgEwgRLz2zn4M+X+nWa
wvoC7asjn7JmZyfTNOqpmIzoE+2lN9jnFei7YzX27hsD+Nur4DZPmIJ8AGP4+oEKKJNFNzKAmtPq
7aZxpXZAssC7/vPDGL/uYzwNwsIe0SIAOfvkOhnyB4ZTU16bICcF6D6mO2cqkGtSZQXNV7mEFEx8
ithIm3gfYZfvK5Elb21LFo/z+sDwbEIYqiCGDcFLnLy/pqnEkgyu2gtUZWlZynyHvkO3E2OXeLTZ
FnFEl05uW736nleje5t16bgHmzhcFsuC80dWhW+8AfO394TiEBVP/LLs04gjEpqmhbGl9mXUl0e9
tbdS7+HyI2l7FaKR6scuxJscgQM/b7T5XV8neNPQmQmkV1b0xvLvuTENV5k3BcsyfkYo0vSbpKvf
YwwHZaZL7IMdxeNZOedX6M6+FVz8/gHgSFiwBkGyryXql3t9aLSyAIPPoMbzbYS7za4fRfQhZheD
8OCmQYiHkF+4TseJ1RZnyGU8eol7p1pHHvs6DP0Jl4Mtqgryplrc6s7D+GnBYeDM8ugkokIw0+1P
YcakXb5DbqR+Izwy1tf+y7R48QQnsxMDcG64min+Qn46CxdZnnWAs4NU04Muadnke8rBaarDdaNU
qWqUff+8QE6BkYRozEx6JhTAPROv55Pl7s3sJeggqX2qxR2cPRycvhBWXbtCQfCV+rcqH6aP+ATG
X1Hk6voh8tPKpIBqxTT4I7UzdXxgWhBmMJmMsdi4Zl/7MRfcU3hOfZFGxvcZMg1bpfvepUdt6yk6
PJr8iMx9ezAGW7/QbCM/LFX1CODhvTNzoQimGrYYUtlvjPmvoZvnrIxXQYTgwH48GXK6CW4WgsjY
N2n+sQz37pDmgbaAZ6aHbL0RJ/5m23aIgVebbJcv1k8yCoiEDl1EA+5kVD5J5Mw4talHC5Rk3rjS
+k0nM4krrWJ0gpKIfhrYY4LW125oM5Pa6C4zrOhjmi/wyIqZbMKeM0QddEfzzkLHeMvp7Tenr6ML
OMaWxcFE4P16GXYRevBhqkNSd+dPaKldT25zq4vwKXe7L6S8TvDnKfsce/7yrDYEfsMk4aYB9PqC
ctDUlCRMWdLw8ra3iHvm0ArgUgLRGJbvaIjcVUk+BdFcE9wIkAKDilrEz5c3Vs9vJxMCBJws0OZ/
wY0lfTfgAc76Hb2qC/TapXmCCBQY/yry7Th9+vOT/+bQxBYAAB2FQlsnyX/94I5MMdDqJ17y3AI1
qY3QX3ovfiNH/O34GlQymEkML8zw15eBGhZVhqjVnhy59b1hwhgduieYIWTaR/S8/AjNmkCbG7oX
IcRGqgE5ylHa+bI4b+6Rv1tDxCM8LpEzcponbxtbMTolpd7uZ0PEX2qXngJonKh7pxLDRv3MqRzH
r3q+APeplcI5OE1uB2gnYESGh0+cgfaZx0tIzwAHzK7rDd+ObPXtz+/mN7dJuGRTyV6rP78swBpY
UVd7otljJtDeSBDoEHfc8Bzi3+Ofr/RrmcKDyEL+ANDeBahxMiDjjEtbrDJezwDCAT09ZEza5XIe
ZtgMhQFzWBXlPnY7c1NhGP/GRvOb5wSUBYyeTYaI6hRIH2teMtul0+whW7e7XiCnI1Qjt2QNyT+/
FKBR4TKaFPy80ypTkhqqblq32cNuKp6ENbs3wNQhOmiO/tbr+80mxuujLEKIiK7had5oLsgeVz2v
L6ENG4T0f99jWYQHno5fsz4VlMgrWFB/fpO/GUu5CsCCw3cAqcuT9RxFeokyod3sEWwC0WcjO4AN
thm0uqneuJR8dvg82TWJNHSESpAqATB3Mm28TFR9tBi8OLFyWpwZQWocn8S4BKhRlbnvtMoMHGLy
3G+sYdR2ZI79tF0m1yowKLCZSolFjfEYqjm/N7F+gDRUZl4fIBnkQJ0Om/gRxW7tMkNYQoH5y4EB
qXKVQi95JAs8aUVrRQ72aOxGlEDnc3t1sYOV5C5bNCvjlH5DbNw5vQkHIxeTbe5So5icLQYSsQlP
CNLqdyelWBJtajKY+HyKWysM2iRr4w8K5Yf5mJdU1/aoohViq+m1cVYs6ADtVZ8N6souQNpciq6f
wxtHoWa248/aiORUqzKwkEJmZVBmg4guPbdc5bdtq0p3vd3k7weN7vJZizn5wWgzOOxz1JqwbuLk
vlAQYhAwgol4ROs6AsnYV1W2mzOooNuinsv2Ih1IJ0HZypp+hIKBiDnnYM9TUA0I7Z0XGgpF1B2K
GkJmYa/BVYKVy6OLntOMiHk3+YsHlud9bUNx3yOJlc7XY+gO78tEtN121hrp3upV4UVbjBKj/kgQ
O+0ab5IJyK8IKUdUZpYFik0q9yWA3wq6ylr+0zWTrlGjbO8D9K/cn/ICcp8S8UDft65tYGv9DXXe
XT/Y9cewNvMHuOX6bVc6yF6iSnDQVn9M7Nnf9fm8Kxu1m0Bh3oYuRVQBuwEx32RvimwMMpnR1+qH
M2uYR4CV6jHNHHTrexMTpnSydmjNfROWNm7pOIHDEq27d/BO2EqROHshlwpcqsCq/X/YO5PlxrFk
2/7LnaMMfTO4E4K9JFKiek1gUkhC3xwcAAfA178FZdWtzHxWWVbzmqSFpUVQFAkcuG/fvjbWhSsJ
QPvD62AU2P2E588b3tmCJzvRWlK2xmnlpAUrO+6GLSRx6wQlG98kLN6CvplDiPLGlc+W+I2l+D7o
FghzhMIwzpazczTjLk3Z12I6GB2iwM7DMct7igqG6ywJAeyV3nwHJ+QgOrtbpexq8p/8nKMujcpu
j/k4mutZz8Vm7NpilSXRAFaZTAtlJWtm6f4ta+cXKG7jxlB+wlZdS44BM3N2HidzN1O6XqK4aN6w
L+rXEDBwBHfkWo961367miD4EC7K2kew3uFucA5tEcwrj/Dbg6Wn5kFOHv6AcTgyjd+mTmOQDza9
lPDiXqo02nuOfZ/20wvMPkaJeoBQ10cvJQGXLXdg6R+G3gPdrgmYhI72AL0oOsrIStduXPt4VG2N
70EQZJ8F8zqhb7ikrTbcirj1L7JnzKgsed1NkQfKAszgpFVfUqhmD88h3aeyBMlZ+sO3Lbt+NaUE
WmJTHNJunkCqigoyNYNEvWWHvk6DjmRknyUqk4vnucQJNK49QR/Bo5xDgpBW9YqxJD8JxVWWTZiB
/dw4kCg8AWjsajwZs3/FH+rNyA2xiX6LwPV/C8QlMdSTAg5MZBOWO0uzfdUMa0v2K3s6GkC7Zuct
YbujR4bX3soLs1+XfusBDKiZb19rmovrMff8Nl4V0+BoR+RZHbBFLeARtnxSxJRUBTuZ5fCQoOrf
mkVG0FlZ5elBZeTNOYBAT4Yy/S37B2pmGxcxLkml/uHqEfUk+m6z8Wa9uGp49P3qpB+7WDxjAMXK
SS3MQdK9t4c8+g4Q98lMrghzXv1sEMyTPz4yZyq/26bFED+BeHmDzEj8bt8456Aym1dQkWoNGXHa
ddRLDz6ZIK+D5HUmrQBr2JniOLPTFqZjZR9M25LPqHCLy0cm88LS5UrA/SpeEoCvv0Rj5yBKNPHi
CTPdZ1CligMRS/k2BQf37NSQIzHjKLV2Wa7s1v0suTmgNziw8fBSx67rhBnl3gFCIjkhSMgbutKg
3eb0TeW+bEAlA7mIhycRqYXJ6eAXWgXx4jKsdRtnc8lokIScpFiuQU0dSRBK7nU2bVe11/ZQZfk4
tSc8mvyKLNYFyVVszrxVNx+eBnPs1U0cRfE59Yn1IRN5vqnx8V/bic2rEgm7s/XUvR8605kBKXji
6DZJcgaQ17wh3ZkbhDPnHLNG526qupzZEh/zrapHu9x5nhefi6IZvLBxEufMTSS4qfh2EeHFMYcG
dvYwwX+0Q9zesbVuPMiUzzvNcuJ1oBnu/IQPVSPR8Erj0rxrnLb5cJYOM6zcmd3rXMC74JNN985I
yImrQVAxWlsc4YFACBlk89FNTfsyJHyus+eJX7URYxib+4SPFQphdIxRI7B+dfKTnVznbM9CUwQH
BfF5hDwG+sglI/ATqKmN0akxlWUzUVeANK4NHsvNWgVMyzVWWgQmHdgqnFB9hKO61o2HxpgIenbq
6LFxE6J1nb5+c2O2H7olYwIbwAzdZ/Ap7ZweF3Xc+YIgbz1axxBkr5aohT1BouOjr2Wci3GU7n8W
NiApxeceQ9TMKo1D/V9hQjzbligObb4gSdkPzgGx52wIJGXHX8CV7ZNno4punc0NpoaZ+xwZq5LP
BOdM3743yE8vtp0wiqbiYLTdcpX3ROYxczGd+7RMhifsEb0Xqpo3WTh6fvG7tnm3ssS9Z5WefKOm
Usl5csuKHElAcC8Fe9u3viv7J50I5gvQF/u87K9fO9jlL8Ie+EG5Nm0Dz4O0Q5GRnG3Jp+ZnyXSr
x9r0rc+AQ7QRhChGPj+6wDy1D0JPcPdbiles5/xCIT0+BjoTmVnBdj3OwOOSjcY+3bdH8nAVRqxD
ArVwDNmuINsQQ+1qNZs8ZHGXhKVpbnSxExqMVdNLMR3KYXATfneupFkTLUeva3OlcWYlZ1J2AW2U
xlzfalaGiDtMBd+1Lv1kOLhW7VdhILvvGr8jNHy9zEJRKvFNNJzxZMcwGQcljS/WgQByc+uJO06L
+bs2wQWERBQTEd1mTv8FE3J2+M6wRGpNw8fi8iSXO13lRgtCAYTKbBbaJeh0TjPPJfq68cVdF1UI
/8JsTt0wNa8jIUB3RufH58gFVtMF7Axge4a1LJOFKQny7FARhvkssAPqd63mS854CAKkYE01H55v
eTf0xNG26dnkJ/TN9NBNO6tnIGz5b6zqdqcI7MtuKIph/4O9ETw2ry12REh7hA1169qy2QKgl49t
M4B5xY3dxTX/SzYNC/tDY304Qexs7YZ9W5heOMytEW/iYLk7g89rxUTTXuf4swD9WOV0Mcp2vP2B
lS0JqU9mEYOS0up7QH03xO+wZaLrKb1M264VTO2TQP/R+2Q4wqdp+bG5e9YVUFqAy5wbFlugo55q
NyMLZOdqcqJ74AD1IRjTPubQLWeCeBg2Cly5ByftjsM0FeuUe/NGj1V7TRxcxSYKTiFKfUrAgPEf
Eup74MA7zr0KOhBxYZ8DGZ0i1Q2ONOIZZkuKTeUarI509tU4ZvYz9TZMBn2sPwK1zJlqglVRlg8i
qj2mZQkF6ZDV07M/qviiV4naemOzd+tCrAPQV/EqZV3LV/M7+l/5mpd4N3nm0FqZGsuumUuHE3rT
ZCdhludgMTTdWg2RRnZEabNZAXz3KjGWqGpCNW9Zv9N3VpbJ+15oLkddEF96yQ/pnci77WG0rhCm
8RER6vkepIH7BHm72Kep9zQCM9shlybUgZRyq3LxSdapSm5SH+GmNsxDhCv3I9EjtR18Td+RKUVq
dUrcuxq4GWWTkCqaIxXG0+ReUVzYz5nt7CpnrLfcThzAdUZ3GrsYMgOCP7+HvDefR4BYp6AMZlwL
pf3QEGQVjtSwW4ez66qMZPG0YAXupoFvyRnkKLYedeGq7Vq2ssmr+5oZNZnwwbr0JDIuA9KeYrgV
Y8WCbtMAgrDLTIYj+xCQwuFAzNhke8+loLfj7J11bzaSsM91xLyR+21reHUJEpx187mDCr7lVtxC
b2UfihkbBZnXn0rbiR7h4lJm2AMxPJ7OuqXfpRdfb2c2WCz/Sk74dCM92SSsaa9yq3XOZePUdZio
wGBoUcyHaaqHGxf8REWNpuXccG5F4tKYQQO3gHCB0l7wym1FW1poGbcRM7ThBupE9lKatrtzDAR4
pLWaJ9bcIDT0qTbeBpElrifE7GU/bUjhwbTEDgYq1S/snR/bzBv30dAB85H5DVBN2D4VDjhp11B9
GPAshIgOHmc2rVw4h8aoBS8BM1P6HPCO1cJNd+ZQkP27hDok7LgNnfECqbo91Kb3YczuV9TW4o2K
tXgrJFkEGQ65R68A6m4NPdvjUGLuJpeKpZhag6F30M1hPELZpxwa98Cxh/SoWbWy14OnS2/v5QuD
sLLd+qyphcjANnZ9RlRhS8f0M8Ke+2Jh3dWGk72VZVbdmexl34E+g6HyQ/vKEgXLQJo6oV5Z8imA
b7Eop/GCAhfA0Wmz+p4lEF+9tFQ8fG8pTQ6U34KnhAY1rWjgvM0L542nJcrdXBgAklnisQ51lJoP
1Md0pmD07GOcjyAccwJTZL8wsGCSld85bCYQM3MXvekyMz7yH7xwvYAQJavsb1DBaMLtKNWCsJmh
bmlOo5XsMg4BDurcqe4LMXIwyGRU9daLu6He2oFC0YCdyuWRmD0FTl2B5E/cHih7ENfRm2M4/Jug
GcEIgGDKnTXQKC6jypq6fD1I3iWYaexS6wqXlkcTM/JDs9Su5FU6Ox19o14NRhKqRpF7T/HKK88a
QWwHWyF+gpwKJm2nTUsJ0DEhJQNnBMSQJbpdrV0IZD2sQMLHCZbgURcWYx+9De2Q4NPs02VnNXbK
b7Pv+am9sCAaKtsK3n77MJ1Bi/uVxXiSrTip40zz4JRA1ozdegfrMwZyRbRFiBbER8/GfnXv4B+r
dkWaIffgLEhpMPORgG4DFehsCmc0tp0zO1dT29X3jsJRwVfIvDVUkeD3yz0HPaRt9Dy7krgYhl0J
HCq5YX1w+B5clFks/wSA3LiakTyAfzCJLwXYT3S1d5d7gWBZFu7gA8uKcsJiapN1YPf80ntz0HmP
VOW86xT4CV3eNFYa8z/gniHfCfcu2n8yrdFl+BQHUFAdhwTckZTuJV3xZuFbyEF+pWRBFLugb2HE
9wHGdMjtqTmGhc79Az/SYeGiQv87Kshq5JbWHRWdk9hNdtDdFhGlZbbCNqZInZZb3abh5iHM8yss
e6BCq4p17zI0Z+KBzslg6QQXUUIWBGp2bOCZyaOREQ8vilo/MpNu96rs2feN/ZGNsTx9mudEPSqT
NbIf6fG/HtR/50GFlMM84197UHdfdRv/0dRu/PZv/ulBXfaEAkxGJtjpH2zuPzyozt+IoEWa8PD4
LH5FRmH/8KCi/f5jd0n/G4YHqCuEgkHvIV75P1hdwv/ONOZ3ui4tDxZ7XkxHQka9dheR+XeOp8Cs
yUqogQBZfvyq8mRcdZJziCHhS6W59y2xedWi+/il8UJJY0DHmrZsSB67RSOiqjcPFnHDB7koSBU5
ModgUZXwo5N7vyhN3RC031OEC7JedKh6UaS0RZtipKxftB+9alGurAJdrfHTdBtp1bjpY+/CZpR/
q+aUdZsOkKtKFa/WLy2jEBupmWRMLmoZolYohvI8SdPBN4CiliGttYvG5gD0WNee8kJjUv2DmQaQ
phdVLln0ORuhTi2KneziZ9cuYUkuap636HrdovBli9anL6qf4UrElkUJpJTf2EiDPRJhv2iF06Ia
lsiHdW9AHUD7JoQHbTFdVMZ80RutRXkEUUaJsKiR7aJLqkWhVDYqCbtGn92iXtqLjpkuiiZFzbtJ
BbnIdEeeFIQapAiV2aKEzl0Vb/hWV2pRSUvk0g7ZFJXlHC06aq+Jcd9YaHKjVxuXYNFbu0V5xZez
LQN1x7JTeclxvVynhd/2q4yJdk5jV9y0jRWrDdQeTplK5C89HeMdg3r4AFLrQsuqKIObeGjvhaVF
96xTOld2PvFM00qn3RNbLDh1mvQEdVq9RAHHJUbV4GksrZx4x7pHuKlRvZIhIMFBwR0gL8u/85Ti
nCssConCJO2gswAme/DvXAqaoXiq8grWQoHSr5sFMJvq54kPFzPfxnrTXiMW+WuA/gYfXmD2Bv0m
+oE0m4rttChita7Wq+NClhIr4VeeIN43Vz+kupSd/rq+mhh4bE3lZW+eSX2xHqO42jCIA2O8pOr4
MJg3Y5nW9yRVGyfLHSG/Lk8Ayt3srWkWNmVgeDyy0nw2tmVGSnWH0Hg7OQO0AbI+KmDG9khqheT7
U2W7tzrFdN3B/rluhU+SGHjMpwmZ66PtAVtpJPhkABA7PtW25u8kwwJf7rUQYRrkEXsh0FxrB5Nf
x0vimZj6tV7BpjVjLk2nhzSxd+TALy+meLoQlc57LGudLsrtqTDZHMlDa+J7II6cF2QBDnQbrPiK
JJByWo9d2bwm3H+71GW+hgWSjjcaU2ilXtIVT41RpSciD3gginnYGb3VfDkj/WTU1835551luHP9
7dAbvHxhmt5dPCdIBE7ruKEVJf6dPS7SmNaV38VSqFVO1T/IzFaQ5IlRCNPlF/9pVJlYdo/eWPIX
iygzD87AIbLGpjtt9EBiF1R29vZzpbHkyE+bsbtBt5voV9IRUKhvB/VZNWT7rSjO0DgRWJ4o18xn
VS1zjK60vTsCXO1DvRCGDWo6NvnpSsy49+x9M/Cl9r1dHaE+8K2ZbO9vC9KxPjsvSU+VXrtnqGHT
lYgM8xLpmX9RQis3CVckKbKBE70FJjqZcsoEeSkaeaHB5yd6EzDYIk60+3rG9Ti7VL2k0Aa7mhW6
zc+3Vaqyvk/jCTSWzKOqCw1cmGHNihG4Atu5NoS0IxgXbJQirvPyvWKM6xUjVz2gP1Zn/FcfyS80
RQ0eLZtPskpOA5uovSYfBkGtPjj1W0WyS1y6Uxj4N2bX09fHt8mgs3HaJfsya78dFVwFFh1JR0Vc
md5llBbdQwIXcH6KW+muHX30r10EfsRjh7UabWU2Ux36ZlVfOp5j/cpcfNVGargXqp9HaWQQegfO
8Nzw47XrNVZoeLgf03I6pWOwVmO2llF9tCovujU6bTwbo0nYRx0zrVG+m+zcOgfMEQz2hvRHRBWm
vfthYJmyA8QIdorwlSoeQ5JtvkQ11FciSZurbO7lpjJL44DN9ldrdPvKd+54TBZhPvQWdWkcvWqx
+SI1/9fUYzWfK1KuiqEANjpVGIFLa1rTONNGkiYzhI3r1ve9Zdshe7rzZzlACJyZvy1T9m3TjfdV
1jfHwMsRAjogkc7MF5y6xnYUfbTK1JSz02E8uhNFO0XrIR+n8kCSjrVXHMJr3e8b9pzyiFVYkn/j
mcTeun4Ves/EsKr1a1CR3rHlwmd64eprZ4hedaMUIfCOVW9M33A1L03qe1+AI5FAldDfPES7tZHn
Dx2GxndSlq0N9zqBQJYg3aivGEAgdB+JlLDFaphnzgNrKPYxQfIUr75uhzPqUhDdi1J+JlMXbfTK
n04MUxVLHDGjmLDqTPLhq7ntN/NgVte14Z4Kzvw7Livy2d3IuLVIEN8os6/YnoNHus+rvFnbUhug
wpjNl4TrtoGWcpjKOodo37z3bE+vhS+DdWYML3oEiEWvedoH9BIYQftfrGa8isTa6ZOIHpUBv9Gy
8mHloG+Gtc1kubXJu8X9HLrchnRWVfxCIpcMK2mtO0wE18CA4g1Fgv9pe85w8eixHnPWSqkhWDNn
ouhOR9VFLHoNUGZHnCzZY+aRB29Lu/ySLAB/oZcVR/i63kI2ihjPakgSrq22ueTfxiVZS3Onn7wo
q+9AIWIzSgSVlbX4UprWPzVDo94qfSreFDlMJ7djV8Shwlq1bjrDqrYw8JddinqcVDAaI+Ztwcod
s/h6YFRiHKUJ3HOVyBl8VADY149FqXNLxE+dO2pn1wDrnVsIpnyJRKVHbaxBc836a7xWNldMBQij
BkYOI3xWPAbHvj7VgK+ONnP+TUT2FGwmET0FeDUv6EtptpmlqCqE8ko7dbHvHKgU8p2h12KTjgTj
sZ1c2+Aux+8K+M3ZKOPuUbWp2hPeKJ5d0TGW5Sxc0xbS23oKwIjdpMCL50NOssEVKrJ21GsOsMYw
xb7GpxY2bZcx65ki5l6Gz9sqsEHYxYcn2dSTbaTOuavpN21UteA16nYnTOxdvcqjkJrhZmQqj4F1
F5sxfbA/v2ZtWzfrrBoYYCvRshKeG6s0kcW2tHXCTdrc3s31fDOmCSSMBdNo9mxsO4UcbuecGi8f
asmTa/DPk2LaLzKpmFfm2qvVBSeQW/JLLUkuwp26bQBFctsXUQOhXQDbJBRhTRYKtzim+mWGceEJ
Wp8rD0hrE/TTSurKebKacTeqMV5La76fXMs7jakJQcr3sx0OyZ1LixkWRruphzr+Ah28szoeeYOo
i82QZmxL6uN4TAdDhn0mowPko+s0Fhc7cpw1ObPZYZrd8SrKcK8y2tCS3Ngg616CnNPVuPJ6GDvL
nk9SGM0uL1UW31luJlgH76WKGekpe4BspWkxj4RY6HS7gR5PCAWqmMbDSP07XzuUKqSPxmXubCaZ
Qfz1GxOZr8/HrFjx3O7rdemmeK9kPCTTryRnY99eQWqtzT1Pw2d66TtND4ZtWQWL5NOr+4ho0I0x
zfIUZ04NT8GxbxAWXsRspZu5cS9pUGthNndQA5harovAyc7Ca5wPOdZTmJnV/GFIo7tRpadtU2P4
auOJYZxjDjf+MFhrABT2keR3tbTu8hahx7xGcBGXmFJlY0ZIrpPmvbHqFq0E6Jt31cUT05DWhg9G
zneppe4qznSdTHBZhcOQjoRbARtvoqZgn8NOd7ofPARaN66c3L6aLQptZIFPzwRXYJNwcnKNPCxq
+1cCZwpNPg2OUzy7FSjbpeiPkVA+dMTCTy93smulKkkdL+29RV7QAYLYvc5SjQ7kbZg1ZuVdfpjn
CKzKPNvTtc30/Y58rvm5aPXiRiblLxrQmPxFU/SIGN2i0VRRvU6r5JcoS576mig/vYGQZzIiu47A
vnTYtobevlK+uBuTycOFBOA5pAa6WGnmnMFQxZKMh8I66nYg1t40c6f1lXpygXteiQbi0lwMPgsn
U1ec80p4Do4VK/nAEKIDvczScUtuGo8CPVjYcbSGNXVAEfifLEBzcAyxY1yYNfjPsOWa19kqWeJN
GMIiz1u2xpHvLbmGuqoeqmWc7yyD/WgZ8UsORvIZ50O6jP+bxQhQL5aAdDEHGItNwP1xDDhVAkYN
MHCNzFlzCcUUJdmPu6BajAaIdovpABjFjweB6nmxJIy/GRSsxayASjR8J4uBwVusDO1iahhxN+SL
zUEuhgdU9eu87Uv6LMwQbqkPt2Ckmwv0YpTsxTQxL/YJZzFStIulIlvMFbyxRxq/iLiNpN5qGRaM
4seN8V/Vp+rSbvp3qo/1E3z0r1WfPfiaNP3D4vFv/+Tvoo/h2KAHoBV4CKTIvC7uub+LPoar/43h
ABxd+DHOgqn5P9HHNP/G5qNHQPiyJ0vAEdrN30UgA8oBEP9lNRJ34+Lo/U9UoD8lHi+p4j4uc96W
i1GSldw/iUDs8hQA1mPzXjJM5JlDmvQErw9xKpwLFOTGxlMA1rL91XjYPJIk1y4UF9OusrUJ4l3q
O2EhR0wipIyqteYaYRdoDcXD0LxKXed1uBxx3WlDnd5mLRCnFcHlqPUJBgfiNaCeLSYDU9MX1jWe
kh/bQg0a5rJEoO6DGIIf2OH+i6AXmOT4Du2zxsP4PJI/W1DudOo9iJvp3bOSKaWm4mMLk3ig7W3z
dt7SAYujM2nNR28m2XsXq+mW2ENonRSAr1M7tyGYhNyjKZ67r6GNDfoXgp5i9mHv4sRl+qul6apm
aPG4qD75+ncq4e1vgtvv0dfW4p/8pw738xUsrli+VR0GlbGspv9ehytnsgK0CDPO3JJC6Vi9s2nM
EV50UI9gryxTdGARzDK4rb3GvK6Uya/WuH4N7SzX6R6TbNp4SOaHYO6HmzlykpOJo/DTSHONhAdH
XpIJYYJggeyGhhofv7908rTU/i5OwGL20qrPvt8+doXF6k2jrvEimg9mYu4g431mwhUff/1LB3+0
zfJL2zp4r0XpRFa1/z/vf4NpN450QnPtuoxejeXbj+vaeDFMe7zVPL099JnVHspMAQxMqB5XpdbN
W8nTBFDqqH80ubGIL44azzFUl6OqLec+mviTYN/vy2xq44qQInVOehewIoEKt44fPSHGmKxpI5Xk
FQA/gmL0fQqzY0eEjbbLGZmvF9z2ZtZLrmmr04crfbY+K7e/Vq1p7Ls+cvYTFFKmCKwOpOOUb0YH
FKSOysBg5rUgl/Jo27X6lSaA0oiRVr8azuuDNxXtvoWqSfwrBWkz9NsuhebNTZmfvEHjZpLsj+XW
p84wAYdC1LpynYNcvSJSD/o1XUe/TlNcZzUzpJ0+w/A0U9QZr2JGTtgBOauwxbObMlnmjn5hPk/Y
kb98UsnxbGBUZaHDAVXF/MrYVomUe+Zo6VXRdfrNTyStXxnDjUOl0tGyg/fciGTO9hP22iCc7di8
aGk3nmVn8IGai+g1+8BIneXe1HKSJ/BlPNuJFB8Bs8Fr226DUEcpO/31tfOnM4s9e98knZGK2IDa
b5o/TK7fCdcmxv4ohkF+STp9vsOSUe00Q6Kijcpftx4sXPZquHbaev6FPw7nKjyRKWRdKfkkCmI8
Na4ZHUWni2dP2A15N4W+EyChRgyba9G75WMpeJV8aMlXyQZITQXf/XUdMbTWiUHaSCceQV7W5mXU
6Q8IMuRXnXptumGLIw05rqbtwEbCcqDWOT160xkbp9PMTYqizmuOw3gCBTrf/Vy2TYYBLU3d6aYV
4CiNBmpRXfj6i6+V8jnAzv4Ma1uAYk2Bc5X4+RIQS1X6Uen5TtStRi7aGPQJW189btdphvaU+4l/
9nWBVPbXH//Pyug/z6vl41+W8tlJckGsMYlYbu3fffxKwF2M5xYfUdsAKevw+q+mVmj32RzwGxiZ
SZctpPaQTemQAAloguZmbInp2fmkDNGacw8iChUiOvr50Lzng4tTOaAkAslktNErshW/zKL5HkTa
a9v//Bewl8cr3D+ey7gO//gLVHMuW4P1h0tBdtNmzIzxJJo43go3YswsK86ZSBC9QDwiR0yVwDwG
NNu865HuXBnKjXBULXxVc6rfrdEzrl2FcyExcfhsReFHD4UnmB0mZOz5q79+7z/P4z99+DaEWsbs
JkBnCAJ/fO8oyGk728q51L2Dn4vUl+ibq5k4kxZL5JNBcPZNNsrxXHhDteuwMzDaqCr34DfpcMTk
DVYUTfJQOAqXAPi2h84tcYEoG7pWK/rqPPsyvab9GG9VGRSMk6WS33DF0FRIkfmQkeoPJGb5+JIX
Z1qP/7ViGc5r4Vxi/xoXwbPDvPdsYlvdaz7eITKbYeUCldgWkoSMpkjGV3ylhAmrIaL2JvNwrryK
UG7THL8MIGTtyixtoGGyMY3NbDUEeNT5B76lPalkFai6vGkOhY3iVXnc6tQE4+3PrRcFWvzZRloy
kHTP/+zRz47z2JoX2iek8jKDIItslHzqjZy3GbDsV6684csuyuUEWT4a8nSOoFbmGxs6ElFkJSdf
syxVTmaZP+iNSViqDUT6xSuzX1aNr4Kso/GQK1OG7SIMajZtIgYBuXYQZE8AAnmW/PWFQJHIN/2H
K4HdQGoGFrpI5KAc/FPZwFkNxjcfxIWunMCnCUcTVOXlbC7UiCTCUkX494y/OYm3lGLNu4v1mTEQ
ZxIhsvKQaMIDzpYVGKuQ6PD56mkeDjhcSmyO1bYjep3blWCxj0npxSPHf/dh0ux/9alna2tA66WH
CdjHX1hRjt0MJGJtSk+fuA7sCoZgYRVRsS2MCOtBMJeEsdA5rae58Q5YWx/R2w22O3ARF6FmktAn
XO0OJWTCWtzr/SdmXo7IvGJfpMacNRozO7vctXuvSJeSc/lecUR0zwTg7YELMlQZzXTeBNb0bDQN
ILrat1a8n6RcITlUO8CFXKyZKe3QJZ33F8t55bodhvxYM07fz0FBcD3Sh9jNyEb1jTlGNkaQPk+e
eA6kT1LLWIicG2WBwUvL7FkyYmDKkQs33ifULUzvLU4D/CFN8qkFnnHRBrUUOJiDjroPH1GTpbtu
ca7HKysBQ838BWovWyYceUW9OGmkavlz1PWLGSFhwyjE/mnba/JFqoc47uQhwvRsr2Yjsz4SK2K7
OmZXPb/S4NtQ/gSkLHUEMmxmtJiPsqg5VztRsgnAyU6KUwUYMXZUfpy4EJD/FYMwzZ4S1EZWppdw
cFbLJ72f71iXiJineBlpm9SW+05jsrmScp6/TTf3DzgstQ2wN+IvfIRdQirbWW2gGAehD2o4YTWI
zhaaH7dRKqgyVyPrlB10YRrZJtIJCpqLbxjcF1pnUlwcylZyMTH9IR3m5cnzyuTWLD0V8jBAxZDB
NN/93Ej/9TP8u86WhwgPj3/d2R4+35M/hGuzULf8i380tgZwLJhVUKugs7q0sf9sbA2P9hU8HqAb
GhtaStrFLvnf/7FJ3abH0Re6L5ZT7rD/a2ttA3gfi2y0tct5Rjf8n7S10P7+dDour8CKDoAuDEfk
Ef+Jm5AbkegdL3JPOG60QxxVo7iqcG+yF+BjJ/diHlRlbjFGBURY3M9p4wQf8I++Era5720vt5zQ
qK0HEHzjc+5p6RVbpiPOG9PHCthUrl9yoMmgXhOOOHUXjI8x8M5YKfGoVyLSVtWQFlZ5lQep3DGb
yrKTB9CLYSAlwhZzdXUoo4nDLyPTspyMeE30pL0GSOFs2UGjLybM6y6H+dmuMl1F1wWDkGvZm91u
cgdxNINWfc4GNFjCpT7tQOqvhaq9nd6kzVtb5nqIau9ip5bvVptxa7LEwvjMM9vkap6Sca83tb3l
i9JOFe0nBm1v2Ca6T/0VtiBch5Y1h94oh60D15NyDRD9WUsS83kglgcsWbOGk0JwQZroRHous75e
VGs2S58LJw0eR2ecaNFhoDZm8DyOvrsZ9CmMrKG8o98Ve7tvzVNblnR6jNlDPSOfvBxqdXDcJL0J
tOI96ATDQxZkNw4BC1eihJpe1NrwIYl2OUyRs8QKGsVXWaQUEJlvfC2Fq+Doaet9YKZfPWibDX7L
8cUxfEWwQ0pSrGj8OBRl4b+ZZg9UwMsSPpv6uUzLZ6HxoyvRsLmZqIGddKDlFNr1BrKHFzqNV5IY
oCoGZnDIHQM2dVDee/PIqjwO0+awXJGPYpDuFqcuPkO8FfmeGb0gaNfzQJGRqbGuNJTlnU6rObEA
Oap+5eZGfLFzI7+dJjmfI5XoYTLb4jqxSMlbQbN3+ClWjfnDs3d2Rp4b7bCV3itXFtcOa4LXCWOB
G3AzUEqSSN2qVrTbSsrxV+fbRbWim+rCPtea74A1PtDlyjZ2pZepa4YP6X50KnndwZHlgHZV/Jlg
jA+LBsc0EC5Ii1PfeFcGHW69SjtPP2Fh0VduG/w/9s5sOW4r27Y/dOFAv4HXRPaZTCaTIinyBUGR
ErqNdqP/+jvAsuO4XOeWb73Xg8sVIVOikmj2mmvOMWc6qwpTL2Al0u4YeYQU4LHCAsFDaJK9yWpU
UMo41mYU99s+NsnraDkNhGVu+qc+z1lUt5VNvIBdRbP1h/Gc1HxTonaro5on9RSh+OarHkL6rxJX
ysbzpA+UHLhk42if7uyAuojjFGp8GGGzbmjdhLzMuGyRutmKVPdfsFpkq74RpyrEzpN7GEolgJQf
PdD3rclW+iOrw5lDYt7zwupjd7fgZ1csiIfvfmlbqEWhgAHghdsOmn4UFNkwncpBs9vAw0F19Nxs
qNY5h87NRAD1Skiu3Mw1mrPrwuRoR4tcHcbSm8SIv/Pk0D2T4ylJChYkg9OQl6Ggke2kVRjCndz3
8sDz+Su5JXsF5iRfwSIZiNs0/bShmSVlcRBOm2Tw5qd+rOnXYCbbxo6OD5SiEgzZdngXe0Vzdd16
bVDS+g0lyL35VrdvCmu+H9DCg3IUR6fjtsYzZY6HJMxZWw1ueSVIrBEuNBSNM5U3PWZKVne56hGE
zDp9w4Jfo/Oxlu6GZjh4UxKHh4KmEEjJNdhjlmHWWOl3bFRYDpfDQ2TXzXlKqzTg4alfVMePGwNL
HBR5YvFQqP11ZA36Ya6NT1xk7qWy6+JAsNk85KqjZNBQOa26lYlyGEa7BgLWOkwqOvKqiSytabWP
rA+nn7leUVOjiWk/UW/4IKY6RwI08EdwoowDI3GynejGap2EPMh1c25PSdyNT4XU7W1dFRFHwt69
0/GDYlniQeTDoFmHhDFerVKP9xP520AbJbAdu500nACO+8pLcN4DpdV+GiktuOMQ01zt2t2vNNTK
i005zU3ViKIVABbOOPp7NOfRpjakBJnc95DZlMbkxGH9lbGiPTe5vCn8PsfYd4vAaprqRDyjvc4F
+61h9OarbiT+vYqbbBmzwnljR26zy212pOxevLXKvH7didj+GS2ehUGMH91CHc94ZspVmA1x0GB1
P8caG/6ycoaXiqBvYBvVfIPc5mO8Kd1X4BDcG5ZbEeP0CBgl2XhXUDPJAysineEk9lsme4z4gj4C
IyyK3ayXxvuQRzYOovmJxVgYmMNk7p3erXKiwqHzmCTGuKY8naoeX95m3ThwemAuaCzD3WT6xA+4
MB1/LZL+YaAC7gUCOYyIDrTs5BbxNZVqKlZaHQ3PeuTWR9+qxTGinMjjCRr6e56bhB9a/ayEZt3m
ubvSHUfuRJKBJKmWBQ7XHqqEmS9hyxW3BGOLbxCDmqP44HvaLcMXxRa4KSHOWmEUEH/2qJt1OwpM
W7kh3pgHuheeMSxnu5JMFifx1MPsQFxmqGis5oaKt13OPBS11AmZoyTI64U55+2Gx/cQDu9xolc7
rdfd09wr8UGzqPzRqEq7OKp5UFbuPBLXftInG3yaH9as9CzKkVpt3nmd6Da1I/onlcfd0XHz93RO
20OcQnKoM4jfPSvWfTdL4p+jFqkjbdUdlsXIvqmoKK/zEo4kUOpQ85s+EA0yXwlyDWeCCgg1mJb6
FyNJtL2ce+ecV0l6NBNnW1opZdImORfXfh61wV7p5J83SWGFK0FDxTeq6apdR+runugF1c6qIghb
hz897G8B3qR4h3ODbSI79b0CUHeObXs4VU4WfachEXO46st1NZPDsV1n/kVk/lucFwV1Ral4zEK+
hdbIcCGSFly5qXXX81TdVLHxFioWYnSJEKSsSsZe9LfRHc9TaNhPss6w/pE33IDL73cQ8/xtMmbh
W9NN484ek+aN/RvLWZ8mxrI3+4MY0m4rXfU2GDxXfD03thFL2GzZh8ouftc6Bz8etP2V8NL56Puk
67NInsb2JErQa4Ae8v5iSwguUIzIl+hCPqWaWzxyqMpORe3xqncMBqJkyLz0fqmZ34G3qy7kr7a5
a1U7DznxjmwkKIHR0XZxaudbPTajs2AS2zRm2u0j9qF4UIgAX7FqjIfYlhiKaGBcT2nq4Csd3qhW
SmkARnXcsbie7yv8jUHmUOpbzk2xdbxhfO+80Fta88hPhplynVUmQfivXJx9a6ecx4+CFqQ3uvIC
nWPuex754Zpv5BcluvU2ZQNfBlOhNYdJ6V6Qpxl1OnNDeYGoszxdGXZW3NG7jNMwo6pl6HPECFJU
n2TKTLIP88ArzcX27viLMTFL7zn3Bm2iy+1AYGCrhxVv0CE0jjPPARw8nDZjVgn70NL0Xx5wk1VL
I9eqazHslW4bbeA7UEE/dc0GdtKDQ+qakmd9wtQQqsXUauK650f9BlMp2jPVhxtRdJVaYbBDn1XU
n+LGU+t6kLirahGK73WsL9VYVAKT0NcfRMULaYXHLiV03RofYyUk5QZQpfXelPgaM3MbFjMQiUdv
DLsUxGLvxeUHvQ49vt68kH7+TYzUXtvH0PGS7NSOnl9+owGbT42QyqhpKGwFJ+VV2pA9B4otDdEH
BVGCNWHvTKynOCrWWhumLQCtafxZESL+HHy+Q84Izne+pnzTyDRvJ7OvDlhkRjj3PZQ1opXJseu9
+q6u+K9L5ZavFneeldFfzZ8IecNnNd9hftglsB9LKnLHAh1NN+7KZPQOlFPN3MHsKC+ic7/NxI1X
NX7OT1tWKqQMaq5O0B+HDR635tYs7VGpS82Ellf5gz7Qm0Cuc8JeFA/d3pYtTG1EnzWnPnNdUhuB
/VotmlOS7d1G2hsySuZJLxQpKZ1NWEJWboPVcVw77kS1l9D48/SsKkFf9vYLDWW0jKmkwnqlDM1c
1brMAp1P7oZQw5pMttPr4IT3UQqec6VLf3zEHhqt+5QG+qDtZv1uqiIzSFsq5Br66nER0zvSkYup
UNF5C2PvxrVHgArxbKWqIj+OeZp+izzZvrYcPZmZVH+Zijl6zJ1Z0RvOh03RRboDUs705Zg5hMmw
H2hVLkbEya7SqYJW9WMY5nq7Bq+e7josowfE6eLWRj5Ahdqon5u4YStGMvV7UUbPIeLa2aZYLMGc
SIeVZS5bWypjAbD1+kn4efVISlsV6zCsCnFHKMl+KOL6XcwNtsVqHiG6a7E+Bx70hiRI5sgmH0o2
6D6Tk3xJdQyaXjqEO3YwlDVNnWHuGIXaJ6wJw2cP4yCoSOsRy4mqNd9RsU0bbBFr9P0Zn1rr4Far
ybm2NZrvGlbp8GPm1MeJX6MgqynH6VoLj8qPwpfJrYnIheq0emA2TCkqU55mbEwBKgaPeHKI5zk9
w8lKDrlFEx25NQbY0eVi0rUf0ivnJ+qbQmflGi5/OeyO5UZ3sukl41FhcuUPejCnYr7XphL/HOC+
XWv28lYs5yRr5rpCSm9XRq2D0DMzTGacfNnD+OW+SEODmCc8K+bP5SBrOM3ZsThcJ4W+pLdmnPhT
PQiyZJB36u9lO3j5vZGlygKy4DKM1QZvASLwyKNBF7sYuYg0uvOnhgtxuBo+vkc3xmSaFL02vbTF
WI3f5kHD0rzSWgbe9trpivXFputo5K1oO2vG4cRH0nggHyJA/YGljBIH4v/J7V7FNkbZyxyNu1AT
9Tcp8/H5T/LP/7Ko/uoU+LPi7NF6oDvwRDmVoe78lSJW1eOQSssYLjCLnbXmm9S4mD0/kfyggecJ
ozczt3Z9ah6tzNlqdrN1YmPjCeoHOnZmJSWYvbbz5xTgwN9V5S4+hX/53tjnGEDs4I/+lZGbG31d
6KE5XKqquYiKs2K4T/q/2zz+L38IWRngWTiVdPHXD4BmkZGhtx8uiQkRmH9cTW4LUf5jQfVfSfJv
JUlvAR3+G0lSyqSAlfNPdhtmYL7od1XSE79h2DbBxTvkLlAf+aXf7Ta+8ZuzsCoXbKkP1HXxWfyh
S5r8EmkGimRdwe+3qIm/220sqkhcAfacqBRmGx3/zn8QuoKw/c+XEHBxagSw9ZD2EiiGX76IPy1P
EzdBvjFUfBxrciP4fksqa7Bvn6paIPVMo2FDJcK2V9Fnj+keKAfaWO85uIUVA+S+MXL4o14p3eM8
CzvcyL6ch1Wr6+MDXvTc3hmpmLSHzE+bl5qorhMACIjSYAolKKfeVD0n5dyrVzJkWll1uT4TO4KD
d/ZTV/ByG5r5wI6otVdFWvobpgmr2fQgaOLAGkp4Piqs8CZ6Gnv+dBIfXxGE1vMJgc+6RflSJVsV
TJ5jOmsDock8+2Ybr5Wfu3cDtpBV3nd0BZnaVih4kysOchQoUhaUPFZpOj2Msd5emsjMb0ueptiI
sdTI3Htj5KwKR4+Y9tLqJp2K9Ek01Cgi5bSPoF8fzapJTjx2d9hjG8gbZVJunYLUialiAsjtQAHq
enSIkdutMF+kj9k0sRr5aJigwvzYfotgPtw75eSvMfJZ185Mm0NfTvY6Nsxr7M5s9ApXbLQJW+dI
IevVEpq8WMVwc3TOtI6UAFGqUcQfIBCqnS0AYqFgZScjz2EeuGN96xse6nTSJtEdx077MsTLoowz
SHfWh01tluUlrJr8V9q7/raHoL1VDvsYhDB1M13/wwnxYxohJABXi+maUvwPOfAXn0zbqkGhDCrp
HPuhxH4LpOcxbZR1s0Z/PFmVGK6J0iHAZPGPFML+u1O6w5qXxglpalo7BNRXbJNt3uSV9tCXY/4o
myxH8ZLqYlpZzIaW8H7oZw+NTNuLNtLnknDHPuFjpDdGmeNlAtO0riCwbQyH71SDtrDW+zD6NnuC
eLH0agLbaVEyaRdpSiKgqoyTFdf6kZXTp+S/v486Wz6wvyZVTWLPvwlAVA/0tPdIYGGK/A6O7GJr
SJppxRslg/mwm7WuuOkmV7Rwu/ZsZrZ9mlhfV41lbzm6q7uSDohXdEBwgyzK4qOd0mgFeEiyTrZ6
e11n2bDj4B5ttbo7ufRuHPXYvet7VZMzdwtIN6VHH1s6cu4qZM+Sj2sQstZEaDokJoeb4FnjjYAD
/wbsUN+G4mT3S9dtXeDz79JrbDX3GtYrA7/I2pf2jbOH3BRe9aEqIXA7lc/TgsdlV/2Wi0ZuSRS3
E61XJpXDqE+EWk5y+tRofV+VBtTdudNf7M4n6jL54b4aeu1u8Hx/E3ZVtE51+5WHobo3q3zcaqji
NItEzmEiOvRsw3ABTiYUwiWrbQ37uZtqR8GRbUWQ/hUOSL3pRN7scDOYHHyPc5uc27yNVxTUriZS
YEXICEFclW4ftqhouflmGKpkmw3pGNgchW5018mHynOiA7BcaFlMZQcw5eNDPsp5V7QZyDpe2Ls5
G907u+lhKFjDoZlo010jQA4P2BKeibJoe62enAuidVxwg5XKHnTSNezZ/XVtMBdfp3Cw8jMp7kve
eD9YFjsb1539bymnwi1tFRmMnyS8TpaX3OPkfi/sCrWmJikzJ8a7W/UONRON3r6phr8y3Kdq3VTS
PEWSQiVIvVzSeiQpMbMl57tYXiceu6uYFjeWttSMBaKY3ubOhyIa8nzGzd6ek2mc3vxphPpBI1T9
WDdEgnRcWlQc5/cl0Tc4dz7n0mvkhKSSKmYitiU2hz3p9Gw757Q8VFkPdycpWtj+VeHf2lT8qkr0
28gkRT/EnkRU8AwCBhDFKLF0i7wMqebMu5HBuXMQ+6vE1bbGDHfLM9t8O8WADni4I2eO3XMsJ2XY
+4nV/ZEq7rjj3aLVH5kGKgWzZQq8cYwZyu+zxivJjJajt886BJDzaDfuw8gL+9FqQm6RbODSQ6nq
ne/KSJpjPOeTWtGM4PxoufqTwIDTjg6rhcKGB1WJWw0OkCEB9/ixNOmBqKeQojw/LaJ9WLeHCWrk
fSw7+Qi5yRKrhprwXUxD5xD48xC/Vp6tNr1p53sjieJ3j1O/vwKyBjw6mlr7HFmNgbpkV8hh80AH
RV8x6Q5W3/crjJw433m0/yoym6M5hOLhru2VuuIBoSFdwAVo2LAXFfkGB9/nCvZy96KD9HivGz15
5Z1MuJPQ/R2hjPw+7B3/lz7GHVg7GVps/bP+RcvkfMl1OqcZUH7mueV+OoXvsAvHodeBgukx8EMo
PDhlf8h52gaK88O0xim4rBdDPkWEuth77vrJOSNNyU8t1VNiBZ0J6NOtkuEhrG33mfeIv6nYe2w7
Vpwa4o+oQmoycDkdmmQcPzKmGpuHUUR6hzbE6ygYeki1xdo1SV3atkwrb16B4GUXS+KF4ipubRGY
fj6T6q6zTxsvCFYL8BdKUiZMa2p4YGGVEyaLuVkrOr/u55r+6gC7kDetTJiI+WYyff0Ou8/w6gzT
8DP04voNF3K/LbSUAVeL/IjGiHrSjtjG+ivcTFQcSzXah61P6n6CuAL5GqbSvhMAyPZCG6o3Pxqx
Ck1z2B0qA3vlOk3SGukEN85L7SW2vfJKq71R6k5gXButmiRVJQ/cczAaOlPHCjjZTPh85/7GEo3+
GvptaG+KRM+oEe41Z9dJO7mFfoUtEHgsJdQdPZ2kdYnbWDGCr2P0bJgyU5ynoa2PRty6tH7a+nrq
qdaWJheckNUcgIm3N7VOWAvIGUWWMfy4laGqB6NT7VqxCT9TjYjnXxBHWI8irQ5K2E2xymXRvGZN
ujh/o04Z+PtU+Z0C+arYtLA+aoBi9fwTEql1F+psnyzT/WFHsf8kMMu+l5Eqt5Rx93LNIz7MVxON
iRrOr4wnIotZ/ZAIXdz5sy3eeqeR5LEq0qNm5NBzPVmT9UMM7Inb0LCefaJEycrLrRFhrGH1WZSU
UcOZ4P9mc5d5exg5083LwroPRkxf771PwVxVONUb03n74Pjkw4J0NPXXbuYAuYn0oeNa0lW3IpRt
fPo1e6VNmLuRdiRdEX4nUlE84cZ21dbC1XTqVDcxV2oaSKRGsS6H4nhIo+yqz13yvS7EJZp6IAM5
LZOetiHKx3Jpan2K5Hydfuulp83PWUM6hOLvYcloK8+IxA4PF0XVTtPbP2glMWFwY5V5LuxJsJbL
B8RlQ7OMKTBUogNKiqKLas15M2DJOZipxHptO+16riy57XS9OxtsAN2uyX/GqdnByO1cAXQW6XnV
E75dZ27bPEW4En642Fy2fUnx+oqfJsXRVWN3d7E5Uo3JMYsUZugg6SRNlNpwNe30syL4VKwYPomp
aLHk0WINdyVroxcZjvIbAlm805fq9MYIu3PDTgcVliqeU9bkfhDpnBHzITp6M7jYbYHRb+8lPjV9
VMBk35UnQKKxN2YLECcOqc6qMt0NW9H5lGlGdRywf5z5G8qzaSfJRzgnLVyCtgWsWPfbyLeKQy0j
a21m80uFDbcLDNNo3iMWNFerrlmO6Ulz+Br9/jsl//2UDPnj303JxWfyXrz/ZUhevuaPIdn+TWAZ
xNuG28a2BFrKHxwS7zfiZpzAaMb4Gnb/5N0xfhOOLyhuEw4iC/yS/5mRxW+AtQBEcyb+x2j9n8zI
yCn/MiNT4Mnv5oModz3zr310HdNaMsejtmDOxjU8RvnupFi+oWrpNFvGxIrBqKoJY3eHuy7IIszZ
btzkd7Mb2mNg0LG1gRzVfwoMLPczufs3X0+hqEV+BpCMr8rXYxlyDRdz8ZY7uPOBpJj3JFNdECJM
aHc4azCOZ2nO8ofSXhcagvcoQPbcmrHr7/X+PS8b7hkGy+eWYPNrmSW9Fsy9xNaa6dX4jmsmH+mN
0jBDalYE4GP0UR7JFNBotKncOvsRcxfjAmxywFETTEdid1NCDLweeQJIv7tbgCUWz5ZwZivTmB51
QaUnGCktTOHwO1JrV/sLA5MSuPhspaL3NrywErgchaQEM9Oy8mPBBL6WWOUvnZr0oLOkOtEbPXyw
CSxe8f1CPuIwM51YS9UPU5VG7yQ/mIxTs1xhhIfkkFcBaG2dRJs3XGYwcle00BIQiUddNLbRQezk
mGQXz8rHB2qd5m01tetJlQchBiCANJ4FfdERarCn3WAm4gq+wDcpRs0/RiUx0oy5d3Udg61Fm7aP
1oR3NlFKbTDtW/twrgwJ2pKNntNGYp1Oc3fyxoE+6lkZ9bGfJUgoPYKCyKqgFmdPz80iaLRJPlt5
1T3S6MVJqjPA5ELzNr4nVHl8bzXWZ9XgwBEsfO08zKRRyU+49HlMdjCM4XyeI6N7kdlU1cGCgT4P
YVOfWET1v3zML0DHp1bL1kqygeztQm4qTB8pFbA+qzSD5c0d42yz9JF22Xv9FdeEmufsoiRH+DWh
v76l+Enlgr2qq1VWWxEt335h7JE+k1tcZdaLGeXJgz87/GnkaZpHg9Dstqtj+2SYKUNC3JXxnlGY
jOVEjtls+3o/TEZ/i+IcNDu0v1etiJqjpef+Twwbotm6Omv6lWENXrKBp+PfEH7oJgeFU2rf08hy
r7GdMDHR+qUVK1/N2YddlZaPaEEwP9LnfO0TI8JEhR+Vn2NG4l7FVzGm6k4ZU3wUmKD9jVEOOJjC
wsYtMkX5msuVphyr1hfObUnUu+bXjTKy7+re7soNYnh1SZFTE/rEcu7y72NhpDbIvYgOXD6ekUUC
PIU+0flXWRhR265Gv59SF8uEP+ryXKCCFYRXgNbMZIYxIoU9EMXbNPTWdIwp1tjXg3s1vJQjqy3m
wLIYzgDm+Y8jtu9+o8ZOvoYhq11DhpyeRIezLsgqs8StopxHII/kYqfEaIOWXm6C+Il+sRmvzy22
tZ0N9nClSgVRglJx+n8p5IWtzKXI/XILFV6oVYIZ8Gn8GlcRKvT0KhKQEv7arhjmH+1Z4fGXiBiF
QyN2re2Hrnm2OUI/aJm3oN+XCdliVO6jwr0rl+k5X+ZouUzUVZdPD6gUJukp5u1ymby9ScmHobGw
H/0+l8NZsny5EYT91lScrkA7JmxB4kuecn8sE77OqN+nR9ZM/E6WVu+6RQ3wkQXcRR9wEArSFBEL
PO+KQJvit1nUhEVXiHGMAvpHazAW1UEs+kOCEOEvigTIJZbti0qRzkbILpun9YSEUSxaRrioGtn0
2aj+1M58hmGrn9IvAcTwM32rq/hp/FJHkEk8MaGXIJxAKaBCJDFv+qKphIgrjH337pCm1xbZhfUQ
y8XpJBY9JtfLxz6x8lU+ijYYFuEGGmy/Nr/UHKxB3l7ExK1xm0j2aWrRfVCAahxIx8ZSp3YRhybq
zXbmIhgZasKEY5uCcZEW+2MTCTvhr1fNr6zg1J0/DvbWJTpuchmd3EWW0qPGxAyzSFXwuneaU2hL
XoeriRXVZfpSt1RJRsxbJK96mvwbiyrWZRhZ5EO2iGOu33yKMtaPWRIZpzn3642mWD4Bhx6pPuoL
CDSQzKfomyCUvCaTSqnfIsfNizAXudF0ga2Ocao3mqc5o+xYc/CamH7y4DRazS2BzIclXqGkIP1h
SMofexmGD84iDOLaJLNf6tPa4sfkM3uss0VIlGP4Hi/SormIjOYiNyaL8OguEiR0vTxoLfeoFnly
7Lh0KKp6cRbpkiIHzqbpSMGgy3dqZuJjYLS4eZjnKakZpy25TB9An5C/XBUWFwzmahFLh9ZGN20W
CZVnjHZO2wRdtY7z+gYySq7rRXa1FgHWWaRYf1Txh/2lz/qlUoHIuhsXobz4pS6v0EpZIy7SbrKI
vIahX+mxsteL3HnIFylYepa/1rpFHh6MN6dvOB8bWvaYLyKys8jJLYvsrfrSmHkcLnozJp8AV3Wx
nb70aAq9d8YiUWtIu0dHDRMEmmQ8uC2vyDGb3YMm6fv4R770v+fkvz0nU3v4b8/J5fCXQ/LXF/x+
SPb13wxHCIOD7p9PyL77G1YeFsomlYrC/EqH/7FFspYtkgERghXTckD+nxOyDbnPXc7cIDzxqi9f
9R9skUBt/vMJGRQ9hUGWy+nd19knfXWz/WmLNOVt2xcigcpc5+NJSxUA9czMbqPlZJ950c8H4Azo
N9go0HKyL1nnS+D50npCobQr8y8KEGN/f7WtNnzOZm7vU72IRXGLT/pQfqk5YcHzPwB5irRkhAjL
1BA+T047PHRA49joT7kEj5568rNfRKq+7rznGMgK4tmXitV+KVrFIm6h1RziRe7CgCY36ZcG5n7p
YcUijUHSkj8L1LIIhOwl9cf+pU1q+4bgh6rW9VX4q12ktkjr7zIMWSgVpF1f50WSswmEvoxRDTBz
UvEvKGrodjCxwcE1o7hW2JM58k+W4k6PxrtZNDRP++QMf4lc0x7KgubKlejz6NJrJmW1X5phhBrH
iq607DPJ8YyKVR4Y6FUDZrCZYra9dEO1AbsUvxqTBW/K8nJvp5a934pll3ycDBj/nBjQ92i+3SeD
jHagbryjwy5jp5djZa3nPHcf8zgCok1HkRSricgPBFmwtujL+NsJBtil/zkZOm57kscCb7jsWVD4
TRuYYVYfuzBLNzhTANmzPYJqU4/+aUkYfW0WiUn5lXexOa/z4u9Fd+tFXu8j8j57GNaKKST02sBP
CAoFNj1cj7Uc2qMhPHREOLQPpS8hYGlVIe8NjFE64Nc5vSetWkJhwY34XXYAn9zObj2WbyWWiHie
xoUpK3yOnW7YwpMe0o2EUnqPiRRhZEwQ7HCX4vgbRkzlxELbY5vmVrxy4zG6em31i56Iqdvr7Vwn
aw3k2y+Aw9JewWWUwyqx5/ajaDh27Mk+yuewG9MDQd16QwY1XYoc3P69MnyGiqFBGkKN2vqa1QhG
jtraGqXP4DVSO3g/typKn2sd/lv/AFI3gZljzCyIdsLok9swifiKWX0y5Cc/XcJvAW0aCZ8tATcc
Y2eioFMJTdAVeXiJFGbm3Cgxn9htj+VoIHg5GeZT5PFnAE9aU673aKsx2gwFFougNYy+2IeFsbC9
0OnYiLlB75viiICdbQED59zeFKcRSgesnQ0rUSDV2D4Oc6VXeVC3RrhN42xaaaIlXkwMeNVEVr6W
mXEyWx//lm6I1VjaNzwNeznoznmu7JB8V4OyrxfTnqUkn3sHwBujvT2F68JruALtotYvGrtQd61U
Z+FFDnFQpnN7NPMm3ySsfqno8IdzBwB+PZDO2NUOaw+8/XN9clXdHfEr5rfJKOxilZSus3PTgqSM
rx7mmBszK9NfcF6eYDusXOlln15T2ms46zQqJqn6pnWmvJBlFIEqUKqS0TEegeLz1PJw0zGXsD7R
XVZNWO9icGqRF7AMwBrXZVcslM++3cggos5gpZXWPm2jm4uLGLqekQYh2KogTfTeWTF/Ep6dXYy/
mbt82uXwjex5vNbZqR0E/au0Pbs4tc3UvLm0G6x5PGUbhgbngNM/p4XD54wZ2aq7czinbuoxxYOK
C+zFkrb9XeROuo4zzvQjlR9H0bXiGxpLd6oGV448pBTPFI4pKP6JE2ofOmxlRI4smu91OjpY/UTp
de55NmaY0fYluIh9p/mwfgzNHzeRisZtaM7ULxd6HlC+QZlbktWXvIPhKJp8kQDNd91lpsEO3W/H
ECA/GIB2g6cf0J/Fh/IAwBrJZGatiWFX8mmbVsqNyiHM/0ioouIzt3p2TMnYjkHMWHhO2KLdp8rD
FKYTkO6LbGYQMfWN7pG7TG3RbRvl5d+ZRrxr3Eao7hE//u8p+SbT6bA7Z2Nxb/TUQk8y0r+RXZG/
1GS3r8KI7EdRj8VDXVMCNbEj3UpCInf93HoHlpoKOiHKxgZCruShGyfdY2Jb5DBiZb1bikvasurh
zB6nuPOMSgHacYx7pRzamFr0DJUP02Nk5K5HisZIKHrwOZkzrJ2Vg21Ij5006FOV4Uz0eGTK6N7w
4a8n0D7JgnTCA/nlCXZMVrQ0vCKVhG08H3VZxdscyQh7kAyfYlyuMWF9R71x/IP+Pmt9cjb7TO0B
tdUQmIzxR952WTBb1fzN6i1E8zAVDfynpI1WolZPWN3N84wwe0Y4B7ElXT3leqvjm+N2xiMpLRP+
a1pBw63ZE0MYi1+qulIQ9lxwKqpENOPBVO95o4/vMVz9b1ZsA1SBiTGyrLVwSZr2DG21a49gqB/a
DjQX87lltO13vXaXw+3ECJPp3yfQvcWe1EiTvIA2WJCUbel2vIkyHTfzXMb4Ywsc8pvOIHYyWf0I
Y1Qf50+v7d1NmE2MwaTXBb0/NhNO0wzhKoqnbjfo+bdhJLOcZAMdZFgyD/wo5Rqkt3ywFiXJKcSx
i7RqXUPODv6rI/9/oY1QNLFA/b/dVqf3Qr3/s9fqH1/yxwnZ/s3xSJyRK1rq002DU+ofaCPd/I1C
V5PjLo4n+C7kRv84JeOI+pO3CtOVgRnTcjndESH9D07FiND/cir2kcA80iKO5Zmu+5fMZ02FrEyj
0T3lZuUZAcWzBtxhg81jHXRKq9qa+CNrw4F+AKsML2Ux8QpuHF1DOZhbrspHSURHy7E4ubgtNxrg
ADvceyFXNLppj4NV1HKm8icm3Cq2eYMfYLi0gN/J3k+m4HQAxhI/+rZVMnfPvV2rj+z/sncmy3Ej
WZd+lbbeowwOwOHwNutNzBFkcKYkcgMjmRLmecbT9wdWZjfFzF/5Z69ro7KylAIBBODwe+853wmG
W0BvioGsZai1E7pql2IZQthTBZvSmqd7w5vxZM8tmNJ1hSOFcc3i5Zv3TFGWGLdRpORbNSaDK1XD
Ej6klddVN/g2k/u68vVTk842VTsvXcFD1sflBelOIQ3lSX8ziGovOMTkztsRokO0R2tiAreZ8mwL
U9K7Tqrcfapo1W4MXQzPSKp541DT7opuQj2NBHnpilu4pgo7NDyMTAYcwDlLjzHeome3kdU3q7Fp
Fwty194K7b2l43TlmTXheH0CI5w//HPfuTY5TpF5IGtSbNvY1uuRviR/hySw2y4mk2VtThMR1gMo
0RWbcJ2t2DqzJDo+edaDkP0BEkp20zFA/YJxnjlcPQ17lHDTrW6s6cSLcelIA+I3GKIZ0SFM4+g3
7gd5Gyf4Lrd9YRnX2EsQiUkXnEQxCtq6bf4QzootOPGLN7xi1bpHKc1+2GutsyN766sBAAoaYWXZ
14UTdBtdsl3OFKqdPhIzEB3JCDLqnG4rrLwjfWxxC+Cr3dkDFKvUiUccE341PxtTVu68KDX2SKTn
o4PB/412tTqG+DbuZ3PyrzqjKi4LUheyvTMToD52s9sLbB690+K7X/3xv/T9nD48G3JRga8jkxEn
nMleExt1issmGPITvb0hJXOdjM1Y71DF0VjBC4sweYD4MG/hXwjz7T8r6n9vRUU7+ssV9Xvedm/J
9NNojk4B/+iP0Rw2eKUFLrelSWB9mMzpf0maESyzaEY9mnYsfr+vqLb+l3BQ42Ott0HykNT6cYUF
taURnAqkrYjU/1HfQdDA+Ciydjz01ahgJe0HAEzWOxnoQ9vBdu2w9gi8PfWCHQ+dQqFuBzI9uMfz
dh9V1Hu9+RobA3OVCo8XaiFPQzTt2wPCxH5vV6La01sGh/nhMv6FNF1anzoifDVOjjeRabnQ583P
M8OxkZNMLM89Koj3xbVmI37tzRAm6TT6MlmJDpq2cAxnG9UkuwVMM4yyx4VEweT/5uW5uG2IXKjq
bTmpTH2dSyO4Qik1tCzYjXjKCKskdDHtS7L5wF8SmSMBHV0zFPAaA+Naa3gHGLPzxjGTHLmrIG8U
OUkBSqB+DMlVZetkgDNba5lWCOOadNqwE6MZzVhLn+Dxi2X8F2/HWj+wuofwk/Xg2TfEonSPuiBC
CVN31q9YwVNGoUNcvWYAW4C4EnxF4YZHhVReOrM0f+kE70i/DtMTbs6UFEUS1qBOoQ++BaoJTTIY
EAEQWuoHxr6O5vpUBbHYd53dvEVmWF9rMoU3btxc4IA4lTgdH1QeEQqoYcuqpmuxVREHNhq9sYnU
zIqbMkO6qohaJs4r3BlA/KhhOlHcGY5+Mu24WRkRvtbNnKThN3hFpVqZnRzOBjOnW1QkSBhVODXb
IerHy0DN9+Rwptf11EXYuXWOr2dwRbDzEsPBLYnFTJdhsxol9lvezGQr3pleUt71uBIJovGyG9nP
CtsrErDkTFnT2I9xgBBjhBp3Pc/VlkLX2lU6HR4mhkZQntAwjG4p9zgn8l2pWuK/Re1264YWxoIn
EofR9ksSNbWxsmcTXycEhSN9iGEtqsC95apXF1jB610McvAUAC87aeF6p1CYKcnQuZl+AwPWPBSK
wrcaBJjTpDNotzTRjITYGi/t3lS/BSp0d+hmqi2zVwzMFglRJITWWysqWjgDYe/s5grEz6pMyvAl
4bYHRVWP65Y7bTWz6t+ZCo8CHon+Qg5Nt0XMpBlNhekWF2mO1Qrb9Zy3Nvy0jCRuc7ZWQR2F3NKw
q/3dQIkyrWd0Zd8kH7LG8sy71NPdVpKj/GIFcYjjb5q+WwDTzxUyxo03jvUBRSXD+JYOxhNvYrCK
PsOUo9W7cb0pBnsK13OLSnLPG5hJq5JN462sKlMWs1VibFYm4JpNGqTBjKjZNx7k2DAuc4y0JUqu
Fhea1C4JEN1Mjz12pmaViTS8DKiRCXOGHGA72KHXTr/0wno8/pMlCff1fOcNKc+AiSwd6od5KPPL
JfOMyzdXyVmiLIAtpXEre9HydIVeheSG/Ua/p+a2sWm3RGcoooHkXiWFe0wQ8ehwmF9VPxNCNjTO
UcPvX9EQo8dYCmzfrITDEwxjr16VngsqIQvmXGySqE7Q4uC4nZCw1uo5J+m420h0ofijcED2V0yr
nSOYI0CzcAAUGp6+DbPLqaC5s9JT3x+LwC2Ig2IRwRpN6wu1euESjhUF1jWD6OHWreE84w4Le7ak
eZNewxcsGbp7IdBcANEGdblAt1zS87hyWQ4ushAvFhLmNPvCRqgCpWu3hN4CHD/DQasuDTjdzUYt
k9tomeEqtlDpRnSRszGXGa/LPYo7dZn89rOsz4MVhjeRNSSP5TIh9pZZcUD41iYrB6r291GybJLk
LQ4ACtHLW4bNNOfcmyaaUuMbdgXG0eMymbbeh9TqfWAdkEVb75xljl3PBJ9OmRiesH+jXljm3eQj
gDZkBD4broF5bpmLm+8j8naZloeaFBQ19PU9wdwM033hhrdCWtbXos+iOzWNmTg0dRPcYAAqMUqQ
zJWuLdhUzwVsrWzloAWVpNsAXfaXeX5Y6QoqtBj7c4uSAnGJGGSIes5j9JNQiUMpXdQBskfHywyb
6CrWd4btBsmDlcJn7BqaQwTanC/R2dq7eLJJvUqscVsNqBJYG8ZjvCgV0JIK/uCmY53nIU+Y0a0m
k5SxVbdEa+BVRu4QL8oH8S6CUJO1CCIatBEMIamne/oeFy1Ev/efDSpbeJFRTdD2sznJXqhtE7pv
sc04b/CcErTbaH9hyl0eY4qFG22HgqNmbxbjfm5EmdjXo1FeksjHkiPTy2DyfJQcIEiJlFu50gCQ
LzJj45nQW8rSia8mCZzGoXDgH8yjdQ0cDxHCsAhKsKGYa2As1oa4UabKNX9Enmk8x4sgpbbs8cKR
lZOuCTZEsCJ1/9YvIhYYPWpTo5vdL/uS13QRu3CXSnuNgg8NjPOuh5kWaUwDayFErmLXF7a3yGuk
HaKjEc2sHFLPDRwejN21vZtqckE2SH3NL27ctvm2WoQ62EXQ7Ezv+p0AEKYP/GHR9bTvGh8vVAO1
tLcM4N9VQFgx6ycQP8kXtnD8XHjHnbi/NqB23U2me5+MvtzH79oim0SgmRSC0D437+ojBoDWtZ8Q
mswWq3ieFplSuwiWUPDwe8EbQMdEbGr+bCNf5zOROVmL4IlGO9N0tcigvKoRlw3LGU/RIpMK3hVT
7LtQT6UedtWVUlbywoDrqTEECR6TsFG8xLo8xWg+FE12z6DVjvooXEOrJwzAKKrsDi5Ne1UsHh1n
ceuM78adRYMKyX7x83RNcxfogZc1LsIziJMQmRWP2GXERE1uGMEyeB2cCNG8zBz0EUt4ib94iFAm
VK+erjAW1bOhTwxfAVUwBQPggytC0wVcDEn14k3y3m1KenEste/mpTJKsX2Mxqwo8OO4v6zEjK5z
eLc91e8WKLYn9Vfr3RjV24tJCr0mLoR365TJPeBv9eKo6uOaNwESx7w6AIVxxs04+CEOYUTk2A5S
27sfF4dW8W7WchbfllcnLLShXtz7hZvG5zqcknHN0p4hZvHGLzW45DvENuq5grS/L1zUL6sEIMub
I/xF8KqqfF81NQMyI8jIFA3FzCujUmG3j7JS3EBaDbMT/EaNMUZB8MlNJyJmLjCPpRen5jonaWLV
2B0ZICPKILu9cL3JYhD0n7Luv1XWacujf/VfN8ouiw7y6mfJ5b//1R91nfcvGlwWOiX73/Nf1Ji/
98q0A0cNRymORFfYFuPQ/1fZ2f+ikrEgkHnMm7W1uAV/751ZfKCmcmQGjYaerdE/6p3Znyo7IXjA
mSYz8aZSVIwfqfw+VHbRVA8dcRr1UXLjeps4NsSdGVYzKQhRuSuq2IPVUMKBbAzlPwCFhvyQ5f7J
qCMMgbz/GTUDQi1MN9+TidEv7xSS1D326w9embF7CEt8V4XZ6rVA7XEtcqjBcY1wk9jM9ItjMY8o
Fzop97rPzMrB60/aUE9IFtMvEZj1AM3UmA+sQ+59l3fj33h7PzUPuQILaB0StYWVHAjd8t8/XIGY
zRqFKlRRtprjDYNdvWfPotdW2y7nxff+cIv8Vcn6cy39fjzalaQD0SQlXRuj6sfjWQbz3CBJyuNg
wJIdg/R1GVUtlOffG9xv4/8KvtOMSqegyD8Cxj/JaZcjKdtiXgs6jtaC/enMZnr9M2/3FE0AtZ/F
8s1OEroI1LXoHnaFs5/C2L/7x6encOLSL+Bm8rCN/3x6sWmhY2P3eexc1sOVsciGGrQMkpxUCb7s
nx9N0uHAwOthAF9cvx8vZqC9IcqzGFCROcjknNfZvMOqzXi3S/XDr48lljbyB6v5cj1BanAQZePi
RSDy88FGmC8hfL3oWIVjylw0pJbfVFVWbLxaMLMHrnfdUc5fDuBZD9hn23JLfFrzj88ZFzH0ZRyz
C/ZNffpZMRGricjP+Fh1xN1ueNE3BIH5/oN28Yf9zcH+fA9JUyy7YY94QNIiP7XWawplu63dGMfN
PN8WXt1sWoMnGN9IEgKBiZhxqpz0pL857nKb/HytpalcISiUXVpi5qd1KQli8m5dIlPzoerZlPNr
DnY3DKs8Aq/06x/207EcUhAYgS99NH5eYS7ynY83kRMZg+hDHR0j6nkkc5MCmGHW00VARtPjr4+1
fNaH83o/lgRGCNxdmY4Un368OGupUdi7HedpHsSmYLdwSiO7/1389V8++5/bYss5IStDj8Qiw+1q
/XxOnZs2tVuMEZwqUiDZzVBPrJwpZ2TZ2/I+jKIMDS1yXHgiNJCI88qC8Pzrc/107yznitCChQ5z
PTETn+8dirMkqmTLd+gb5h2CVLZVMBvB2ben7FQEHuWsa09/s56/X8JPl9hiCQK1geUf9+Cnn7MP
XHZ3voIiggv1aw2O5uTaznRVMmbY13ZJ1llrFCMevmkM1Nofuqk/Dm4+/oYOqSLvAsnQieQ9ZKrL
SMjHz3by59i4/fXV+avvKflhGHmwOwAw8OnRSqTtD7MyjAOscvd1mjqnXvdVSpmFYX9wmXdQgq2m
2FD4zoshOcMbgkNiEy907JLCucBe5R9R5ttX2nAbtQNhWMS4obTq97/+rn++az2Tq8nIDo6C+6cB
m6mJz8H+F8FvM8lySjCBJdQuTbv99XH+/CTCYOAnowoB7gBp/ue7NjIsLorRRMdiAJGvo4XCnSeF
vGAEI+9/fazPyzm3p2cCeLDeQdrYoT9d/8lrZOOMMcs5UV+bwPP7DZN88rJ5VBBWLEz6Ed6j6Eb1
ZGR5sKekaf/mwgpTLk/iz7erZzO9JNqFTQFf59M5p3VpWDwZ/kF1Qz0dVWqxmLZ6tMtj0JXzLVM8
81Uu6QIRSClGXGUYk2EdYctdERYkL0jN8k+666Yb9Azw9ZsqLknHhd0KGTDJ5nMaNij1wPLczant
/+gRTn/xpnQ+I9QjdUpXtbvILhL0PZ686GuTBRephHVHRJd774aleWgRe1+GGOTIHC0jAwTjMN9O
gW93q5SG03WGg/ol9QkznckgPzNzpUjWY+7/yDxDlqc8qxCf5Ej5Dhg3nIZWaQjq2lb1skcocOKu
8spyXkK8r295l9mPA0q+ajX6fQbaD9vyj7RvnWGTAdUMwQXF4Rm/QkZCHUuLqPvotQtZvIsmkD/o
LHsWsn22jZRjJtTXIdJBB1DNdfaDY7IZyhUR8Z6CPJTHlXryqqH27tAHcb/x9AfJLik0h0dkb8Af
aFg7MS2qpxlV+WZMdHBWy79tKHSx6khYc1U0NGi0mO496MKezrxn0i9VNQ3X75fXd4kzsfLQvC3t
KgQ6Pqs0PALOdu2Then8nOBThPFHpAud5vfVCvf7Rd3OrFCeGI3nvEi4IwtzBOSdpmI+dFHJtZsg
igGfN83wAbSd87WrTQiuVmDmN4tNdRHk8DlDGIVnzLAEyVUqeq1NDRTXr+spgMpDENCKQb68xwFi
P3p5X1srw+LaZmR9vKZBZu0EAq0X2kxk4PHQkJXgR9l8KwcaXes2IQPW7KvxOpoYSm6UI6Ln1G1Z
mlBZQzwwcc7by32YLRARr0OwtZ5Cr4028yjYwIismHek8HEvqaydz8EwQVr2Kb0mMgh64kWkweBo
MZVvunAJ9Ig5AbrA8QAhveEG2+IQKF/CITCZtXjcvSSqjTe1jxz10EH6vEJgbjy4iOUWs5AznQMj
jU+Jl271TKOOWf94Tb5ftcNjLyCKgJutSJFeT0ZRQ1QPo6Pp1fkFw5MlqzSNNq7VmGdh5/Opq0z3
gI7YfwhatS2cxe/j5sl54mhrzJzqOpvVPolm5vsEUGLVjO0nDwvTCjAoStAJgWVCmJxpjDNNR8ta
Cwb4Oz0inMcPDM2Mq2p90VF/HQX5dIqF3oUhSka0qAUgTJtpi4EzhXA+vQJuHJ/SxKvX0OZSPMkL
vnlJi22l81QzczrjKbquR3ABTMTHTT95zpoXDqGGVfTo+i7G7aa0LlKMYWaXyHXZ5sM+0YRJknK8
yDtNl/k30YeRDu+acHrFVvtSdkazjclI3Uwugj+LntPRML1v1aLaZ8Jfputp9HirdaX1nNnOaYbi
A48mugrdCBeB4z70vX9R5Cr41qKK2IbONJ7CNGMBdpY9UmZNV25k22fMIdWtiNLmZPQALefZvUxU
NXnEemcALTQY0coKmu+IOsvDJAoQCLnf+/AnAjs+icIpxMo3AnXZyZQvVKQAzun3WvOjnB17Nw4p
1My2h1CMPLO6ZqPkhJvBXQZnihQEkjCCR1qWw/1USPYPRQNRekW+3nRO1GwvRma1cxKo3HGG63VM
XSiNlc44KLvocx2Yd54chjs1TNPWnrtuu7x/ECIWJQDiqKyym6alKah40tIjI0u2AlYC1KGe2Isk
HsOqJHebtWuqiKUoH9Ae+rwRVKDVoYwpfVAhJJuMbd5Ozya9LnIUy3VdWtl1Y7ZfVDpDBWbQduVU
M0CTAE9hvGmJy4h3zDSRQJZNssvjRN6Y2M53ruqCr20cDBd2N27ayB9O8dCZ2KzAxT7bpI34K5lj
+Ac0VBvHXNfhCf0dxiprwLk/9xk3ZszegRIhNW7TqVbbbKrh2SEFNDN0siQsez9aZ0TF6ubCerAy
qb6Ow6znvSkjA4vQgJy46NiPwXE/lPOsr0ajcoHQMKmyi6JcG22lDlTQmkwjYbWrUnT199LyvG05
xBNhP/ZZZY551n4NR8XR4pI+cs4WJleYm1J9m/oV6T6+7dsU/3Ho0KaoxYNBlONatKk+8aNiEpMo
0XkJo4eG4u28jbPZ3CqMhMexygmmLmDeeS63AEpXbGJ+IPcDgKCdiwQOW3rkPCaYIm+IcLBxXYn4
6MeVteS1RBsb83rV+2LfS8mNrfOzS/tg7WfaugmqlFiuStmXOsDnV5cg6n1ZiU3mDcU+NUkGTufG
e+kWoz0LTbXuG4Z8a68taji34Cb3YZ9bWCgHRkNk02JyN0f7qjO94tqcgWHiOCjcVUm8BTHgiVE4
uD/7dJ8muXqS5Kk+cGrBBTpKr4As6KTHydDT95Zy/BJVf4e+yYBbSU4LI3Xm2bzTSdmul86kvKJi
X1JDUcr4vShOqZgIvejb8jzEWXpTurK99ppxPNhVExKDpL1DNs71cfDgMCM08C4KeCXnuEOy4wR9
9rokRMILLnX11UHhv3PdOPmhZQYoq1SMZHFX0UsCkv5FNeVzxkdv66pgfKDlDKmzIT34xWQkgTnQ
aMgGKDv2sp4g67UiV3fjkBN9AWqWGNqCabzsom2SWW+DoSFHwxBEVa9tgqSDYDozvitelcj7E5Hb
TDs070AasPN+kuioGby1N8Lsm9e4TlizSbjIQDDrOgnade+ASpWPrdnlqnnDc+LB1XXyMfwRGhgL
26hJQx7sNqdMao0flRvm51GW1lU0yO4RAlD/6tSR9xR0Gl7E4mCF9QBbmca3xJOhCAzLs/xguM50
Yt4KnStzewLB0LuaSQbB2+vx3cbVMrkcErFmF4XgwZrUpk0ruhpW5WNbSEebb9WOByePzbMzRCnC
8oF3BqMs8l3TriOvncUpJCUkrsaD8BfrQI3ndtM6VsFyNkHE9OzYAgRPHtZR6pHXiKA7xH1JV56o
+9l4iAj32OkEQmDJS2Fvm2V7KueoeyupjZbpSAo1P+Mq1F707FvLrUxHyTyHqrQg8jP9Prim7X+Z
pGW/GFZpEE/SDZe+hwtO5nNMlAMfOzqjfiS+vifBV9bPfulEbCdNvWYC/8jGmABP38VRm1R3rk2Q
7cLCmFle/dTnpsq+mDI3VyaYaNWT8BKrfF4jR9wh0YIkmaO/RZyerUY2JxulyN8VeY1umhobWSxR
znqMXpPUCvO1QZ2MmbYteFUuNFrD2nXu8B1Ujt5TyzvriqHBjnR0tU4y92Q1GWEUxPeuMrmkOoOg
R/pskNzL7WzGo7iYZAY8VOBK4YPDovP21lQlqyyb0j0G7/G+ciGgW50XnAk6/mGUjBmqmTADt++t
U0Rjd9vQzTpF9ZQetEl7wBp7HBpl3e1LUtZekxaROjU+bx02Qifsug62+KjaZUOLB6Id48tEjPsE
2vPKZsO1pqh2kfGN1wOyJDhCo3uQNRBgM+s9ShNC10CM84Io/JtRNCaTtBhVXNt8b2uj2JZGMe+F
Gy3+c/1cT0a2q6fSvWhLegczgw+s09DujJfIdXYF2XXsU/QVDl0Cd6unIZuvO2KfkCc/Er13Zsml
YYSo+sKt5x9xFXwRWt8pK9+X7KahkBE1YUaoCAGurFRLDog0m/VcLyo/Q8jHYsmXMAvrddSCjRVx
lhsvtMhZrduNtsxd3JUoENSAvt59y3pQ11ZGVxtrIxVBMHTd19me30Ywpm7cITohvGhYT3oKvpqI
9MCm1l5yQr8D1GCacEpE9l7M276KvhETB/qmDS9l9Wh6fYcwqNLbsInulR2EBzXohNCuvvtmWLW3
HeG0HnpqmMuuqyGBwOPnMZ/Mk7Qj9c1tiD6KssqFER8S/hVVLu3RIV7KCcJjx32BoWALp+M9WYjA
ZkBORr0Ls/GOIDT9Gw4XOD1GmdLQId+58cy91VuDfcH0m0wJnJf9eJNa9fJ5VpWQLk/TeaBxgVbs
GGAN0IzfE8a/dDUdCMYmHMQdNGbsPwn7oYOyO0WKOPaIaNMYRQzQStM0dZuBkpMUlXXdWf6TFyT+
j8Z3eQA5KiMGiQaiZitCIUWiZ0FZFHDbd5uC5YU+0zLTmIrOfyIe2Nj6RkWNUVgSX/FM6hvvuC9e
5U9nA1I/YYqQXtupcs2r2JAkXrdL3FDWKZaloYntNWEjVCfEnvTf45loydidwKKIZN6JoCYBLiHp
KcgMmtyBo8SdaGS7dcHLlPS7EMaRKeDKcxv2S8mrWwKoQ1k2QBp7tg6p4Zr7UhBmxt6ej4YbbmCJ
p0BnPIvETglFfQWf4tlNM2sT1Wz/Vk5Y3sgaTgUuoiOoqhiJTVEfraThRdrY/skOJU0B1MFn4PH0
CJZJzfvx+tIxthPKkaPvkm9InYAhjTCsb+9/hQgKDNUuZf971KSScj7ApSlfmgzQ5HqsLboEnj1c
DzPbHoNik1nPnLv3OuFiIhiWBKi01e69UUzGCWOUsfA2XULfOM2iEnpqFOq9ofmKWUgSlTu3+d7N
ZPO1iFpOIIr5RNaRGVVeN97IKBXfss7kV88TskH9YayPtczHm2RkvztDND7MSUc0aDlNLZEjnJcD
J/OhlJR9VR+WZFtNcbVnq0Zt33Wpqjd94g8JbG+6IjQvWQxgHTNfRwteOL2sjolvZhn3vzkbl7oI
yheaf9HeTGI6it58oeu6weeVaoLzeHfgms+Dudi1YNCcy7RqzSuJIOSiiGcmZLOkeeXPyen9vjMI
l9v1Mb+APWNYhxk534Ztg9mnhwLO9wvxOhoMj2mKUGbdpt1yTdKOKZvg//JbjVeFIrTMpUm5XqIb
zlYu8j2+5hZzNMl1Ch7eNUY5b1MQaL1zHe6A1jH5bN0vH5jG7n1gaQPoZe8R6oC+p1WltxlzZX4j
BW4mWcepjypf/mvRcrWEO3LDCltN554P2iLw0hJeumF+CwnBgOnbEs8TNdz3ocH2mtAwkEfvjSeI
3P6PWTg0lWKCS+2ZDwWiWLzQSsyBBuVW/9ha6LC1GPxTH/rFix8SCDuhdSuhVfMIO3bHbHJo/ZNf
iuIlUQ2isGo0bDgwfWqiGkh9cUdxwBnmSEQXcneQsANGu7DXeWRdUrfUX4km5i9k0MFPXcFl6hsi
PIekheSxPLBWk4S/ZXNWvsAR49Bj1/Qn2OH+saXlCuXRM5qXGVBWYNKRayv+na4hubP4vnay6Qn+
JG+ibMu33PQ0lkoCdpu+9k9my6/Ttj4P+8gT6HeTpmOR631b9+02KNzpbNMCP5cZiYb1gJZ1Pbuz
uEgh21zntuufZGrzzVsqH7nJWQ73pi1pfjAW9TZyuQsGLA+XspS0FHBrkPfhIe5bDbrjLlGz+RqY
MQmWrmeAKgxLvVdFLf1NQXWKApD1UTtcKegAxgP58P4PRT49CLp2uQdrkxgARV7bCZEZwZYejvyD
oZbkWU9R9nlu2H/3XOpkYPVi/NaAjH8ee2+JsmNDXtNKLYNtyLaCNyPcskvR9PlVOLTdQ2QO3m9l
7/g/omJEPSzBERJOxJvJiYZqN0k14ePF8njsdeU/xe4SetkAsyDwvKDBvUnL6I+E0/845v/OMb+k
Mn/onm9e2pf/gWSdmPSrl+z7//6f55co//6TeP3f/+J3kYMLK5nwc8e1rYWzLDXzg99FDkoAluL9
gRCd3FVvQU794QeC2Cw9Gv0EYPPKsEykFr9rHBzkD3LxFzFG1gwEkD/8A3/Q56EC0wQKZj6HWRTq
dffTPGjSoLCI7UFB4KPk2srpjGvtw9W4+Xe3/uOk/c+HQOQhoW0yzEFs/66f/6AhYIS0bA71fOh9
Gzaet4L1TjAil/T/ikv+P46yfIsPR8GGO44y5Cgqf26M52L83sp/Jk5gKPnziXwaT6qocCjdOUQ3
3yrzllj1an799VksH/Fx3uERILAg1BGxkGFqfR5fu8hLocF79WFwPOj/BkVNVBa3WVbtiezL/mbA
8qdf5v1oWjC7wlfhfp7tqlGOLQLE+jAVUKRNxgOrKFPjNg3KdPPrE/urQ6GyAGwjiUembv/55zEb
l+CTUXBioRc8jLED7zXuxdlsMY3/+lCfJ6vLNRR0g9meaM0RP/1MpF6YE0D++pDXeXeZpO2SnhET
sjfO46oKxmyPaXT6p/cGB7WELWyUTPgwPh8UHjk2NhhNhwmW8IosCMApNc0L3+CPX5/f5+n1cn4W
CDhcVKhkHPfTpUxso5zL0qgPgEoJG0p9MhOMyouPiYVkH5ZLdVNOYiS7Zg7PXTqOf3P8z/PO9+OD
wmOK7C1L0+clI3DK0EyC5uBlxrh1c07QrYbHX5/kchKfHwTb4sZc5BxMIq2f75dRFC2oSqs+tG0l
9moIyfYIlO1fpZY5H+YJK37fYfQuasT6vz70X90/NgwTFGasWWJZ/D+uJFo6owgsuz4gtJ1ovUhs
x7EB8FQZ5kLFDtjHTyE4yF8fVuBL+tNJI2d3OFmLl4IQn/VmTWqAmeur+iCNvH4rUH4MW/YC1paS
dj5IH84exkA2TmnH7rwxu93Y2PwENDv209gP+6is6y9WONsCFm0Tb+pW3UJp7uWGMnS41LUb0Rio
zY3djj38b9+/R/5K4aWyLn6Yli66ilV80bg9k7WCPqFXQijzGgh7oj90UM5xJYSAsZGmbBJDhWfy
ECcYbV2xcqO6oJfQUQmYqbowMRoxGobMsArlFJ7NynDZuqWYKExmIqEhAVoFWceNOoJxxu3SXXaQ
dR8haKabsAwJnlHVm0vQLTKDjKQbo+o3jZqx/1nNpZNY7eOYT87tgBF1b9Cu3hZkelLhYN9PO+Hs
CH1D+jqW4uzR3NuSejWSbzr2d7Zq+RD2gpdqjqdtMXvWxKijEWcfuOKhoC+4DoouvPXjfnjTLfiw
frZJQ3L9kdugxxRkRPP3IXf9b2GJiGtDdNv8iC5B2tC8xPe6Ho10zQS9/WFUDhEBY5y2XwjfJGVx
dFvntsfTQr4RFxgB17mgQ9euGMkCFJykiyPAbwEb0+LEBgBq0cfpDeWEQB+6ta1CfBwbV3HgfG8b
BMnD1Ha/xfP46MzWdw055mm0wB04nRF9axMIIObEzGdVhzxI+eB8X4phvQqHaj7EFStGzFx/pGMA
p70z+bxs5HvEo0pOmZbNl2i59cn+UReZ14Vsxgd/a8saXxRiZBAJZEgFud1vdF3WOwwV5h4ny0w/
2HWDtSZuaeuB1qUGT73gJJnXHfBucQBrdtdVFbd7YheSQyzj/j4p5u6+xe5Pm0kTtJjA+7pNA6Td
ZPEkJxQtoLaMotv2iEauPc3lJFNT+JuMMc7GYtt01Q5kRB5jJrQEqmMlhaMcEQrQ1RRCOGEC5vKR
eR/nXTKuALnJaysV8T4MAnMvnNp/9eHUALOxDP/KGjTjpSRkmr3YHKB80+O/nkKyuqZgctfQf5zT
VNbVZWUsfY1s7o+uLt0b37CNPap8+0aJLLgcHElCUUVphG0C7bnsTQav9B6PVd3iVehGeA14pf3X
FvEBFq6haFe20Rn7gknwDydOvB90ttt1A9HsoobA9BpqU2yDrnKgKML33hpNqxkF6eV6+PAxNmIe
f0sZ08brph/TbRggUxCNmA4ZqNJLmL3OA22DeetPHtAB25Bi76m83ks8Qd88y+9x4cjw1swq89AD
bnA3TjdS0auoZ0bDgONNJMBpKoLPrsCADy81gbDnvAv0NT4d+4H6n3EyXiZjO1ZCXgxWMN3YPT0h
/CreDfTf/GUK5XBbT9N4M8ZhezWSCHkpRippcDHyIilpwIhK9mtQB+59iYNk06ILA1VIk379f9g7
j+a4mSyL/iJMwJttWRS9p8gNgnLwiYRH4tfPAbtnRipWkPH1ehbdEd0hCQUgkea9e891dJML1PCA
yAc34Sk3s+6JFVjD3FsJ13U2SH8q7H6j/ttO3a5cJUWVAJsfsp/O7LYhROt2S+xqu2dooFuAu7qT
Srb7rhrBMrYybQnFSPBB6HZ9XowudpWkqpOHmcNevCLhj3/TiRJ3kwWY2FETzGf82vjBJCn8TOWq
PqdtqNaFE6X1OnMFaU9OmQUHn8PCDruAixggDg4Oacm7jjICVIjFdpjkKcAbl7StNQ0CKlyB3m2h
+DWHfxWUktpXO9T32taL+gj/G7lda7jkPIepYoNjUiC5EWwCvgO/6JjGhvy2ANlBbB5Bwx2zwCvU
85lwP88LAbkNv3C9zzsTwdn5e7lkrNLCX8GWp66VV8Z33GloDQqO7b/bAHGMasHtoRek1rVUV0zh
OpCaKIsgGCupQzveUgBDzAzwvNsOfs5JlDH8Dj/1N7YRL03Z5ZK0/SmqUoAd1r0yObZbxVJTz7v2
mUzpdsOxlz9qN5a2TbGRXb5X8sw2Nu9oCHHqtZPqaUjLct8FvdhTjIu26WzorNUL8aWmg6FPyzm/
6t8wA3cH33P9HAcUwXF+lOvL8p4zeTbDVUC/iUJVArGlMYL00s2xLxkacWMrGuVTWNHWM4l9NawD
vhuII1SdyzPYUpQBPIL2+qU9NoedkPxgfXLnkGA6997AqvftXaSR2ktR9l3J7UhfsJ9xqVvMsuey
4D2is2n225XRUMvC+KA9kE2AmlObePW+BQOh8qiA9oWV/HwvBuVLoapsXOc8gtlEfYJ8NmyHeHmI
2Pb3HESbgyW1/GkM8DgKUVOCrF1t64D0pP1JUTF+Lx0vi10b0PzUMsqoo0uh1zKomlQBndiEcvKN
RerEm1HWxHFIBjhmmvxsZkSv0W+CyrF18StjDT8g+Wgf2tydnxhI8Y2baPF1l/UBcRR0cF0b3Xja
SLH3G8v91nEW7VY9MZxk7gi24u9FHzPSppuuy+fbWdOHX4OItMdyAfbPXZcZG19z//2e8m6Kfiud
HzvZ1rjTbWlcUQrVHmJoKjeYwGgqFiawAWdKX0Tf+rdBNZD0gbP22eqV/Tw0mv2cOVJdsVK5u6RO
tI0i4XNDWZH2AUkyl3OsNXeg08XWbOBBQCSert6feucgyqla3782F/imEBULX5udE2RqkIQCHEH0
2PQqBuJuggh57tE+3YqAQNJSddZWgoelUqwTYIPNUZ31lNCuI9+ID6h96Li+j+XZNxD4abbPvsK3
z2dwiFdeK6ItHcwYdiKevhUln/xar7PyQCaD+y2IsGZ2EapaIJkshsQX8fpnvAp5W82XBg41PJaB
RTCjopznzMZSkUTtlKvpiklBHUyCoK+9Zp5J3XNALyJ2UU9kyDjkC82AymYgONTbc+D8wMQgBnvZ
NVBM/E0WdW+7L2kfjDNuaG+kpdDI6br2WpZu0PtQw+qKquQ0l16+gd4Rgc43yBlgbRoOQYNCYRXZ
Lb3vjqTItfBE9dAjQt31TDjsgegFn2P2765rOgZ0PNwBQwS1WzVCYa+Rj+1Q+pMTSbip9tDqOsU1
vIfsmG1YfMVAA0CPWz7NziGxcH6XZftDTbNPDhQgDVE86XRZtqWkKG0FqfH9XQdll2hb7HHUvwM3
pXY6pZW10uxFLohgZJsiDKfBjdSvyT3vzB1ttfU71YA2I2cSm9iARq4MXHxQ3YCIbyWIxLjVXTqh
ONUKysYR/+PBJrm3I9UiGS76ToPBxR+9ySy8axCX6yhsgf3uU92aD5jQCOEmI265o2svmcw1dc/k
yphTs133aXlvTnmzRbYitrNMtD1n+47gCEeZr0oon+BdUd9DVEInm6faOc3ymx5f/wpCZ4LPTfvl
19BNDFt8s3q64AXBFxfcRr4p9IqZ04nbZuf7zbitqMDuo4iWMUkU3Tm6vwZlaK17W3aICT1qAoq7
RN2YlCHXeeuWPzyh/aDcfz0BRNmZ01gu+7b6gEeQZKI5fRirZF43vhaHzFZ7HsSwRosuNjESHlrg
/jdNYHiBjVLRmG/raOOPC8LRoteo+x3yGkdCAfck94sf1WZXZRIvCnOL3gdBeyKJ1zlo4K2bFoi6
K2vooaNkyWvcD06YA5Ihu6cngJIo6epeYomZ8aaihVyVZnKeZK68ESKX37Q4FytW9RKHoKQPP3iI
Qw0UcpvCl/mhH9RMOHCQ70ET96GWgBzYEEpo39h+M99ksdvcSzBkW8Q/Hq3/qSk37uy628lronXU
kAlcANDeDXVONU4v0jP4A4reWkeoWDOX5+QjWrR0CidoNmMVWyPd4X7K8/NWfGd7b7xMHMcvjaDv
9HVjEqY+1Bl0HLPqx5toVtWhUzSYMi1pd52PGsosSwIVcsy3eBUb3uIGD+Z3O7HrcT1AGry2jS67
FU5X7XrcUC9uw/5qNRmJeaX8oHsBW+CdkUkpniPl6dGqhov5pC8rpGuUkm6Xn4STEP15kvr2ZVK2
3TMOeycEODaeFU48nJNOnP/o7AyVUWLwcqu+i24GT5Y/yxam4+Aa9ht91Ap7LXSEMwO2y0XTcQJ3
sQrR5xiEzVm3BTCjtM5+tIRXbpH2GLSw8LZeVZr6lQ+e/82sPIGeZyYyLC7mHTrNbJ0NpQKWkMx0
UROyo1e9NoFGUg0zWVZkITFaxJa5ns7rZbU9U5wqUJBbM8gdn+A5OW+wkz5oBS1p0VHQYpZfUbP1
ifGkZZ0b8rmxMouEC1o6CEa8Gls7O+N9FbjlQ5WX1UU3F+ahaRBvsJ8vkUbh0s2l35Ol1Y5aGXJc
crVfqisQi42g9Yze9Z86DZA6505/zylmXJlaGj3SCOkuWBSLG7aK2dtkWNVjVuf1N9kTvLaXGm7W
VRrVaQ5pYMH6guImm1nrxK1tGaNYv7cn8sYlRKBvxuxsMPtf8ejTvqeyezEFvji32Nn+EBJ8rwKW
unG1/GquBhgFraUV+w614ZqGcHWRD2Q2oZyW3RWFwPgqYzO0yuwia7e+79Ro/VykqQ3gQL7/nwD6
MFyzpgWrHv8tQomOGOmq7W9yfFQbG1/R09S0FgsXeCRDlNFtK63qO2WwVztrx1cEkfcz8Qj2zqPl
stHotuyzemZml5pFNtWSlBR4IEuQhjZ3jl605ToiRMVNen03DwNJUYx43N+VvU/AUJGSBpl9RbQr
9CFAxiFQ7/g73SdCXpgJV46lgdyIJ++Bow7rCeLk1yWBdiPj4NmeCPHWJfmw/Csmfpm6u7dT+6dX
+M31QFELQ1s0kGCH7o3nprLLgNSm/dB4PDGggHuQIxMZQAEPxYq8Z29I7Id0qOBn9CkfbBNg2Bbs
qVRCEJ5DKk9nJeYNZ5AnJuT8epKze1ajLl11Y+duZSGityrI53VBT4wyoZVduTD8sRprnGLMht0t
lJh6HQ+juBNwMtjhatSby+7Q+aq8jVLNvfFqPYZ74ppXRjJYv40YTGSVjXLb9CkhsdBLr4UzJReF
kzv3tkTViIh5BlD7kgkgGUne7kum2+0gSayeu0m/jaLeBbuJoaDq8mqvcK7fd8y4q37CGh8Eg75v
iv4h7kFyT57unllxpfbd2LwmgfDCjPj0NR3KicwnTwvJwR0u2Mp5Z6ONXquN65z9byV+9102pJui
k98tdP8vrd+R2kSCcJJ/r/Qs088N2Ufn/hhlG6olI4OtNR96U5vUmiBXJ7hKCyIX15WoCWO2mko6
u1pQRl77SYOyRjXFgygDgokcFeyTdDHyUMJ6QAH9a5rQF+sQqpCiWM2ZPo8/PIdTg1OY5ZpNFYek
GjHRTDjuoUwDY0HVhhqatDO+fwc+pvtUIqZb2xGMXHaFxYZyx4/WTBFx6Ir0y4z1VY1j2E/um8cR
ZCJ8zGn0W/ZQLpUzykRa7xs/7KAYz+3KsbZubVFIycHNxpERDoEW/U5cy7mB9GbetlPwu55s7Snm
03s0Ta9JNk5b1bTGmynatL6xpGc41V4Pph7oSi02AN0gsuNH+MKj9LEKatJ10lmgKXFjgaf19Wf9
1WoDt/JS6q9enRVnRjk8Qumcw9jldBt4FPI/r7ue6kxgFMZbA5zax2v89+XiptYN9EBcru2ch9qs
95wAgE3A9P2i3fLBVLNUzqFOmTbbcDou+nFleZ7/XdR253780b4X6VXU/wQfOq00Ej/wS6B3cf1Z
f0uIGQq7kXrc57d7qnpPII3rubaFB/VD98CzuhkvQIMuP7ZvHXgglzKmTvr5VU49VF7hUsPWaXwe
u2ttPCm9XdKDeW+HDCQEoC5WEwDgTH7x/k7dkI1wwLctSnOYFP9+f/nUCzhOI52lsYZLM1avrl+9
fn47X13jqKVE+JPp8rU2ISJq4nSave2XXznelpd/3PFg/AFAYig63ofBEWT+2JhdE0oWsMu4180z
ExYj4Tlj+i3RaLUgUdIXCimUGgu1Hwa+r1o7Hz89C1MydVS+v4Dzy1Frx3Yk8sEqgINtQObtICut
oZzWxLFlKH9kIDb/9LlyPTKViKZ28GIff3s1eytfYfoJS0GKt+2qW+BI3hfzycexaNFDBw5HfWfJ
QD76wIPY6AiLKOoQfizgKlmlazwFF15GQfPz2zlxJW6CKHBAH/iavKNhErRpOivlVyFTG6olrT0n
duhBNtnT59c58ZoMzzZ1DHNLm/g9KuqPXrcry9wKGq8K51TfNsWb5hfEsotFcHX2+ZU+EuR8cHV/
XOqo2chB1V2cG1iFhoDqnbDJRxy9f0XMYMkaxPyowD3vQfdFzaa2O3+jw958cdm3bruZeL+MFtDe
bDlLl41FFay0EXw5fiahsJFmFY/JfBkVbAbtWliIRSkZs7nqtoVJ5tGZNxTT1Vj1lLEUvt01Z22A
TW46f3GjUFWPPz9amRT3dT4AA+/K0dwMvVqzAtHzTNukew4I/bwyBv+O0Pr0rZx7SLtFQROlQImE
133nEX9E48o9uPiCUof2jFHLHDHxYxmxO+pcsvaq8k6O/uUccbosq7zetojEV3UKCD9qMgsd5lih
0RrgmmuZ1q8nu7JDGlzjpuvw6HGdbMM53rvIbbQMWQ6EZWK+3gTxuJ69eNqQP1QEPC0TBE4wt/p3
bxF2fT4CTow1Ez8/Cg7WLNb9pVv6x1iLyqGmDat4Lhlc98EIrANvfQrjrEEkTxDXGH5+wY+dX8vC
omw7OHggeBx3fvEkDMMoyyoM/A7qV1qV2xo4zIVryW4f+XF3kVB/eYDeFp9/fuUTny9tbX2hRSL1
+CC+aIhL1JLeFbgHlfo2uCSa1BR9HzCqZ78+v9SJm6TLy2zEgYf/HPfQaY6w6VS9CMuhoTSKoaOh
ZgNFHatJc3DbnGzrli4bdFeTyt3nFz9xn+yrCMoARsxDPraee6TbcPYUImyjKt3Xo3iIF6+3n6nm
H28D7GWSMjDwwmNwjvEhHATbGONoEWI5elZKjBvTn0DxF5b1j4cp2w0EUwijkGF88ItLKIp9PPQF
zcWe7G6X6ouVXY+j4+44ff78pw/Q1i1uzDRsCAzk8f39TcRpIYVd1NyWU1ohdl5R0UigsNsWS0zl
5xf7+AFyMbY2bA0culrHy1dNgzhx+5I70+yHxNKesaf9zCbrAUHgF3uQ5Vv+ewvCpdDnuNwac/67
G/uPb52giVQJjW4stsStRcEkqBxCt4phhpyHm6cwv9qNnr4i/B9kbMtHd7y82NIjWJkr1sZwlgfy
rVLGg9XkNWpft4CVaV58/jQ/jn1bZ+O9ELGBWtDy+fvVOdBWcN96eaj1/ZkqhtC2c1I79C8u83HD
uFwGjYy1ACbMY2XV4OtTSuZuHhKcshjCAZfJiRXx85v5OItwFUNnswHKwf1g0schMxGNYeRhY3Gs
5biHprT/7Qn3Nqs7umpkNVqq+mKWXHDoH0bJMnGgb3cgMxyjGQhKwAGQoKoKHHzsYxFwFhcyR2Ye
0KqbBZ2sVsFjXWGYIzQLNKik9q17+26q40NBM2lHfsjDrJz6DiEudAEp2Rws24J6MSGgjXEfAxPI
A45A54tff/LFLEFEdATwDB2/GPqSSUF5k2zfkb5MpoLsTJsodnz+Yk6OMnSVXmCAJv6w5SztmmUk
ropQdB6EtGoI9dx48L3uq13LqVdBAhiqSsATnGGPRrNXWELWgolokhbd7Cg5TK4+7T6/m1MzkMsW
APwCh3Ke3d9XmcEWTXGv5SgIcLQMHssUBkA09W3xHb3+P99Fc2ZEJsqSsTCSjk+oeN9dqI58oiqP
fi7Prknd27KJnj+/q1MfzwJG9pDkcjA4HsZTS4rQXPHxFKnj3+TKoM4eOT+puFa7Jnb8H2MBYQcV
S/vFUnVqzkNIarOvRjL44dBD/URPLHvIwxg4aSc0HBTxTmZPMpvv+RC/uNqpAc+xx2Swc7L8oBYE
hoCODOtyKGOZ70vX8W5HE1fm5w/zA68F/pHOQ/RMliMLmfPRvBr05tQ71N1Cvx/1pzTRqx3xRIhS
MmsoKNB742Nm+NW6r7rhulYiv3IKz9onJGhvZ0xsdJcI7DBqPOb4M2jK9n321enWOPnkPU7YfJmw
zI43Pk3U6s5Ylqw2k02tsKvfjC4AQG/5LdHf/jNxSXLtkUdzUQgrfcrHoT1EQfWa0Nad3cV9OZb2
gSpSsHKVJsHich+fP8gT3xqNLbagnmfBFjheEAuP35BObLdHMf+Us9HtdImiKipoYqu3z6914nEY
70JDZ1Gssuv++7s2oU/ooPzZ2kfGT52Cw6Z09LdWEWjikdiKScvtvthhnPjoDIOyPTsaVqwPW+yh
KdTUxBW3lznfkjSGxkHrnmJmM68s3JmPdTPWG1qyQ/jP7xVGWbBUpNggHs+UNgkIaeO3VchZ7QqP
H6G7TXGLLJm0tzx+UmSC/vN9GxdcygBA2AOmsqOn69JyaO26CjU9rteweGlNCqu7HYEehKXLQfrz
Ozyx5nA99lBLTDSbxaMvsIwaO0krHu00xEi47Wbc6HVVbyxkcf/JpQLc777LhhFc19+3Jj077UrB
Ec0IKnEDdBm3pte552lvGF9MX6fGqMUHtfgQFsnz0Rgd0MWImcpA2Jb9A1SPX45TP5DR0KzSuL71
MbX/48MREximCxMQGTry4w/QmCi4m+0swtmcEfp4413TNxtJHeCLC52YmNEWwyGzqDxj41je5x+b
bTnj1tMjjoBF7DzH07T35/rhiyFh8W8cbej/usbRmAg08vlsm2ug6jVWEFzlGYga587sXSAyxdjy
FHWsUWMjoY1l8WM1NnBuHRo2PQhXin89kiiR0u6xyS3SLMMA2IAbOrW65ozMreTWDIj4EwqHViR1
sS9bFBqcbtUaLVx0SBwftbY+YVY0FpoRVFvjbg5KFBfCgKdRlW2z1wfCWt6BY9eAW9kdVos5HC74
dTJ5yZ6wF3UoMIxeDVZSXg5aM4R+HjykVd6uecL5rqRWROo4aqEQhRLhKOMst1GfOCgG8/Gisq0U
ylHW7z5/vKfGJqu4ZzBOrIVS+vcbBH1Sd8plbKIVfKun7s1P5LVtaTurrDDVQiv//HqnvnD23Gz2
KN+jjD+6npMoQRa2EiHo7qXmdDWa+WHsxBeb14/+goV4aloU/qgRuMHRZQCOJFYzBQTw6fmtlGmD
cMj/UeePdKIu6Uqve8d8jRvxxZHpOL7TZgvBdanS8kQ5XB9vyAIJBkuODjWRSs3fElL4Vn5ja7eo
3fViS+OcM07tlPAI8qHeFIRT0OESTOS1ORwcpL5ONmoHS++1ndHZYh2hDmPAyT3GD9pYQfbdMQCS
jxN6IJA08SboDBLsoeZvYiO6N3N8/P7s1Cucj3aOqxB7XsbvAf0gfyH8Nm7I8wRmPWHBw9HF/1/O
zjppu2zrwS54qi3nq1dx6o27AGih3FJmsJYsqT/niFRvnVLkZCECEFN0l1Zq1Pe50Q1fjKxTc9Ef
1zneGA1yIOYS7FXoOws5mXrDmmiP7efD99TWxoXWR1+BfhtU0r9vRq9NWdVgm0KaTv5aLZZFHc58
DoE/adUXprOTF6NeyZklwN12fIhwGyYjUfCtaIlLmAjgBGg/O2RgCCq79IvHd2oicCn7s1pg2fuw
+S2UstwMKUXYZM0tQDTyjSP1XBXNry7FvJW4XzxJ49S48DglcYDFS+Ud92nmVhY8X/Zp2VRAE5lN
48yfm/FgUovfVJaWhLascXzLwLpL9SgJVYyyOa5Sov9iP98Fla0ePXwBaLSjGGTV52/65M9jQqSM
RP02OJ4YxylqtTxhmzPW8pcVxE+JOdwXFs3k/+A6ns9JkePv4pv5e0S1g6YSiSgn5CQqqeZ0b0Jp
46bqmy8W0lPb1gVtS4ll+S/v6Du0xgAZNwKssEM4nrTo3EZx21QOYHjjmnS0h7IIvihUnBrAf1zy
eMOazXaBUEcvQ3KD9sQ2/ArsAoWre9ZUwxdnDuvU+F1A3NSiwW1TS/r7OXZLuME8eSXTjKleu0T+
hglI4mph+GvKt/F64QMQCqSLbVovgmPNWORZDcof0EbPpHglz1EN1ao3kS1jbcFskHTNPam+4H9F
URA+0/q7yRv9J99h1gRo1aKa0NqJ6JultFmZv/XRRNMOD2GS+mtW9Vd4EuUW2v+v1B/GVamsdNuX
yryXKC9Z7E3ni9F06ikEi1OXEgfj9rgBWxSyJYtXsvOT82HuZmPV6fYz5vFzaqaELqvxiwueesWL
PQPHoEex9fixy8yIVc1mKExrmAOD7Bu5e6cTWDFwnVW7CFM//2BO3CLr+uI2hsPOzv3oTBK4ygc5
YhUhlEZ7mzTKvRQJOzSVVe1zBqeZRKrk++fXfNdrHG1C0d6YPFQ+UY62R6Mr1lRBZ7YoQ7ecg3Uy
9u69nRjDWljKOU+qoniCwQb7wEay9a5T9hPwD2U/A8RCS7TXRnB+Xzx640QRE1UCVZ9l1vY+nH3j
yZllNPBFt3OEns2K7R2qNGvXRk27h7lsrRgpyKccMIgkJK0VPRnk1/ZXKGLrxFy5+MKRY8DMptFm
/v3t6Ugj3LJLS3zLGRiVd3FzaoG+QGApnHNel3foMiSJ+CyglBUUkQ2tpI8KT2S4Ga1R3ykVgZt4
58t3s/6NbbHYJyNDCtsEaclT4OzR5f5SKDKZsoet7WbJFsGgvWk00YWJW3vbKem9jR+fm1Vu3eeW
mK75bHGiKD6E58Tvg7NC9150oGBfHMxP3T8dMDzo3tKhPy4cUW7LirazuP8in+7BlCJIc6f0OTW0
ZPf5SDx1KdSXaA1wo7NsHG1AaDrBI1+WJSCkyUbW/mLpmWR+FiRF/Pz5td7f2/GoX6q/FqdXlsHj
47/Q3KIfy5TDwQCMZ0UMlcLxMdvGPpLVAGO1MM6NSo9uuskcr0xTi2/NToNbYhVyLwU4l/cf9P/4
hi/wDSYlLKbB/0UJnMA3gO96Ez//JDj8+y/9m+DgOUsWxdIY1jlOUhxgIv8fgkPwX+w+0B3Rmlvq
/Ay5/8sfpMPLyA7sZev+J8HB8v6LvQTHK4qttsdqaP0TgsPxKkLOhUuZnNALHRnNBxO/0HHllkkO
+CA2nBmCuS0u6Oeqx5IQJtTOzlcYhOUz+XNkc0EPFjMrFr/8Y0UZ7GNCYpqrwmliu6trAwYfd0z3
f7yEm3/9e39SI45PoVwFVe5i4neYGj8sjh2duqF2kilUHZaH0Zzq27xqiILwbLnVtbFYGS0lLrvO
tLt29KbHzy9PBsSH26RMaWJFIkWRd3x8DAYZDe1GeV1IBE4xwT9N5l3hJfghEUoQo500Z0Sas1og
hoZiKoFkLhDKlJ1SS5f1Ho6nEa8qaHscmomwJQkLX4I/j/lOmTl/FgtIWa6tQpuH1SRxCGInbGHc
oLtVv6ks5HdW5gNyxZMQJjZGyMhza4ibTv0NS6HaL/TndCVjQ1HxqJnbVhRc51CvJ+MBTZ68aiAY
PuB3xlZlYRgf3Va++WWZ6oi9B/U7abmjQRTDU9ETQNdmk7iIDHzL2HMICh4rU1wkkU75O1XyhbAR
/uI4pcFFC65ny448ugsGoMSboZV6deBRiZJ8K52/GzH5WnuCuLlN3WsxsONReVCVAo4zVcm1gzyb
skyAyAwrCSJ7L21uq2IgMmlYlNpZR5x466IMmq0ppRBRjhtyOZqzvDfrW3Bb0RmSnGnv1kZxqJEZ
bQ2rG54yOHpPdTa797wdc4siBoS1Ca+3d6f6h6pIEok9dh7pKNQjDv7qhZg/3kzNfBu6i8feG+ES
WZ0ILlwiEUOi1tXvEZPMo97wV5TetM8uKu2LaIrtA8Yd46GHMfqcdaO4mKoquChLdlgb4nbtbGWX
SPhXbj/rsBgKuW1lVKxHMZhbiKj5nXQTJO9QrvFCV80PO+J/xjkCQSLhqT2GsENRnNt9TYQYn7Ov
dWrvpn1xqHxervLkSLBRBuCttSBdkHRFrojEmUblAv6vB3t0rxlRfhcj4YO1mtRXhGY4II3j4Veu
E6YkcNtRO9N1Jg2jek2nenii3TFfBvXAP2Ulai9JjVwZE3ccjJq8ivLlY9dq51qL9QFJJ/fi2lmw
6oKkXA94CsrVkIjhF+EGak/esH0d27yJCPHYyhZSbUrofyV8op7nmkMP84rAWRMnlcHanSCA4a+I
ojtXj+ofNJ/nSzEm6tFkId0DxsWJ1NT5DpRq91PPXOOBkLxxQ1IOqDmNZ9vGvEfCl3nUyxAtBEg6
RdTlbsbsEMN25E3YLkJyktbVbyKq5EsRe9FZ0eYvo9b2cOCb8jr2f8NNhJ6VaqWbcEAuTVKInVcc
x/US0tk/xSZjE99Fnu5NrFEb2y5e7cgbQL96kigFh0G5EK2mhBeFq7LbRbUtryV85+ugG53rXkXG
g0hb+dI7bvWKc4XR6uGRbcyoerWQk59nmLLvJ3/hN2sZ2CxfjNVbDFkKmZ+lNGTZQb55vzk/4SNo
q1a7m5QU3WZKs/mSKm37LDmG36mqM0Bac6QA2WtgNS2ycu2Oehp2lelhRoymdI9VkmyHwtV5TWXe
ewuDvP5mpLj9sA17iMdNq77qXNyd5jPFVyN3X4ZKjN2PtOntlxRbRh6HgzULG5nlrIktQruxv1T1
GDlnY2z19h3GTCx69qQeDZzB68rtE7EynAnZYD27O8ahA/GSojzw6KljaurFVV+BecYeFJzZWn7T
6a12W+nFneb0V3Ypyx0GEud2hnm3cjzQvY0TgwCOruBdQg2nxhfG5pwcSjN/bGlcbklt67e9rb6n
PkB5e+h/5olZHjQR/yBhIjkkM/0gYfTyoiImbls4wwQZN+5+GpjOtnHanuNcinaojQ0su3mwMVQD
HMFzYkQMcXplz/DTQeIOat3gJXQz/0zLZb1Ji1rMKxlE9QHdDSplbQJnqgOJKdOcmmRZFL9jOYMe
p4YIerm11Zq86jslvHRrllpwnmHhv6REP2Jb4YPF92mcpwqdeh/4MXkpvEjTGPSDDoE5LD3chbKz
/G01auYaeiyfpVg4BzpCRVMr9fPRSYOwj417q4yCHcWV9sIQgVVsTZ79j1aOo7t2OJaiXCRWNeLg
0Q0hfj6CNIwR3n4ETrMFtCpMvUfDGRhUSQNCuJ3IrTcqan9Y1djvYydmzWMB93fYyYZVQlr6NhNu
fUd71sDXlrc7VFsJUXG5BjbOn159EllWo5VP52Ja/AVFnr9gVai8tTu5ag/rHUwoHW1/Q4QF6pLB
ttghWvSCDBPqbO9Y3oE6o6lvFJMIjuhcmu1K8l1d2kUrz8HiY343dfOAZqLdWEnCV9Vu4eLVK0HB
ZQUM2DmTbjM9zqOVrZvFwEwTKhyLjTVoFRxfd36The5QbSvnB5nJCk9uG4TT7ASHso/UTZpb82aI
+vosL6W9ds0Cy4ebD6tiJDCxtS371mspMVfRojqIG+yQuvR3tTbQY1kSB0bHIgc5sLJvnhvjldXV
SPitwpoVDNqOzNoKoWx5WxgaazmEmEOaWjCJUU5uYi0OnkBtGPsiZcS7VpUc/GEiym+M7MuKyh/s
61G7IyvCvzLqWZ0tGV8FIQcBsIPabcpfdlxfYT/wLoIJ3fvaHkeIvQW6MUQ6SX4p29k4SLotNcnK
bnNezJH10meesleeMyLPNQlRP08UUPZ1ZmT6L4mdqCDWWbjTRs/04TDXdbCWpdbse6NwXsaiT8k7
yNPswu7i9kdpZS4JAq090IEzBOGdLxiCdNBReYuPrhKoULRJ5DsvcYbvVWZU664Yl32BrG/x3RQb
xPqi2mLST8/J6UW3iz0x8xh+ZXJAP99cBHVb2ShsKRwS/+qkuBQJn15nWJ+vlRml4ZwI+d2UoA1B
xKt8eTdw+5YtUpZZrENLyETmtOIiMMlC8IXsfvow4CW9Eo7QOz1vWXBQ/6rfnKOhRSotupN0HfgG
SM+48CJdRpvYWWiBSVrC2JbO9YwH/U6rpOR2UyvZ9eQh4jOkE7Qu2eQl5GlP8vske7pbCWILnL+s
zsiiSX1933zVqWk84Bhtf0ooPv7GdBLuzyiXatKklLllG+reT2Q4tvhv6xp3+2DnmywxiwOFe3FR
YP8Obb0lSqQamYybLM5WpYR6vUmclsU9KCvtTsRB/5SaVnwdl+w0hOPKq3h+/xVB/c0iaDZdRXW9
TMrkUvzuAAiRieCxPQnq2rhhGhQ/LelyCtaII2LVJqLFjZmIVmXDz1mM5/vE0PqnJIVJuTJqzRcg
khu1j0tXnesDMSBJP4ybeDGFVWy2XtCZlutWLdtf3EMvXjcVMAm4BQo7CK/KSf3GaJDupzmqSDVJ
A3i1I1gL5UQ6WQfSKqBnBfUXagcKax8OEeh7/EVvCGJiadr9Xd1xeg0ppcKcMuG8W5O/KrNtXQZq
V5H6sJEpitggsbzfhBcNIcSSeKcZ5hvi+GfACBZNPpYpzRnjTY8i+nJoTPtlkLia09nKz3W9tF5N
NHYTFh4phnMMxD7kWiPfkIUJYAPu677kFYZxAOlGNxIce1PJPqEogwsWbqi/k6XO0Q2MJAqim62W
N2tCDrob4sa91wBNklET6xDNhG2T8N0ytkGSsd8YK1LsegYOYFL2ShxS2A/GOX9oJkpRrBpgIBgM
lz3SJOb6VqCX5V3icdzYwFG+kaXermwiyu9tELr/zd55LdeNZOn6iVABk3C3wPZ704qkKN4gKAdv
Eh759POB1X1GoiqkqHM90RET6lGLIExmrvWv32zNOWquc6gNl2zAjXgktQZNYjI+xWRiwW63zeKl
tYjcOfWFcgkzjaaYh5SSp6DNXT9v7ThP9HBorKhAPGtlA3pxXJW0Tmy4ocp8qiPccjppodN2HVXE
R0Jp002k1v9HRCEVbXRUbk4YpRDtRvhInnlmstQh3bTmhl2QWqrVk6zC6j/hjuPKJw6ajx8DmpkS
yp3xHtEWiivaGB01GQVg54nuo47uO0Tga4edTWZKWPo4084ojlERiubzkg35rk37dD+MnGp6PqkD
XkwUcknlDE99Wry4LXU7eTDNJ28qrHTTLmtMxfrs/FVHelKKh89i1+4R1VpHgwV7l1tjuo/g0VUh
UdPFsSek4HUmtOVVLAZnslmYZlDNvE+r99pbOgDvskgd5fxEs+UUVfexIlTmI8mu1lGf+/qlX2vq
KvGLMCGeYgqFKmbMuYtp2BkqLo/YYFAtVq4VcGa5d6XVDk+6QRIQVrb1q9212AQLKtvGoGvZtJVi
5fW10X00Mxp5KYvmGpdrdLCRmOvXPqq8jeX1VKSREKgZa1uxRjqSAQwU6Pxlryv5pa5mnkqpyN6h
Kg/sVKgD80t5ko0EDTEZZASzv25dSYmbjr24NN6lKZ+hoHoXY6K9xanJv8RG057Sxa0uTsyDY9az
7CvdtMPaq8YnRlC0VdOS7r2182ZC1FyXOX25m9KeMAxS3z1Wqdqmnmo+5U55O85u8xnbbtoc3Y4J
9hR4CUwJk0HBD620tWBZf+tZrBEoHsSdNqyZt1wWayKwcV2qM50sB0k+bTD9b15sOeP31pYZWmpm
JdthTOlI16YhnXUap2QW8k6vWt5MnXEEvO2BTRVXWATG5kIuNI60a7FBP22hDwbQ4u4KdzmrGHed
eQTVePsMsWlkA48rrJ/mQVuuREynaXWLvHvrtCuLzwcNUBE6WHgQq0P3gWtHeigEB1nBfOkyRA6D
8bUt02KNxwAd1g0Benj0K4CiUiyM8oZGfEqS761HRIxiuVXhvMQcAtPqnebFoAZ6M+f3soF6gqd3
7q9eVzYMQrxq5IC9B8YivOJ40gvSlLgj5qUmzbNiCTLMBvqIiOeipdbJ6hnwzyftmDYSwGTaVph1
hVhB4v+V41/EQaO3AA4Ms8DaQWJwT5HPyhIAFHY/yS94VZJopffLY4XvQBCZbXHU1qYWJRHbGp0U
huJrh7w6ywdeh5dWWKmUn1SaNNlSscVZBpd/65td7IKu5hzMrKoTQR6Q9k3X1VqmuBqvryg5pGQH
seXvT5Mkil0jaMmr2ojudaOoLk1t5hukAd7F6zv5XBtgF7jGg2VAm6wuE1T+m1FQ4WLK3LO5a2b3
Fa1Q/TLHrbdpdelfJpd9tp4SHmFik+ynY+KGpjofDHRKJS20Q1nUY019Wb9n2a7bMIKRjri5AiTI
T11qjbzln/u9XM4pNIaHZEUbJ5mtpwCF8Yvh8UkINXRfB4l/dWJE8Y1LbtvOaNfvB+cIrCDAfwqH
24lW1OGtrPB8kCmsNvL7chrp3knz2TjQcB7ezgajB3obvDi5cdny6fcBr0bNFjdurNkcFZPvXaTP
E5ZLbj5MLTbNfonJlENK31HQhoSJkxkPjYM5TDrwIn2AueNS6NUFk7/qYpsUD+X6DhLqpU8dZLNm
16qaomgy2M2IW3laJsqTJgcX0evCfCABj82WfewZa6DmE9IF3M0Z7IRvUMzYAxZ5+Ouc4iqZMPkG
yOjYTZqQ8jLfrXmBO1nP+Mr2FJklCxtRvwX6VBcsikUf6xdyxAEGJ7A6K40o0XoKFgvXzY0JqLfl
sOfjedtmZ5enQcdOPFot4o90UwuRO2a51nEkxZ3m1ppvW5rlx8alWtLURKs4diMPU2d7S0bWUU6S
y0fdGRtqa4tvTdOj+3kCpzCLuUyPlbDlaWoKwJt1q0QoY27b3MpvsFHEedFJbdAGzNUs6XM+JLSq
rMkWVBAy/BoOY6DwkO7wzV0jv3p+dYKpchZu6lP8YbrefMarh5JDdqo4ZhWLLG3S5AaHtZdxtHlq
5EJaR9NLWCpjzjPoC50qdJzkM1VJJoJhxiM9wKrBp24Z7PQaO3Y22Ykshqe6jqzQX8ZlMw688MVD
t5CbQJlv//VtYS5lxhGjEZX0xZ44UxsOlWOl+vkWW8BlVyZZSipEzYJOhTzFrs0mw4wnvkHMwmhb
2am6ahxFJTy5Cw6d+fdBqNohoILG4Q2gc0ngEVgM3k9rFbDMklKYbK9hTwPHHU/kHGYI+z3xibiN
BMcEEPCeRnY72LiUBzlRJqc+6v/ELzPe0xxWHgUSKkRwSCAxhl5HDT9QEofaqkucyPuDSAGHQ1Tq
9o3r9OY27vEoWwRbW+JTfPexPt+6Mcq8rLMxpKE4iKOK3qWy5KmzxuVcTY18HgYhbnAPnB/ZEtQf
hnm/jJXXX3aV60MLhcD/i+MuA77cHTWrO2jpGlTWkbOwNPRiupElN9pAYwJaQSFqjDRFmMpRWgFl
rFlZ9WvWAK2+vezfTw3eRvY/z0YsqHMCChB0IKKz39X7MfYSpp/G3aEsLfKCoLWu3gmDvKhJG/dt
OyQbune1XZhFUugMgGxZw9t1k7WTQxRwn018VKhu2Q0iu/7apIV75zkxphg9hp2R1tYykL39RwL/
r52Kgf33+vZdKMS/SFZak6ChONb6Q6yZ8hTBNlmRe6pHmckWB8F1EmFJbzOyJ750C6dINVX0hUNv
/2f28n+jyj+NKuGns+R+M6pMv8CJf61+GlX+/Y/+M6r0zL8YlhGayygSlgIah/83qvT1vwSzFx9d
7Rp/LBwmbv91m/f+gjPOsIvwNKj5iIn+123e+AvnS5RskDPZEDzsFf6F2/x7BQZW9jhkC7AEhuJk
vL+f9suZUExZdMa5oqDpSWSLy3Q+tPbaqxCFAFWvThZ8kbLc0KbHdEY3RxObNBRnfmO/Yj9amQbI
HqoSLGszRyFZRYopsnNsrgGcQAs5QH/VMZf74Un/wzxy3ft+WNkEjfEL499BDw9/gF3n573R6wYC
EFvVnmnu5nsjqbTQniiOltHVOWCWqPgDRcXyVurHz5dEPYtKyKaOW3O+3/EVtLTAxHGo4zMp4Bfi
RnCHK0aI/3s43bFkqCQ1eTBaHbwIUYGcw0GMrjj4zjBGOzvGT+tI0vNqNDmi+cVUNBrU3uyxdfSq
FEy/rgiRQYpkPBSm0au9iKr6nHWrFjkmi2UMjDxqnUC2xNOGNj4b1CpTxbPWnHG+Jy8RhMlQ9iu+
l3VHaJrHpfwkGuNt60ZZuZlsTNER62udFzq8ERmWfTcMO9iBCxmgTARbxnaYRlmFjYEsM54FnQZC
6B5Hx9arc2wm43SJtzRxU7w11t9cT0TBwCCJzQeDNoWwTbfj3nCTkp+0BC/Z2Jn4NWaslmdsis3m
kzlO2B85pC8lN3NS8hv5i20dFzI758eWETPkYKlxRphZYnQQYBB0XEMbdzUyHheneTYpCpNT33Z8
fzGhQaFm4uRzr9qKws8qzPlj4xmE0Fpmz5NLO+wBAJHruT62DePWcMR8QuE4BbITFM3I3zYDTttb
vFcZmM5KAiZouBElaxPeOUGN4yRYHxh4uro62K9kwkZPw+L4T+NASh4VLllyG4kqDqIuP1rvJA+J
KFTegiP6vntOmDI2B6GI6tnyHK0htNM1KSUlx5Wpoc1R8mFRNa91XI05zhD1iuSk1lfirg/HxyeM
94fN1tmX2mIwwOg1FyuScbpKiIC90zwd0B4HDQIKQdg82vfUQBFIKBnVPOMh/OQQwLibejSLLbOx
eFMQzbhiw/PyQEnRX2uE3rlhmWH8SM00MNzKevtqWWLnSRtd43oam+IWN8/41ZzoE4igFV6YmpX7
WsX5+LGxyHgDeOCTTSbKkXEaey9MMvRdYYlbNPl+s2ODCxHj9aTB1e/vTCKznY09unw2GG7xeKe0
dNobgtpsmF92rFUwFQdpGbgBCi9R1ibjiyTlsJx5d6nViOn7ki1D84k/ltl3qODzfVrqNEIObKmw
jvlGOurwIUxq33hgzs/rKXJCOQMtmni3gDtFyaivbj7xZFhc5AGxKPOmnqJdp5Mx+ky27nwPNYKF
oCmXB5yacFz3OfXs2Waa1QTR3LWHeMzAbrLInG8xxpGHAbu++WJhbB3jSTtwFdLAMoWmsdP8LVQN
ngtRIPTXA16lZ9JyzPYhV0rTnvBOV/LSm63W3i4zc4JdsVhsv6qcFv8xFXqZ30djBogJZC/DaLSs
oyIwaQzUUvIsW+bIKfFSE+2n78c8iAa09hAVHrwJwa6CJaSE6hG+fcj5rPHisNRlHTvjuij6lgYm
mCegOzbz2nxIB40puGd4ifM8F95g3mQR5Q+ggJHXX1xrMq4Tx8uIEVxjswItj7MZ39a4zV5aowUY
DDAw7b9akdfnH1t2CAMH9kjZ7U1dVpXjBXOsRf7WLXB53Zo5DNcABDc7dZKkWtqJ1rjOiB2cP3pD
JPNvtluZpgzEImMsWPXRNG9Kzh8l6S7A9o5RZZIMhszX0fVjYlqqDbBEwAJdQ13DWF3RZ6axd11B
gnu2xyFa7WE/uMi0ppB85+ERYoS2pURNiO9putAa4uRoFX4E5wFPt6BM4b8alrFg4++W9gEbcGdV
tWRSSz/GiRi6nWhsp8oAshdShQviPpvG0586kjFDq9RftGokJonA5CBfKgxVk2n2Dngpxp+LLnK/
zTE5EsQJVTd4h12GqZXLNi/a+Q4jrvjFtsZqW3JIbZi8WPckw1UvhkjKnVnpcYS+uyQ7hDCsWz/G
wNZtcpxVMYAvrtImLh7NrHMDX+/6ndJ6XK7GGbkQjq94YE7NzVio8mIziN0OIEp3bOvNS+YPyYdR
FLeTq8/ZvpU4+8kFAzY9q6v9SBLgh7hzike0mF28a/uKIQwHGBGcUpFD6Oc7OD1ElWNssQJOLtve
aNUPHDrNc2WXTbLJVFftvFSvPyYwl3i0GLCRSGMPVeggwLxuHIZpcTqW+I+63fe0JemroJk5mKtU
F8t78xozVFdsEsIvsZBcKAc2XWuOZ9mV9d4r5IIhT2HVx9WldRfbxl0W1c1eh2W5wVCueQY4aSZO
qdE5VnABxu1SusO17EX0wW8SZ691KsfdDxI2zjDKg+LpONda0sszG/ZyQNuwHCfN8OEp5xO51C3m
qMDcoRyWDFyscx7GdFRfdb3Izr7nq3Nbtf6fMl3etYuURNA2V0Y8LC0Uxu9LoqWMRe+3vTiBmHGG
EY/BEcNnyz5XzWsk1pqJZIVaOfJnXctYpL+vyeDxvSuQUMnyH4PdEGO193RmWZeWR3oBqEbftIe8
guKgTxanoNDoT5g01mfCpds/XPUd/43bxmQEBilcO2Jm0HD/XAmKSCVuMtn+SYJVfIKCws7U9CZF
zu/v7h1d9e06NGQo7ik3TaS4P19nTGBIdH4cnUS+ljiu3nJorHC3PUfsWP/+YlDeafup0OEsvmtc
DTYRLaYKPXnF5G/rFZYkqLIItXTwt7+/1K+VNFxFEHOaAR3u9XtTGEkgd4O1OZ6OBEVeVyvcZSOw
YFjS1+duVQD86+sZNEIGnwlxOfZ7JQWqc/aNorRPak6ip7/PwIoEmzS0q45yqEsxqfvD4/z1G/Fs
DP7Qi6xpLvZ7LUFdCanPBdOqYUhXZzoAq9mY/mTF8Y9XgTbt4/2wsjHfvbQiMqcqSjvnRPosVnsp
IKTr/VGm8E9XoaH0sO/x4bm+X2VOb5nS1rgXhubexklBbgGW/z/eEtFoFoxSup2VXvrz157LUgLz
IakxI2ByyO28k3GB2Lldot647pt5VH9o6X7dPtjTWczcFuJiLvvzJYk8jpapcMRJqyPn2QBSPil9
pBQZEMNtK5B8M3A6xeb1+w/y14UNB923YPLpaPx/+SCxNkl11eAeng8srqhmm+od0h9Vxuzk95f6
h1vk44BWTw2O9uL9XuXCVOJSpQnuuyKNpVGfVddDexN8MPnawc3rV/P7i/7T/SE/85Ae2/9gjzQy
jbISwuZOhUOWUVUK61joXrKn0fnjQnuTtf/cJPugE4h2hOu73q8rLfFaT2c5n1TbARVnRmkjaHb1
4r4ZVXtdQ5CsoH9QJs8Tdd1ErdVdjxJGzE4wHKa5qO1XBmTdV4RdFlWnqork1sud5k9OHL/ue4yL
LfRw7OYOAM26zn5AV6vUnlJoIHzhpcWF0ojhwhr42QWYqPCpZT5l/e/fxFu23vungwkRUn0fJrP3
3u4oLsBLIo6Yk+Zp1LqzZ9E/4DYKW6U1OLGIVF2/9yw1ruVQyE8A7MrYWKk/38vOlAV2xINaw+SZ
VfXMjZPN73/Bf3om7JRvvpe8u/cSKF3CQSYS0z6VyqPo1u3sxYg164SRVpWC2Ot/gnF++TYdYg5Z
DUA5fKKQ7X5+CZIAeYp+bNpJ18RZnNl8Fiyy4jOdG7rx39/dP10M3Ag7MsyZfvV79RRhf7Ek5WFG
33+bVbAp4RjQ5dh6Q5f0+4v9sk1zZ96qodZRG7CdvStLylwzmi7SF0I6bBrLOO35sliIdIm/v5D5
Dio2cX0gd5Wz2+bmcIB49yETQ5LOTuNOHOBt0t3q9HBDqHldj0QcpW13brIRJETEjCeTKSkJpWtc
qw1ksR6DtZzvkzQHJ9AmmqWwMxiZK7dtD7rmAGWBelk7HSM12nNJevH+LTuor6Culf92I36zGcLo
gXMNS5j3lUhKKELjEph9MhXM9An3xzMz+nQf60Rh/v6h/fKhcym+AYGXJpDeL/4jTEzMfpwZXLb4
5TIMzLh/3Dn8LR5e9XkNtPkTfrieXj8sfdxH2Q9J0OP/ksz+y1uqVEnCQmuLkyNn8Q3HmfHUish/
egNEHBf34Y1UBTnu82z+4QAw338igisj5XIsrmxC5bRXY4of9jpRRH0qsFw4GXCISwXtz3MwlVgY
KVkmKoLI+wxNKRebse6M7tqPa1ag1cbpwewXGAv4YC/3+lCCIqp8xWskdqfU9UPLn9/mf23pdBn8
QSO9dQkwrfhJxHkdfCIaMoBLwp/u7KxTT4gaOe40DoP90rfkhYzt0nQBc9P51p5moLEuysH9coCj
KEjlGK86OJwVrvDFztsNQebl3QTacN06vbafCZO6xaROU3sSBXIolz3MXt2FcIr9fqZjpO/aA/Fq
JNdf+lzAy3ULvD42NVJPGmiVnmDsGCHjfJuwr8FIJHznQWIxDPatj5C8LZVVNWsG30QFockojK9T
S4zSJdNg94T+3KxgKPTK5HZcZv7skt9eHx3CPpAutkSJHDDQoimppOJvlXT/U3wS7Q3y4hdrXSMb
1lpSFTZSk6qDUpsT1k7jvrSznx8xYZ3vG+Jaklu8LAos/WM59ned1fFCzAar121tlE1+Xyud86Id
ekPusHSY73NcGi+x49T5vdsY3VcikLgLiLS2+mY51SCuWmmsUNSEM30AcYV/yK3brzbTJPyvDF/4
29zMxGVcqaIgGjB6sXAkyG7nNLCrNuAgIFe9SgDCvXJxrO1oRfzEwUki4zOc3eoo52zQPswEWalQ
5opTy9crAYSTFFZn3lTTaPf3RkoMxibnc0luaRfh3xiLC4GTLGxxHMe2I6qGgbwWqqaCAOOYq4mJ
gid0qoimdwLTnVL3IsbImI4JlJWIc9UY0+u6LcC0vGbo1H5GMGoGJIKAMsaDPrcPRmW3BSwimw8M
6S2W+lracja81QFg9nx90HGAGhKnBjdjYgdBDyvyGYtuAjzm736volvIdvPt3xCcXQz8MlaC6Edk
pv2aRkkSbbuhm5rD38vKMdlbiEuyjpOLoui1wnGJ+BAbp0VjNpL0ANoLNm/2gm28dWy+Iumt3IKk
sHmuZrdi5lbWDZ+XFAnNbk7B4f8ezeBN/BrZ1lpIxILazqtd8Voa2YrEtsDzQYPr0gFiHAj82/Hn
OgMgYwJ25V5sAsxUkOvpnO0YL+rduUSaovZlozFpKBbBgxXI2axd5ptxetdVkl/E0MFOyPYzO+IK
DDm/DLNraVCrXTvP770ae7Urey6QQGVZJdbgv3T55mlMMraZJ01xtxgNKHCyUBtjN2xMbsl5zBgg
qYm8Agbf+IJpTs4K7i33I4V5Tv6n3faQRIMiHRt46lGkSrB5rbCzU9F2oPUEzk4GrJZKeSACmYhO
pa7PQG0g5L0HQKaGMZv+PvH/b076xzkpq+aH4/dXSWdaVd+6un/9eVD69q/+OyhFuOmtRAfGoRZm
fD9oOn33LxMIBFXl2yz0bYb630Gp/xeKR0b8ZPyurZvLofu/sdxr3DA6QjAx2+cn/6tBKQrHn89v
/NdpgjGPpGFYjTTewgR+OEItCG8lNjb6udK1OpEDzEFH28B8jFDYGHOzzUnuroPFGsndnLFmQqTT
9BbBEwUcx1KlFXOmpbuCDCP8Gr53pj7OqhDiyfCprjZTZ3yG4xo/ljPsvDR27I8jRMsrZCn9rUI+
Hu3SOsMWrcaC+iqe+MtwdGa/2WtZguVon1VnN4O1VM6EdLa99Vmb0CicmUbNqIgcs7+MGSKWRyuP
BvfSkUUGP7dwpgE2X2mtkaXr8NbsZmZjtR5ALNmpBeq5yrtlY7W6FSauNXzCKW5i1jSgdrzKrRS+
mWxxetrlvNsPqJpKJ7TMqs4R60fpo5EsBPEw/yJOKs2AV1HnwoWENfHBEYN57Nw+2ZtzRjqmv2zJ
s1zVmjLF1hJYf5+Z6cMClenWyZhgHvifWFcoB6IScRqErB7/tjZoBWEavaG9zrmYA0/Pygnuq8tB
gYBmi1u2P4cj7KQNOKG0t4o2897QC/tq9JlHGf3gGsfB9yVdv/KjJ1V67ofGtaOHtl9M79hGvaVt
sq6xC6h2gp2ZcKjseYQrhAGX6YY5Bko8g2YMJGkpJ8evi3PfuDzLoSRniMomYja8LNO5H/rYC7W4
SbZu6qh7WcUi1fcREYyH3ECt07egRWY/YQAxqWoDeDQmJI7IbOctUXQQdWk+N8qCPas6TT34hVuI
oI8nNz0ITfeKp7TFgu0RWRry6e3AGTtrWwJI/K7bMxtZ9O4IJbDC9D0r7NR4jTsITbw50sVsDJ22
ZSdCE4LnNZmC03bWIxK6/Mo4gl2TDRQ5WzQpRZjn9ZSFqY0KRdSyhL7n9xglQOkJVtd2cnRsE7EW
uTooOjzMZjX3IZ9Rq9jmMR7aK3vNPlOTCkhwvxZSSRysiOiaSVJ282pXUZk+alpyNyPZDlous4vV
TB7vuHwy9IkITjeNdtG4fABN7whtxRkJtUN2kaWmHxtb5Ls+kubJx0whyClnt52Gp1Ep5vQkgJJ2
k1ejQykWddQlS9N0CvORQMmXqvdQgRmxG5B/qoWCsJpdXbl9f0JQnh2pyj63VBOnlhDgs2QysVGq
xPAfVj/js7ATzbATquH5aEjMSq0KY6n5WtDAgCIgL/lmQ0KDlo6wiukDPlk6XE3RIstBM4/wYFji
C7k9+DAh8N1D0frQpxoxlHVqBIwZolC0mXHLb5+dM3vRWgaPfXOE4DF8g/23bDyisHYui+1AkN4m
dzkgq1ghmJbyWE32B2kV90T4XpQRUZcO+pr5+5A65F/pnX9y4+m+86ETqtLcoHDaxih0iIZKQm8U
j52Ue2+ZrzKkcrD/h3nXNgVxohHDtDgST47F2J4gpG5jlMW3QkDfNauJMFaC1z6kGj5H0jBCv4fO
CFuKTTD1rkRDBmBWkrWiE6sQ4B0l7gj+ZLg1txXD0XHi22qwXeF9OHvqni7UEn84eG3xRbnYN1Dk
+ycC/AgDaJmYYX6fXSd+n0HVw1CCVWHcxYm8Gwm60jxuStXV9eyJ7LVYd7N8iNwm8LJOOzeNKe5T
UzqnuumTkBdGSYNb0ydXJs+kY1POmPP3pC+NQ+x2tCipLIhUW131GFyehiW1th3b+l1PBFyA9sY/
5pl7HzntHWNwfcc24Z3rTJvckFDO/iP7yrAxRzcag8bqs+vMHMZQ9nm/13lRO72WAxMtO7m35tm/
amcddoPWb0RG0F1sEsTtDzfLXO7IQSJmNmtc/MC7+46wOZ7QymPTsx2yKItfrxaviUiRciScDpLE
gtzA4D7rH4oqd3ZmqaIPUz5dNZpsw5l0uUdoLY82ApWg0MbXTvnPTow2D10s3/HQoE8uUAea0w4a
7rF2sr1vZhFPUYpr04jlfvLaLxXhXFu7Vd1B782HBntvPuCcQUKZFOPZlpN+nRjW/eA3l6JLnpyc
eD8TFp6ODVbATrt1NP9F+BOjV2GH+bqXNpp363XWvkuz+X7m1RHfOuLjyTbqveRRbDwXRPxsWstl
qWmCjtUdr9xl3JLdd6I77nf2KM1ziwQ0kGNDBDDK6iTMl8LbF/OgjkndH/qGnLU0yvcwWNMw9rWG
UaW24zArQhX5buBNyAOCWgziCzmR/Uo017zrReniLilXkrXbyivUc1q4TCMJwpmdfMZnXISTOVzm
VHImTMWjIcZDhf7RHxUHa+b7W7PtP5B3fi1Tt/wyzhVZC8tz5ubFduR+IA7UeYhpUXoeF+QkbWns
BARFM4xJ2b2eobyjj4lksxnows52ase7RbOWoBti61NUDw0x9QZJiRrD2Wbr5exMY2lVt7E2dqge
W2QQsNbDBh3+YantbGMYRrOrhma4mOgVYHmYNC+DjozM0h4TbVqPZ0RQteMHmmdfTzp2e5A1qhs9
bsZ5I5ZCIJNcVDbcV5nmHf0uV6d5tB7FrDefMYwkWDIq4UbsSCeG9m0VBg6iQtQoSjhnze3Y+19K
bbw1EjcNezH1951d3U6VptFAkoe2JMNNjitN11rtjsSt+oRk+aPX4ck1pyQha5BfAC7HjYnO6YXt
VRwmY4leM2W0W3hQ5PHi1r7N6jHZO1CkA4+8yLDMBTfbjZ/8GGO6Sve0K3LY8qcGkXiAs5b33cFU
eTMwxg/sxCpea89dPriTBpFk8D5Zud2E+A24T1C5040WOXpoukn2gOhDh08BeOq7OAVZ1lxvZrEu
Il5YFiAVhXDO/Jt1za8X08Fsy+xr0+afF11z732/Gj9a3Uhe4pBcQ662NwteYHBVGgPRUorRLE1x
K4JGb4tzp1QNCX8Q1AhVfGWYxaHPozxEPAZhefDre8gREimYlwx36LK9g3Id+VFT/oE4vPlh7PBe
InXZT0MfDegFV4KvMve+sDsXOwllcUMPNzymmXF2KsvfN367bGxIXtuIOf0VWj5n05PKHCa2Cfyi
1ZkJ0wLHT7zk5SUzOqI8+265lGLyD1NtzCgu5ZciJq6B5PUUPWIzGh/YIDsIY4NF9rXTT0mxF1UM
r6IUOYdXp1WfJJPDM0oZe1dQCz7pU2stqIMKD1KDWKwPZWIZnwFUnM/kYaI7Vmt8dJRImOQFBcPA
MzexyofrhBxSlOPJHZSGAEHfVJZ5E9GoWKzbqsWpA43VpqTyCBMsSOIkLCMDXPLcwpHY5eUYfyAG
FCzrikIrLJEntb46Oub0lTGWs5ew0Dcl87ItcfcrOYXsTDXbfsAhueetnexMEDhLJ7sp6jpDgTS8
jL3oQ1M1A+mpkUVIZR0FbSQ5//Ia75EKCUHU9AE8t+JgQTQIkjYbT5U+EfRrXWdJZkETIharaBzv
nCYlNMKeeVPu+tDMkl0xEryIXZXY68bnoUgomOBDkAwUPYI6lUEhzU2kCWuDXgcjWrsNPCLDoBUs
1daV2MNVfHclat2AwZoR1lrVhKkYN/CLJNsJggMIlCPiPvTiKk9eJp+4GAr8ne7xiNHbPc41emBS
SmAGpeV5ctJlgx05JLqZ0hBuG2zn2G04E4v6WNfi3odcskeT+qWohkdYNRheOOquL+lTzN6G1Q8P
EmFwv2nEQlBjY7dXWjuPyEQ084mhG/GLRVk+zj1Zk2CZHHULSW6ZQRirVcMNSRioBmZWg6yV6rGU
DYwoeFphWkfp17w1NsbsEoQNeXM7F06w6LjaOrMXPbpGcZHJIK5b4ffhIKvvFL9INpJua2SqDhMt
N3mlI1THLsFNbigfW5GRgSiGeCdF5W8FFpwU3Z4dLFpWXGHCsdqK5uUOnyN57XjRZ71rMUcl3Gif
TPl8JxeokH7nGOFSuFQ9RuPf6E12Xc3LcG3qdVjWxMWqrl0xE325NnFr0MgqwDK9thDoj1BDfHe6
MPX9WtNvoFr/ZHrqNW6cvWt0w4U2d+Fh5DBr1DHy8nELK21fJN81T2LK73T6xeiy5iDz9pb0JIwB
ErbHRHoh3AF91zS0t5DprD0eMHuztg3QquyMdoADNNNPeu49opvA0S1Vr7M7fImG+HNd53w/tXU3
9FduHT3WoyKSfK7iF01DuDmgCEKaosLYci/K9569pt60vl/vcw7HABsMzFAQ/JCJqBsXIZq7bKI6
07pMD/uBiOkgRzZ7nUf1RHmm3aLRHr0gL2fFkZBF3C4ngYQU0yS7xcN+vuULflna5JuFOJ/kz2kJ
Esvs2mASOC+g0Co/FXWGr3CaGiXe+SamnXNtFRR4detu8Lup7iZolQSOzBI/dSffZ6kWt2FjIloN
65yhrzkZ0PQAP2lyGvk4DV4B0JmMR6rq/OgT1L0XfiV2zaLi86QPzq6thoelRYWP6+ON7w3ZbZVq
xnc77YazSlLnhLVEezCLJT8NmBns7Em0D6JacH1szVd6+OwqrwQNfqzfKBWPKI3q+GKB2IX/w96Z
7caNrFv6VQ76ngUGZwLdfZHMOZWarcE3hCzLHIJTBGc+fX/p2lW77DrwPhs4Nw0coAoooyylxGQy
/mGtb/Uo2M+MjGEOLMCv7Ro/dE6Y7HaAXLPt2GqsNebe2K7QfFW2s07QDa5K4lEJgO4uQZtAUFDU
AZgh98RrcntjpUV84yEThiU3f4HwEa5Ky0e0W3DFKGrPVQ8yVefzAZg0ssVxuEZ+R1nRpghRZfgZ
JlW2VoGP7rNMEeU2bkUZpJf1KPn2bTgyTqTJIkCV27UEyWDhBobfFrFDybcpZJIDdePBLyuU2kU5
bC8sug1Pc8KAS7faFJihcxjRNFPBfZ8bzo5WmImLPeWvgwyJdo0dU545qjmFRrqF67kNT6Ayg1UD
yHttxb5L8HoZGYy8V7Ww1MmfWxO/bZHtW0kSstYknKMkNE+dVN2xre1vagHDggpqdektrCW7Fjzd
NxOO3dtc8zbWEkNpKEEoFcUYGajKVl6ddWuJnvs0OvltZiFulHV5Tjz/qQ7Cdkd9rYDLcvu307St
hLkjxW0gZ9WllwFTfSEX8K0QbiJ87D6WukFJ2J1n5vcrPcdMuG00wYQYs8+oohL33GrsUn49/Hm4
8iK0xTyVXTPep0B0N5gnXYqW+TjySY36C83A7Dueka7QcFeGL4Off8HrQzKDusWpPB2ydrbWtJAn
HtFPcB4rwCDThlaLO5kpf9QN7bji02BeExdl7YJpZIyycOgy80W1Le7n3DgEeb9ZBk9GQAuqkEZn
qZ6VYzA2Gccx2FrMmHl23ltzMvMbDd1Gfg+iD8Yo0bSDnWHC+8OQyURgLeJsPKa4bsgarr5UXR3e
5YnBGxm4OzWqdI3icPmEouKWuBwQPo2wsNyaWwJw/JVDojOMyhrTj4dfF9SYnz+WcfoRCHXdLtZJ
Bt6bLSym4m+dKHd9F3zTA74/M8jmDSknedSW4VrlVSTyJl8vavjWdODdC0N+TpWRbtRl9N82RiQt
MriLJWBWsuRhsq4qZgGpWChb8hgqa36rUx7QUdtrb0Lm6/g3+BWto0FN3yCrJfVnHGjKBzVr/hIn
OYJ3sBFmozZVO1V6nXY+e33v1ACwweUXefnE7maSRb9lioMCp+gJp16ErzihZ9VfsVHWOwfWTLjC
IqEPWaFYgPBU61bsDrVbUhqrFE0vFXn3aDhe2W7LALXnVhty1JHNiq0+efQIM48Pq8+2uRMKZa2w
SoN/aJg54HI2r3osMF9aOfmyA4MWtkwsfl83/3fP63cf9fVb+dH+78s3fqe44DmXdv/3xz+2v/85
+agv0+8f/rCpuqyb7/oPPd9/tH3Bl/KN/vE3/6v/8z8+vn+XfzmJZ7/760l822b8Ayb+x1n896/7
YxaP/chEkiFYFWM++sG0hP0IYzg3L9qKP8iK/Oc/hu62+RuuJIR9oYWe0PPd4N8Zuv+8MQ/dy6wd
nxNIWFStP+Oke7ML0m5IE/aH1XI2L8ARG6R8tnKKkG25maT6feoH9d4IKHF/uSy3v+/l/4o7ZLnw
47wfladLIpnAOmjbIcqpyz7gL/N+RtHKlQT1HMocBJufYOzHtc3ncikR27kdVudOuSAF8epwCArc
zc5quED6avrYTwu4IYphbPNM7CXhJqtQzCw1ZYz0iQkiRLjZQGjRSL1YkGyyfjnFmT/3fC4bC3N6
B/fNB1zBT8kDdk7JAbj+znKDJMOWXJFtutWpHeL0QR5yjy3EB46EhTcYR5aRFxDBd2Scj7LmWLsT
182r8KLzY+LCJJiyeSNgc9kiDsWtCxjlMCNW5rBJHer5fTE3Sa8fRLz0xjGgwhPUp7xLX4fETrzt
GPpU1uYQJ9mm7JNJc8ylhvuamuFcYzui5E9PdWez+F+N1NPjrbJ8sMF+EozJ9RIaabCtCXlK7gk/
9tCXyFI5pF+UJk/ylpnZ2khN2z0I5/I3E8gG/sukZVPtGJuipoFjArV6TnlqxqLFziLGYLGDCBCa
IA9wVXqx6eOVqpIv5TInN4M/15saUz/TaX9WzYpZVfCy9FNn8EQepw3rbkBf3rLu+NNl84/bOFfD
tU/J2kbSTOx9gb6CHsCq12McDy+aDKAgLHalLi90pIA1crht9BDkkLo9zjoqEuWo5pZ4c4sbpvEh
+PRZHRlzGN8N3jx94iCVL2ZKEIdfVGlkY7uJuky6H0Y15fcoeKYVpm21rkIj3KZAHQiBD+1XQEcc
emxI15mvq0MWVt3RiYs9UpfiPi1yeTdMyPBRgBMjWY0K7uDoUXxUhymcH2EhkH1jhGH7xb0ADEqg
JOuJDv0gE8JTzbErT+j1WviIDgPYJSuoxiEnKEOku2Sqw3cPOFdBQ6rz2wErz1sycPRTgMzmdTgH
HE5dLowj2A++ajYr805fEEIjWLkn2yoec6OxXj08tEkELec9szzx5AV8qJzRdraUE84hoa1mQD5B
MbHHjzhug7eFyeUmbAhbB2mYdG+MFzf5wjpbpKOzks14GpzUvSlkW2ztYbFp0JK43msW4QfMP94Z
Zpl4naw+uBZ+BULNGrtDmEswDs4c0mHU7WOLu+/GHt16L+3SPsE6nK5xzbBTSxqX7I1UXAOFyV9U
leavvKPFbpp6+9TXS7Hvq6q5lmDi35uk8+Io1ol/zLS93Cq3G2iqEHfijhHDKm4Cn4qmY9FtGIzs
DZiaZxLP7btwMT1oa3wk9sWkY1YHQZYdKxrfm56ByNWg7ewZCQc+fnsezXMjh+zcpVI99rIfH+BL
N0ccWtXGgAv6yjQ1f9KD1506twY/zaA8J/jeX6ytKNPyFr10fAA0P+66xUzQBIXBVqvB/eYOWu0Q
NM3PUw4IgkHooZJNCbMmPmN7grjTp+Zq/L4+q5KDFTan2TVnRqo2hbHTf+2rEYmCJAjPRGm3qly6
NSFaHNdZ5W+t1IQzP3nqC/7w/mSqMdsWzpxFXuWMd3lN25uSWLOvdW/fIQmeX/o6W95xLw53XJD4
ZkKF8swGQESDM5ZrPifdui6nHCack+8aJ/cU2IZafiIspUAXJPi0GJeUEF82X+FhdbsFBFXLwsC0
N5M3OVBTdHcLirSymIzOFwLokIINca1vi5WywjHxanIr00gx8HgEgzKc07i8bZhTXlu1lbxAHi52
ixuqLQQn5A/AG8yzl0nzHHYyvDbY3N3N09BzUBDGeFXXotiFxXRTqL4BCcYHFWl64qwXBsxlFI8d
RTMSoGNT09JgBMgiLkZ17hWjIt/mUcO0Fd8nggdLOeLBm1muRWZnxFGrvPkd391Er2oEOqPgzfN9
O7fqC5tKlnq5PHKWIHQm3fFzTst+KFoXZSlxRI9C5+194nf+NbovBmmwnxBFzVJ9aqs+ZNTsL+eB
wvStqXtWxEKM90VWM03k0+NfVeM4fwVplM8RAiV3X1XueDSSctjFrRiuh07bRzhHF6+PUk+j67a3
k0v/MUOW29nZlN5xsjWvXtjXX4Ku8r/NCI1YtHQtJssw+cr0I7/ANZjjdQ2xREF/mqfWXfvC7Bg0
8nNGodHSKQiZjyuzLYa3pmRGhqsSTyv8BAN9SOqoJ2Keuk3t48si/iCLI9fL5bfKQftEgIJ6DpLK
8zZOnZRf7CQJdpWa4nMv4uA0BJUBXmrRhzQMGIlLYCmzxfnGNK8rrjvHDG/yoGzPUszdpifgjAxN
ozvHHRqX3JHMygufTnao+mdiCFAtNcyVWR0Cl1219tjfNUkbXC1GOH+Ydl/0q7DPOK5DrvGpGDvj
MU1d71Vl5BJOkuUONTcRxZeHNpl9yxKTxmMGNSSWyr4maYTs5Aq2hgyKWazy2A12fseAjntizOzI
Cg08wII0van2gzeJNH1rZvYb5pP6bCSV+xAwCEfiM9lXYxc6PAZn6xbhnBnBlzhf3kBMN7bYLV0f
DXOVXUC71rkPuvyQWLW90mlV39aJZX/yg27YTL7BCFnV7s7wcoaYKIM36BAtrGIZUcu13WADNts7
+J3Oe5fqogNJ2SzrfhzCB+EiSKhUa21NtEyPbpynDr1q49zKWMEXsYYpvCsScJ1IRutoNO2rINYj
b3vpmKgoGM863nQMOyvYoDVTH2mfWR2EMMbQcaf8PYuvJmqLdo6qeG5vm6VoiKFs1B4en7WfIIFG
sESMaByXcNnFQvvP1ALW42SH+YyLE2xcUBr9awlpehvL5sVVhb8x8vDOtmBx8fuZHXXHSC6HxSMv
WeVdngJu0cbBQ3aBuZqRbcyhrZb3rNGlYg8cj0ern9ZuzfFGilfCrenQTuXSvY2pTbeC4LdTD7gn
Z6ut/Xxtk0acs+Rz+msb+gVNt34CXl/e4Md1mihmVbXjvKu2g9ODTexoy4xM+HsLts2NL/yJU8HP
XinQPKbNOcN0Ncf7vsljNtgS+KsvAPge3CIREXc2psC6QaOgnSl3sUTVlK9Di1uRVu/e0zpdjYs9
HjxzxssIG4bPCSJlbo7QZ6y6pEw/pbWTJo8VhDcU0xOVagUNzRwfBrNIPpmyLj45FjWgg1jBiVhz
qZtGduFpkZeo98SND0BU0bAkQAjQWdScYIyr40PWD0yKsFLmx7xD3sEqT2Q9JWZY7+k7k/bDLnO/
DfFgoqRHpgBN4yoe4JSgENNHt2BzjFXePjOgna9DxRA4lFkSdYmajmk1LpuEwv9lYcKeO95j4gHt
663sGl+B4Ld0jqX0xWfw6BYzFiJXVIyUYuWXOFuWwTrMhBCvhjG116oHztPYy5tOAeH6xl3QMEwM
Qf+sC0zxjNHZDNVdNe5MMiIiCT97okU4ZYUoNwUhcbwt9hY8uhPRJfdru6C4MYoM4FRmn1vXeRUt
C9Fp6GCbSlmspQyYQ5YFF6Yc2UOUjCbQZjUr1ILVkY25ze4v2KZJNR9ZeNyks2M92Rq7ahRMdRmZ
XqW3Ap9VtBgTTnrZ2+ulnun/nRLD0zSuliy3X2fDmhh6Iogow2AXxq5/M3mpjBqvQmvJ7fdmkNyD
dz9+hEPg7Rsjno8Mz81zWhbZekhGJ1oCzTHXptkha3xsl223RKjq3Wh2+nHV1F1yXeGh34Yyn29c
k18uD4pNtnQlfUKjOwaRKDx+3Rr+vS31LAQf7AzhZvw9XSqNGV1kfZAd8rKlrTMmiNV6CXhKu/AQ
HxyzoiOllqo4sgEh/frFf7Iw0JVeQlIs6+LLIuPuZyQQKjK2MEuTHcQEo3zJiX0DSZPeBDKU979+
qZ8MDJeXgu/Iv5fu9+++wAwVlgeggZdqLNCkfEZm/OBzUn/8+nX+Fs1xeSGE+JewFYAo3s+QHlnP
MyoYPzn0DTNrDETOweu/88Kz7lZpiU1jCFM28rNTvjV+Qkc9LuDGiFe+NNfs9KrN9x/pv3sydM7e
dd3W37ofZ0Hf5zv/HBT9/zU/+ldKzpZRj/55eHT5oj+GR+FvZohzEKMstyq37z+SOUL3NwhWIG24
k/4cHTnmbx5aAm5oGEfc05fv88coyfsNi61Fky6IKMBK4/w7oyQO2x/HOdguOD+4kdnm4ql1f/Zm
auHlqlcJVA3XZEtZFKBuu5UDsIEBrucMr2ZS+kAw3Po+a+bq+qK4XKkAmERUhX2+EX5mPuSdXOaN
tiZ5k1LkyJVn4PIPfb2bwsw+dlUvkKlljVq7Ad4u7s3QYYkAvGQ7p256GoqxvjITpKar2iquGsYX
t35tB7vSDNNd7Mf+zpFUklFSGoCqeJzslizVB6Sl3rlvL6P6pU2NyO7xTgB9BIlKfsP4WcLh5dwC
uRDZkHh3uXHZPEEFvyfhzxnhjIzToTe/SLnUb8hKgvMi7Zj6bAo6jmBcCSNS0q2MJ+9mjKcAP4MX
kjx4Ycke0E04e6kt433kcP3mN1l4Y+dVcKjjUn8kkxUrCKSNuM3Spr+Q8vS90zrjMZe+iYGBJzOp
Grn1kZs1CgcXBgZqNZs9PGiR68SsklPbLMY7Xa6m3mtqJPiLqg5zpl4Ghh8QuC64jTQYPqVN1z2E
YQd/kpQO/eXCMXlhqixp3112lswU8h4pVIiFLqgwOWJVWVlmRrXuhtJn8yv0m8Kj0TN4GJ950rKV
6KviS5F13T5csm4r6ILeF7MvrjJT3xhL4h6l7pqjjpflRF4EMVmu3259siCstWZvndLq9Zbm/Uzk
C6oJBFlcpZ7vRpwaoyy7OM3CjyNdlx6/6BSypBFxfyUy19jnrpnuJhUXjziU02fZZZyPTOZsVsDE
V2xKGjyBkAR/GporWwKu4N5D8uj0594Jlxb6pmnL1SwgDKXLxe6fIPKMxrZKKR5sCiqoLuO3DIEZ
R/50MfFVBUaIJk+r2wwey8phnXyV6HpZw3PtV5YOynPTGfmVZdiCPq4c0TUxSWDPQRWaPMWMDzy6
ksT5oqbRaZi8uOyNCzbpNZiRS1gbngmWhuzxgkpcQ6MI75J4TqMxMDZgyhGGzMPa0+51VoTDO3xa
eTA18qMxR/S5HtqePIgqnU7LgloQr0FXfQrrPH4h/SExjig7Vb4JK198RUfW9qvUHPv7AW5ivBlm
KV47xqUsBSvV34m+Up819poobEbxJhELsfKcu/mSUFMEe0jHIxkxARVhZs0tNG2bWUDcwZlc9bGw
n+zBTE8KxtEXFsbknzKNnJPI14x7mqQKPue+6Z+lO80mkzUicBdUbmi/ECtfCKnFUKxp52pSEary
DTNJ+InB7xfDHJu112j7LHpv/nAbjUS6FaKuNnEQVy95wooqKjShK7xZlX7tfCQCK3TPzSGI647M
joF6t2N+fXUB+K/ZHd0xfwwZY2R8ntnikG/NKboJcDpFrFzpDIe+RXLUZGsHBeVmGTvIe7Xwj67Z
whGy0zzgOjA8qfueJxpSGj8iN8HcDVBk763BcHd1ZsppbYRd7GwcX5uvFpGSqKl5mA6W2RCQUJVZ
Tn/ZFIdkJp0CMRWOKrK9unsdZA4X1i/zZ6jyitgJgVKSh1ncH+IE1jvkzbH5zJAWboSDdXGvTEgL
+DLn9sZptfFeuz5i0VbkA/3nbPBwWYDd1nRXGg2tM5Bun6rP3jiPH6pIx9fZqcTZpoEqN93YBjNg
2FnHURjbino2jOUaAGiJwGUkFNkyRisSZvOQyLZZU0qNCAU1CYsgTNZe5R+dZiZWhwDTuxCCO6Vp
Fh9yyWOzFo7aTWb5SLPc71pN5Z2x0UD7oqGUQMKZK0Svg7cBP7B8XaDUlJtBEMlQ2z2j1jodYFCZ
QX4zmaIY+pNTKI8IbUePTfa8GAn78ZmiXJovwSzplBH6sBnoQDnObX4TT4wIrTD3bkQOJWgRhb73
CJC594Sf3PJYnCjH5XKglH5iz1ndKxyr971oY2tlZnn8NEIKARCPaHxVMRM9XkICnoLKu2ySSfm7
D7KmujX7qbyFw8ZwJCmhnmbSwSCIGBeNBhI69Nk8tjntoqmcs+veCnvEbL6iF23L8joPTX5cTxIC
3BYs8Vu8f3zUWSCthG69KyBU3g3ybuvsulWMCmDp4gcn0N4hz+T4yC4wwCc2sF21F2O+qYykL3ed
oWrsfXN8HYLnf0Cx7B8SfvF3hJ3LYZy1u4NrB545VstnmuOpjhZlLPtEFDPrxhlJDrr/jeqIH5Ho
h4Z1n4nlZHWLf0gz5iHlmN+qogccpCz7Jq4R/vOQlRBCl/iierXOeqqTGqawQzZL0Ne3CWyo3eV6
Pup6ElfwbplMO4a/y0H13kg5DAgirBFrRrikX+MOhFY2sd1faTWB03NhGR9nZpp3ltTjLpzD8DCI
vn3ScQ29WrjDns+TN2MqqDUCJx8dajvCe8WFNptrzB8pagg7VHejbZYsOXKbjBpWdSQTZEB5VeHc
oFSIz4sfToeWgxEzGEF34FzfzToL30VrW/WKMHL1QqZR+tkcY0mKjdHs8CwbMF8HHjXcfimHtFPY
bkSgjL/NhlzeoqQdP4OvHdeyE96rVWfBjTVXfPLSy0MTloiV7ZZxdJeN1pZVP1Rz+AI5DHrTkJLR
DaVH9SIyq8BKGb+O4WtmxPIBA2+rbj3NQnNv+3DPVovnSbIXcqHMK8tDD4T4UFSmAu8GBfPi9+DK
19YyP2iVrKfQhmttp56/bULPj1JQU3GUJ+PdIiw09J0u2hLGr5G+uI3tZm+Wx0c8AhJmuhs94oxA
1klQ1eKdhZhon3d1IjOzP3LLWhpV8VAxH3hT8fJK2Ts9I/uv3vNhsp5CPCWPQiXNEQzbo6r8eQN+
tDz4qm0ivx+wW9bTvVcsrzwAvwF3fcs779Xvx/4LtBwqCIfgnFXr9q8+kfF7zw+KWyWKzeiUxhVv
DnZGDSW/wlT6zV7cgYFJoyRDbtSc0JX6rNhr+vE72x3lHCEFTdWq0YhaHwOv15tysZa7lCEWDKp6
dEvj9wb5f7qnf7l99wMgnr/ghdYVkcc/ueC+f80/mifW7r9h0PbQIV3gP7jg/+yf6JJIPUTxBBFU
mEyNaJX+6YIzTZP/BUIBWSoziT+7KMf5zYaxw0rAovXxICT9O12UY/+EGjAhlZIjzT82vKWAEciP
S/EGdRKJWzN0alR+FClGiQgMbIAbucqT894HblghN0qAMl8AfWfS5IyoQFDxtY3xX7D/LS0422aq
JtKdFEojFgfe+6It3EdVFjhIcZv5qkZbWDxni6Ou6nYxv+Z2MpER0supX5nA3C7BZTxRd5nh1Z9w
6PjWoVXhMByRAuvxrJkxbVI8ypRNqOFwX3nk5DDoiEQfdyv0XldmPzfZCiIkYUF5tVhrFDKfByp5
ntIpuqdhYqE154H4ACSBBOZ7JG0YMHLYsDtHWOV4aXYmE3o8MKb394bu9WGoyxwBS1ZNd4Mydlbe
W+vaCp9Hcj12qVF0yGaT+vJToY1/nlweB0ic0e2DCkxDwTLzIlAXAoGbiLt1Xxc5aypYDS5HbMWw
gzGtbhm7xShyVrzzXGVz6Wm9rMw9QrFvb4mKyr3TKHz3nStCzEAb5rF+XDxClAH7tYZz8nUyyU2u
CUl0RiJsdjpoUpKmJms8w+smp6i4KPboy6st9opyENHopGln73N2NPAiMLE0Q++fWJ+DMVsiQfVq
sUJPZZ9zxBPQC0ntIEqsJgNbizDHZMSJC5Tju5Xd95t1YzGXHGxL3LctlFDEwcb0laq+yb+FaMS/
EaHLzubaqlq3FA8+iustD/wLcwC3u//SjPDf2NqFwxURTvLoYVbgQmkZEw1c9PkhQzlpb3Qh7yis
9cbMqB7jVI437YxZwsyynNsS6eh6biR52mzOj0Eua3KnzGVL8I/cSXIRRdZM953XOwSTGIW1zkI2
GlGhuuQYBJTlkWNztSMrD+I9e240Z4U9uweSufWW52v7VltN8W51StiMKFsPpae6rMeDOEDgTLQB
Dq02FMfWxmDg2EnBRBZh/d6p+s9p7gxdtNSOe2twBV2asCb5nGjHPCW5U26xeRq7wXawCfJyZ8QJ
zU4sYrqrCJi7KIWpKh0R+4isgrFfScuUp4tDB6EdAguqXK86DIRhXGddnFMQdYVzBVZhOVKFoZTL
TdZGPSeTtnEfmlhO+iK59lKGEuve8a4AbcE1nWT8mZog3MIuHegqbWcjlayOvfCbT+AerolPc+8u
d/YNMg1zzUQAS6ES5yWnoeTQ7qLAblwWguhiuQKN+a0Ws3lTuzJ5SZoMUJ5yYCsOsti3BZK2OfOS
XZ4PcgdoKybWqGm/WiMoi8bT4UPiGKhCIPteASN/WizzprJzDJtYMa7kMrjMShVdd96Oz64ia2GV
y2nEmGNbr2T8sanuobAyXSxM+96znH4jICx+M/wA8XzH1djKJe8OfVe8A7MJcbQiTFgb/azClRw8
56GxxynF8zHU704wJ49I+xMT+Y92v6BVJ14CIybfozEOqApAQcITXqmemIXRxMIiJ8yUQZ7n5DMC
hrCrJNhPrkcCB2FCwar3ELV2biK40fsuO4kw7R/ZkqEb5Po8tpO647bG3mHNpEMyJXJlHO4NCPUB
433lHwNtwFWEJB58nbwqvQ2LINsPcV19ZbYVrguT0mfVYJT3NnPtkLxmCtKL8vuu1MEBX/O0ltzd
D4JIrJI91myxALXjaOxQSprMKebJxTvp+yq7zgEdrVgR25/rIiEsPu2xSo/CydeA5txXNxjDtS2a
5b5mcBbRTo7PSOaZoNt5fbaKhknH4E/vpIrh4LLs7luCDJvVhyIrrkhbsB+W/WJhVbxZBOOogbij
27ly660ocEtbyG5PsTGaD2yrFhmxBJNqW9dtsmlrZb4Bg9BrZ+rre5Ix6g6zVoq5GUbFymGl8w0t
rrmvhsp/tekIjPXCrbVZeOREaTcP3oqoi3Fd1Tz5g5Gxhx8M3tlSSxLxibTZUwnrE5Sh5hSMbnqs
Q91QvCHH7eBtcWXDdP7IZt09uPjX8khZMYmh5lzQ5QjcCfEEnFYAyT8sep77CEzGBxmx9oaBf0gX
a9VnDH95ZNhKX0HbHe8K39iw+g7ParDcbIUxMo0JozDkOTWFWgvmJZ+LdiCtoy2as98EGGdH0bLd
J/D03gknRoUBeoN6ijP2ybFDjAMBLDd6aORzyeb5OQkqfYtYO35qZJyd+gn4Z4re6pPQzrxJzTrf
zYg3N/HcKaQSFeBUh9+WtTKLvO5QFcuAK9LvPznkOc+rzGmrtcFaO/Jch2QVMzVvFRoue+Mz3zhW
o8EEtJTjfHKZHcoo0yRaBLVjcx278cWZUF27A5ZQLJDsHnE1LkeRCe/d4vsbUR1X2S0EvhEtqxk+
z4uLD9FZOOgDwpkvwURttkWa4V356CQfyQnVhFbBaJI4WRlUrINxuupVrbcIoECQ/s9q4b8kTb2Q
j35VHF9/jP+xfysblnmaDdLvetfD1//zv74zk/7cL/jfVwasiUBE/GW94Fu/uchFLYSiF1rh90zw
P8pj9zeIXwKdJCzN7+LVf5bH1oWmz1+HPCGoaP+95O+fF2ZIVPlGPPkJmAsCeBU/FsdI0SdEhaS4
AAlHzLfw5La85OkvF+U/EaayLPkBI/X9RSBXIU/l9/wbQbCrB6OBLUcchQSgM/ntAoR48CN0V93m
1y9F7/K3l3K4LL7rmL7p2nQcf1XA1iXPojyxl/00ZECKi4wCwsLoIC7P/wKg2b7EQEWGn+sQBYW+
8tcv/7fLifweCCQzCiFQHP9MA8MQHLijZ6G/qMZHq/SfA0Qiv36JnzW+weUlXJotmIUeiKyf6HNa
G3NvxkLtXTE+Tq79RDFWRz3sUspqxV36Z6/3n7xz4P1+vqAYBlhx0qI5iNdD89Jd/UVSbCcKBQol
wB6hI0k1shQNyVhGeZRuXB4LbPZOPCpGx4nqTM5CDEZA2kL41aXUpV63uNFWvpUIeFZEkR/wH4bw
7OshxP7BRqtetVT71cpSAppxyYBUM2g74I2xv1j5uEuGtkPmdMkF0J1pPc2EOFzUqH25ZnZhX6eq
51hOpb3uzXl6mmkcrqi3xmRlW77moa7C8tFD+/FMMlvNuBzJYpwQ0el2ZEN5Lr3g4OAfBPadIJQk
tScpoWaj01IMuFy1HfplOSBjOWO2GbZ2WX5z/OK+zpx3+oy7jh0JnUZQHhtz+pyg7eMlcm/Dsxli
BbyUtWwWtZPKRQ1XibXb5uMHxac6+ETMNDM4liyk2HcsUhrHevSuJ5y1SMK8+Ggl9pNP/PYxT7Mu
4rS5WLsHEFhG+DgB3FrPIs/RJavksfNgXPSBjMxwSCCAM4cmEHsgJq2INznM6DNNSdSnuF5i6K4n
FwGz3FAJdDNpo3MSItLNASRktR8+Kh+QaBogj7UC8FQNuQIQZBpBP1NNWnufnMo3nlM56BvSxPg+
Afi3x1pIGied9XvTJqUt0xoaGdTX9BSXSp9r0m5J8SN6m2EZt0ipmFbWBEflYyXYgvTWdsgK88mp
ySudBxo2I82s/rXPTPAWkTmLK1D2yWOWUk9VWS1WMSKpdaq8i644u2CsDR1fkauo75qFs7/U7VUM
fOUVdVH36OCd3WNTEWcx2d6+rLgXmJJl276rpl1V2q8pFS9dd4bHMfftae+0WXhnsp3bkb+pz0ti
1Ld9Ma8tlj1nJMWNYkNTmFs9EhtRe26SrJCyEjY7uWT/hU5/QglFHNuSercZ67c4toEPxp0v0CAm
iBhlylTWfZ6G5OiUscKwM94RE/uJVpKzfciNnYMx94TMREJbH6gue+aAZACInWUzH2X4X+xnjI8H
t2nVaa7NC6Mrceubcubc4I5m9kJmQGLe2bGa31rEXJcggepqSHLj1CWetbOnEN9QYbgVdjWIWcjS
/LUyFa+WSBsfT4jaFxc0pNO4SYFQGkH8GsiuiuIgCXdJHI+nieqf4WBP7YJEftcOJiGskgmd5ZiI
LON+ioh4pQ70ivG4WKm4ukw5t3FOGEWNe5iyiehBz0/fWO8+h4JtddJ15n3Gimpv/T/2zmtJbmPb
tr9yfwAKuIR5rULZtuxutuELoimS8C6BTJivPwNNSptmH+ko7qse9lYoxGJVoYDMlWvNOaZ2PsCu
uTSCMrkvGpMOvM+VxoZ5HtwGBV9cSJL2AE3ExLxhvAPT7y35ldF3+CmZUkYg4T5Bzgf0Aq953gRx
ok8xHfmdZZjvsJ/uB7rix9xA5towcjssRGMhFfS699DHfDrW/WhEbSebvUIe+NprCPhN2nq7ftp3
beI8CNGG29oqULXXvu5vldE69GXN4JRVo4NdOUX8pOnBpCm+s41w2+U6LosBtXHczu8bKygvWZAW
5DEh+iBbvMiGEZ8dBsZmpLjcQidn5muml9S0h5QNgHk95/ZNsiYdlpVVX/dVcCq1/b6o0DjbscUs
ETmYKwMOAjReorgwgqskLj7HzHIZK/Q7X9nuqzLJDs2Vo29aF3fXRpQ8eywJ3k0259Ml+N3y5FW2
PNKiLaJmXMbnZoJ4RjW00tiREM7b0uMBwsI6rU0Qo3yyAK5Sny7uOxiEHsIuWm5WWeX9phGlw9A1
HXYeejueE2/6VFUzg4aupsIllL5ADfgoUsEAKUQtuu1kuSKryDkHbit2ZQBMVi2+e0mA6dgxUVj0
TdUHxhEvjofFzv/dtxwmOzrkd+9ikeO/C/yHsp+sA8S6ChUEoei+nkFEFi5uRS9Mj7gbmotmUuIo
GE/eeJlVHFMjST4EYlcRHXMo55TLr9PpvcXKFeEiCvZcpPLBIUtiK0wLMbQxFPa923k7DwTk04Bf
5cOkvfTaI+j7qa+diCAauEp5K+W1stoBC37Oncd89Ih4QpJ4x03G5vmlLnqbDoEkIjeJ+xP743jS
ucOa0aF39S7w5tEdjOyyV1/rin874H/XAXeAqX5XFf1CgluL/PNn2X+ef6zw3172rQnuO7+FtLJ9
xra0md/IbX+IiHxBlc+C5qMLMn8wobkWjW6cYoRBUc75jks1+YeSKPgt5K8zTf4LtjYTZPUfDrxv
VRvmva+OvP9Wxf2sJKJuQwIrSO4KAuIGeBx+rOLsTrLFYaU8kv2OiLqWzrBDFSeLC7KWxAXNuE7f
J6LHdWVmqTrprB7epS1h8ocCC2WBKVhDAUFNi+Q3Vg64HtxTdjsl2wSUUvYORbiJp7cm8yKkQ7Aw
JrxOCgupKFKc+GGya/HMY/9aos9I+KseNM/n/VA0y7tehg+oNLA71xwINg3BlyTLWmggaeMtV2pc
vV88yLRdgQEwNhrM55DAFfJwjMy+q+uxOPeSPmZTBfgxVvHk6NFfAD4zXVdTg3PWsKy7eLENYGFG
+KW3JQyGtnFQfeoKXTw5OLRaMRhgL9NQWJaxD7eLS0T824V6Y5xLP/3I75/B9ux59WhpeRLIgYMD
9XrYbPNKnRYM1lt4c7ywFyNiG7te7cpeFVbhk86XLtnWZWA++xVGOa/V4VbYhK5WzNmPTPzpxRuK
d7dww21g0Mz7PhtCAoYYvG9SYjJgVGQZ/a6x54Aj84Aa2G4T40UpB9n7QDzPxlOOdSmDPjQPo7DK
x7koccHrRFnPslqL6GJCo8+ukU43QVsaX5Z0DLeT08VnMsDTTwaL5XWLIO3w9vn69VNxZ0sYR/z/
ycafXW/ekm99j+n73pSqPjDZ12BMyGTNGi4y0oVhR/bXap0bMpttC9FIulEDOcSXkETTlFwfq1iO
Xo+7Yp8KYpQOzrKWG3kMbKM2muK8uM1JS5ddEqQZS2WW2M8tZj5vb7VzAIWkIKVZDRX3Ahicc676
PuLdAcD0vchQe0D2o8FbPkryte5TBCvPXZv2lwH8l4ccYPgeNoL0IgpR54wQIrmIO+RM+QyBDKum
uODImm0DTBZMVAeqdw3oZ5svwtiJxe7rA04kLFyiowsOS85bkVbMRutxPhDYHR7K0na+jB5sLVxV
VdWQEEN2RJTYSAT2YW4O6XVRNvxdoSrbvdfAXrFpzaN/JnZGNn5OQmbR38UEvZPUPhZbhy0kWgYz
vqo8Au+IvRuDgzWE1l6WqfNYUv0fqgAGLAPgFf4yDVkVHArL7O+Hxn0mvxtKhjCf6mCaiZHX3dpK
Bh9Dig45O1VCXvi2R+m6J38abJvPyAspMNrqOEAOjnhYgl8om9veW6p3veHgp5xnDFmZa51VUjPp
gtCzq/BXr3CeYWeH7nLGuFKU9PFHZzuWwnnPQIVDYjWj0ScWjgcVXdvGJZpkW9tkKYD0jYt9PWiS
zZphjY+Mc/jFY2+ApHH6K8QCyE4CcutrYxS3NJbBLqUav43pk+rN0a2M801ghJQIEGlVNE6m/6wR
mV3FlpX8Pss8p4lDqtrMT7+0q4sUBvUIVaUBajTn4IW3Jq95XQjDoxbKJWArQkq7+w7/eY7k0Ep3
KtUAA42iXt5jBTJ3S96l15pDAtEPbUNQmJgPduebOGIxFoEZTFoTxyZpcYS8lgMMBtJ14ATViO5H
Fgpro8rRjLTnzRdj3DbvUuKenkK+vwO8dpnyU1s1fh95S0JoMR4Szr/eir0dqcQ31cri3ZidwuWb
+g2s6LqVW1na6YOHF3fhlE273ZZVfqGRf5LUKzMEgLkNQcrx2n4rQz0dUjOpt+NcvUJj7nYym22k
kp1/3czKeECAz+KvbBKVw3HKAbLU5YB2IVjkLVRpZAX0+qkPWczRI7Aq9Z6KX95Wlq4Y4i/hVBXn
suEJJevPQlC5PkWtx6I1of95lGNFJoiB1BJVFkwT2sHsMLLx6sOUsDy3NagSHofRvkNTwhsxQJgi
7Cd8klITvjuaBL3R3TXC+prdfr6GI9PMUdMsxMkpfNgkB4uLtxrg33Lp78ultan2ZxPpv5ZLV5+n
7Pfmp3JpfdmfmgFnVUp7wgnXYAPaov/RDJiIsbEJUPVQFq3xo39qBhyfF9H1DAOaWT/VS5RSNobY
AOU/DxbRDP+kXhI/tfHMMOTtBU0vITgD0Er8sVwifLxcxqTOLyWsh/nVZaBJDoLrD+7OxFrJYueM
nPvnY4b2pTJOjZ22Qm5p29ZHEPLmAZHN/EniZgLPYbZiO+WzXi6m2vM/c6jxo4y8Fbl0x5pTODPW
TVGOs3uPaWQJFJk1Cnhd/6nE9cyTPYNGFTti9vI0vDEzY/Df6UZpWL2tNwDyvHdqeK9bb9SD+QJD
uszm9USM61+mjVlX5wyh4nYKfE7kmpEhoXLJIoopvUQ71LXBfWr7JJPnWyTtrFkWABO6d3jdqv6h
BzVg7QLc+qX5lHX+QMB03erArra9WQEWzmDzo800u99To5d7v2vnW2GXNQLNecx5qTcby4e2xqB1
9e8D+H8bSlgeTdi/fgBfKN1/evzWF/1xWrF+o3tnBzR0QV98dTd8szz44W8+1gbXQ2H7Jsyhwf6f
mYS5PhTMUjlGB8SK/XlcwRPx/wGu/mVc8Oatwa5Ef5Wpwc8dbkt7nTbNhPoP5nq2LepE3DioS6+X
cvyHkVEuwTEOoFYgEGiNIWf8NP/g1IJwP7Dqk78mQi56JkGGKuNx5gpcYv7/uwyPn41YvB8xGjZS
KeRQnAp/WlkoRm2mmSbvV60Bp6PZ0kmBgE061UTGUT3E+EudKbAeAMzZD9/dB//lHPhLL1+g+6EA
4xSI/m5dJH/o5XeG2XMcok+1SACJVVmx8pSWDi5na4FQGi/hY2ybf/eVfxlY8K5cLcf1iM35FYky
9GhGxsAHi1BZ021BA+gTobVkcIRrakFi/tOcFChnFjcpb0dYFb3mn4cwuWnAleJUSRsnbi78ldIw
c3zaVYFDwm6svZe/vqw/J1K7rL9vsxjGdVxcNGY/Xte5t8wliSd9VM3UFYgeYhIiloXZ+UpfJRJo
Rqp7HZS1e/KR+9/BK6gf65b4GzjUxVIzZ+79O8jdttpILRSE3fWoQj9wega7+zd3gfB/uQ98gbiJ
Z5/JDm2Lte/w/UynxtuY5NWgjsIneffBqAA1X/RJiVw6aVbkQ5dY45mSeC6RdA7CeuAZnO/WuNWj
bYLIOGdsDCc8mOI1cXrpbYj5415Co036zRJY1xMAx/SsTZsMWdAd1nUFV7OCg7pGQym7Bz5jyAzQ
02yTTNmKybo2pE+6lMKPe9Ea83QHg226jTNaeZtF6kZ8DCixZ0wYy6R3QdHZ+YV0xHTrsUp4URYA
PzuS9mE8gW8O47tOUvICQs87BwdrPxtMmki+tazP3KUTTmYL4cmEvzrU7rupnsfL2kwJVMK9QleA
Pg9hWutCIJnmY/HVRL0YEA5uw6KTAUmwXfuichsYjjSd09eslEnr9iUg1vXWxJFWbcMOFukWeEG4
g9ooXgNJ6vfXaI9KxwQAp8N0Z4AoeRCDCqJsyYgwCYVNH3kOpxevGdjDkUciIHsL9FWu5Jty8GVO
VvaEs4R1Fj8CPSRiRiHceC0V1/Et1yOWrvWgCFO9W4IufBw7IrY9Zr13WdKHuw5ciLOHeUPGRjgZ
xHn1Op7uvt6rKeNTsofpsKqrrJgoQ/KGvoEr+LL2rNv+0I9Erm4NORfpOfTjrDqtKeLVsPHoWavd
gPX5KdVj+Bi0rKcRIiQS+Cr8kt4G+bH72vQBuTFJy8OPGu4ynGX42NIiZlhQZ9wZ9GEgmTNiAe61
ZqI7bTPd0mMgQUV7NpeUp7t9md7iiJOG7gwzurdMawDNJ4WKs0V9tH7X0Q1LlC/kAr1df3cakICr
wN2lhe9H9NfTftvVoXn99meGGA9ORQAP68aSHg2+67vUH3Q0JmG4V13PDYySkKMKeantse/zOL4A
EGK2IAlHBexuCkKoxeh36FJRSykAnoiMrgdmVNDngqqwp3tUnibajRjlit6XKNZWPvGqqQMja55G
a/BJpcdKR3BL38NSP8ymyseoSwgUuWvbWpSbtGHksKlTNcSX9hLOwCcAt+rZ6DQuhX7Jbkd8zONT
z+VnHkPUzKHnyInFGWc68GON3oToSvQjWnCd+4fWidPdtPrC4jqc9yHciW4VuzLxheQY5M61CNZZ
ix6PTNQmRkfN9OBBK3nLfuNnN+ZrVxQeuUWp9dybdhcxLPI24DgsoKfpcDemHUOtgV7jh8Et0LSm
Tk9PAGT3dKF9Qx/dAHLFRpmIRTdms1wHUiWfup5lk2aHf66z1LtuzTokenpx50urHiv4GhO9OGR/
CSq1dhk+hQwHyeI0VJJF3NwhgKFhqglj0T3tCd+PH526H2r6ge57OH4GKp3utbZ8YOZMJ91jhw+B
xHp/DZGW5ho0OBckP6QW/7JhXZ7u2Oa4l23iqLOjZ8Ts0gtJk1i8SVSlF/O4Qp7zFRhFXIvQerp7
ywtdSVTXrWu1LzNwuBKu+Pg6NUHymAuPBbOxC/hCZv6UY9Jatm/R8rHZk2Dpk5IdtKGZghKJ64ht
tGGWTfh3BmGl52ske4KHA4Hzf0E2tPSt9aGShrGcltRVwcmpJCiDLaFuSPOkhQHAsx3nI6RB4e1k
zaE8bOPL0WiTW2gP6SkJwgc/TbvHcpCvczWtq39mPTIbUlEOieea8RHrvGit7IyLxf6gjJi5H+Yl
uD7h6N8zcSw43ejxJBwFytoZOwj6qeVfuHEjg31Im+dmUvak9gsG/SoN2qiZetgBukKghsulw4FU
ukIzPI/rawbN7sfScvjzLTuWfC/S0I4/hsGYkQXXtXGzX0hGKKGpFgrOQF8YlxjxFZeuAsu30CF6
nv0Ar5xbw4pIHZNUjIGIUwtSNbaJuH9ppoBapB1EcOmMoDIKS/OzdiHZ6RkWGhYLt0zkNT3VGUFh
Hlwb08y2UCF0iIzS6z+R6BBeirfAvMJbuGloxUx3fWIGK290vZVoj9H5SxvrmkMsa2nn2azpOYaZ
R23zabwhDS/7kZ8G5GfIOliRpgg+cc1hzUADJTTe13TkyUlCoMRtRqi0XbDeSy2Pc6qh72jCpEF1
Cy+4ZCptbPOg4Z1zNhOMrPANbluHt/fEyAjNn9nHG8kbO/Hivi60vdT2bQn0mVDKHQiu9dYfTUIs
h7EOyBZrR/dyVIoWfynIbJeD0X+qnYKdw3Ikd4S9dOIVDul022eCdbp6y4eaO4SPK9LTp2KYHcs7
fP1Y1luAVZfmVBKxsSak+ViTLrqSAD+UANPtoKl9KwSXO2spITrQG0Whh9KVQIwrC7i/szVl2LyM
BH+kN7ZYowKzquW7jnrhLWsaWP6d27UliBJOyS6T9zJN1l7kGJja97fJ5BKsW/QobWHmzfeEDooX
L7VYWGeJkxTEyUSzHFn2mqVuJQ8jZ2RY3Sbh5u7iBD3rom/dl41hnluVGl8G2YWHVI3htOEzU+Vk
hh8+2hP2KiLm6SNsu3CwHhxJRO0moa1Y7KXvkmmVTNl6RTtwUfBKUSNuVRsQ8oJ+Yajv4/UXzdEo
vy5qTbIre35Gw+o4NQz2YkoTRUkL4bkMRGw+WsbsImxiq/THe8/JDHWPRxoN8jYb0yQN7hjwhh5b
VRsusDOCpJuz/VwA+bXe5wHVcnKYxgEoiiWmO6hZYpeZLhx2EnKyaBhh+o3ebB8qGqwjoh4SUwtX
ptdONehtZqTzjv8hZMDccS7zpUX0kXZ3TcDKUujUeJ6MMDsbA+IU3adsPXNQHREpQOmDsrMv1fg2
4/Wi2oSNY/rhhTv38barnHdJwJLuQNncW2ZCWNxiVRjBp+7UaJK1kqG07mqXJQZdCSbznBYn+X1U
JINXFV8IY0OtrZsYg3NTYSDqdBPxBI4AwOsvNf5wglVuwskdT9zXFAaqM2/CoTVv6FTrSJvV1uvn
6siMuNtRG8f3k6fw5LGJRrR+CZ1x3RvXHNwrSG31O35t9uV6Ks/sfBUijgK9LbD1bVB5uyQsr1Th
Eh/ApboxARa+J0pMMfK3netGw23cOolJATl1hzIs0UXoW6ey7qj86h2eT/ML4mpxdr4OCiqMlLjV
ap/UpOBo5MtnLC38IK7iEd6jxhvTqFJm2VBoGxrdFDtwv5nhZ7GCpKtehP2K1XDImwvV2UB9HDiD
V31RcpNWKatN5knuyEWvwNx4QsZ8OxdjzjSEsjv662PUeur4PmyS4FGfA4egscAU4BdhG4CZPGTH
a4+teCv6cbOAoYm5E//6fX45/fBGa24yfD8zcDm4/Xj6IdtwUHkzgIvEC4dpGpTnQ4dft2QCaK2U
1/Xo8rYc/vX7/nL0X78gE12PTEvX5aT44/tyJC9Rik/tccpL73UwCFCq+qmc9qOfsn41VT3feV66
cjL1WuX+9bv/Iozk3ddZMj4tjw/BQPmHMx/WW7onltccSZIAIQykxn4I1lUXnhCr/ZDgKdmYreRY
slbetovJcfP2Ef5tmf9tyxzfxXe/1q8tczbb9P9Fr8XPcXPO2wu/de1C7zc6Kd76263pcbbFT/yt
a/fmwVt/WpMo8J+UxLTT6djR0OaZWlUA3JbfRAau+G2NhaOhbtpfUSb/pGnu+j/eYqvqdaUL0cCy
aRO61s/aW9pObe9Nvn25UEwnyyHrk3lASmmbm2rurwzO2ru2okrY6ABO6QZY0fJi2KWH0DCzjr1u
jcuYz76bO6PaJ1QPyMqW/qpJ6iMecnUOutGPAOl6F42qjXtCR9Gi1glatixYjWGVd6+DdmIrA8Cw
UYQXHay2azbVus17mLY2/H3W3sbhCp5Oxw5G5xCDPa/ZpCI5Fll65VEzn5ldMk/q4nfj0t1MfROh
0jZXl5917HoGxAFlLpms3tlyEVepIowoLj4pFLmRyhmpVVrmW+nU8xVETUAloGEnbdIiZ+bWlb2x
i/Pc2s/mshzESiKsE/tg1KJ+Cmed7/p2nfSW7g6e5o0sZnfHag481B6cfelXwbaFv3B0Kqonq8JZ
w5Vyo6EOwuPcq+yONK0mqixrObaFjXygmVc3TquPmLdu5ByaSEmLhY0MLLfCBbxxzdbBESGcKMnw
Io2VmoACl/25yPyr1OLMxSHjLjSrcTdAewkrdcSEh7QRLOJmRr3K3DoxQa+bBwMn2BZ6+yP4UCaN
+LN2GGOGaMB0E5WzSrZSGB7VivpY9eh2pwnhLIzYi5aKbetgyGsWf29kjMQFQJUImgz5JnS4Np3w
jiG5VQM6x21Q2Ghhl9h4nJ2s2XDUFrhk8Aw5Cpi87ZKagnRlPtlMdR9gUCyn3gp0hN0bIMBkCRgn
xhz1k+mCqYVoKAIKH+XhzsOfuAut/ANJWu5FB4ifJGHiN4TTRQpUAqk/yYEl2kePBTGnLI1dkXcP
Te89BtNymdujv0lwVe2NOjN3tAXTg99WrwuZ5Hk3uIe8iSVn9BH6IWq5c2eHn10Ij9GgQxFxT6xa
tY03cksEMnkHQgTVYcLM1iakED7lsNWBtWzdvjShDIoTTTDrw+wuFtK5/mIyio/L7E67iWPVLs+Y
T4k6qbbLAvwfKyDRIHXeRX7SEg274BRzYcVuOb50UWHJZ6Mf0FT7Uww+ogfPTtrwAW2iu2tgTe89
JDL72MnfS/wBV/TKqr0TfEzC3iSZ3O+2ovWMB6JqYSwg9nAjv8yyu0oTFFf3zPzzIp0PUHjkg1mT
0sBYorhbmE9Efb9cIQMp91gZR07WqbdfCkbIAjnVrp6gwQy2YcJ9kcvOXIpqBzUkBZ0DgRF3J5pN
P/dOlg0nI0sCfbTtBOSrti96w1SRwVzuPZRDrmJAJo1NZOzWS8KR7B9QhaZoSG4UufkeWhCcY8Py
eHK7ZT+krb8NFXZVnFj1fUEuFehCZZ6toR/FJmSXJljcKNKd1xKCNw3kRxILUTDvh2/IR1WXPtp0
/qBxWXM6PQDTvjbc4mOGJpAQ24DMjM5PAP5oI/IXrme79OLog0HGgGx+meI0wHpGpD2R0/QhveEe
DP8JLKZ3DmA2rF77O4/W5m40nYZwiIlg37H0IpcWF5rr8HfsfncZHtXYUrcl4FDm/Zl1mDPjc+Uu
876UmBQH/zIb+fO9Xx8o68E0gNvY+0Tbbzl7tNG81oopOeQby81euwZPXBIs9z1q4KO/NkfKgpHi
GKhhS6E172zkN5GEO7o1E09ezba/V5X9GnbrSQO4HpiEXtzHdppsKz/cKbI3TB41fHHdZ92XHCgW
4BhC5mhmS7yt+E2LfV7aegfRkqp1KNoIAWZw5BR/05T2B8/rL/PEJeVQTI/B2OPjw7S7LWfHAxyV
1Q9hqJ9KeJoRrfbPYFMwicUo6cekfLAtdeG7g7xuA/ucNYj1RdOUVyXcGfpzt2VKuyV20mALu/GL
lCQsZSFAQrGo5uC6Cm+tmPNdNw7l5UxWD0mQMsD9gHmxxMzQO+kHqNLhw+yCBC5r62Lx0Htqe+72
Q1DqaAp4x3pZHjoEP7fk6xEyxSZEu2BC1oFkFo5uuZdKiI1ZifsWYS9txy67mLv+lEjYrTjJDQ4+
xGMwUDGjtOq8l7KYnsdYqaM/E5OjbDJfkjLdK3sYD1M9GXuC0cTWr3R4M5R0qROfjCnXXT84aXod
Z62BLi9RUXcNOUA7JlD7qctoh+MuOFmp8aRCokE6XM8O3lfWQqVOgV5IRc4yuUPn5x1Zf7MzKU0Y
NwxWOfhJ2A7gM3EGtrG+L47YJ/7okHzRAl9xW+uQ+PnTqDOBfj94mIf+oqfDTnZe8sUxWv9c1mW8
N/xy2bitZ+1F44NCdSvzHLQcDxpysmgANvEe+A2M82BenPojXZl6eO9iEsYbQA458ejHCQg/MFEQ
K0EzPnIOqkipy+nM5uWm4+6rAvKzZAjt00/tYn3IaPCI3jl2dgOFc+u3KNfeO2qsHfT48yx7iGOi
b1i9C5wE7ZgVBNHG4s5x0UDJl4ZIvKU+S0f3frjNm/Xwg6iv5JgMkbCVi5T/DsS/Gur+rrzGN8sY
9X8fiN/Azv1hGP71Bd/K6sD8TVgrpIINRaz4Cubk38rqwP0tsLBy4bZzvBAS33+0KGh3Q1/YHgW0
7/GPlXrxH+2ugwiF3HKH3oW/zpR/0ur+lXbX+nka7pPogEJYrDN3hnY/Dxfj0UiIUBDixHm4jSM7
Xwp4+W18FiCktpibkYo5OcEJknAFcgDic4A464WNeXovaiYtrpf3T3jY+6eEE/XfGN5+PtTy6WxO
F4IPaDuet8IQvx8lhsgCCa8P3VOu3eZVpO50ize2XjNh10ZnVs4HkFxUE22Dtve7X/G/jLMdm4v8
Y8tgZXqQWc2pCF+h6/w00AZsQVqcyjqAXPFz1cVEQo0qC6+KEPVY5LXCv8TbVpPuPHv+xeSGhDvn
MvswLfXyyVd9p6N2mZ1zUpKdWHiqPAylVMWObpz3zqeKmrcA6MUpHqvh0mqddk+tTEghAXsM7SvW
aUYL1U1qzwyBQLEDBAo6UGGgLPxIqaXCb0JzsNs4DDM3OvfsFzwc+Edotm+WPmA6Te97J5tS3aEJ
rPfN7NagtgcnKPYJPegU+leab53MNZ8MnB8MPv0HBcu73LpLxx7se21NjtuU0HozRvqIjaOPs1HF
28JYnE0O5Ro1kD9qEq1jio82JbOhsqf5uYb5LTYG7sFLMeYUfXIengISo/BumegRNxhXVmY/EaVH
FJfznkBDD2YkElvDtcce07Td3YXKyN8xq8isKE869EeN6UUEEJuSaN8p3I3Kkdleo2jAQ82jhMog
SBB/dp3HXNdNhwdLNemuHvxRndZoCvKC7Hq4mzJFmWc5I8CEzLPMPXKJONjU8VBQTgivtRB4J8sa
5CZNCpMks0fSPEK1YYhCrF9LMtaROtA2oJx7YOWFePbzOQAt5dW3RS0nyGCdLWFgp2wtEhjVJjEn
a4/ZTe7lgLp0Lm3jsNgBc6jU1vvCzPZg0XTEkxoSlehXdwvzUEZ9jcrPSx7kUSAG/5WRYXskY3nZ
hWU7HOcMTuF+sIeEhn5uw+lny58o5Dm9HtBsW5j+AxDfgcV0KrdJCh5TNqHSF+lndzT1jUXcpNhk
tV99Rtq/BsctncNxKCMSGyNZR2apXoSz8XyCYiOevXsmW4zsyM9SdLMJHvfGe/JXs6nddH7d6G2M
HSzZ5lOM2TFoh+JTnadxFmwGmR9ssxk/Qf6q1vRbwIfppkXvZV71XSizVxx6JamqtXbtm74nwGZR
iwOz0sn18zpUDy9nzP6vC91ORbKCmiRPRWcMv9exystIhkOHPQs5crYbiEEzdg1uxCuGxPWMnswf
rJ3SxpLdzw583SMaZdrmRlzT7G5qWSWRVIyNP5Cyiy4OI9sKmZ9FLbEwFuYReX3KVjDUlzIdszbq
qI1f+8Zf02fnklt9MpvTzIjoDtDMuhgSTkJKVFbf5IsiPEA1XQhVJeTd5Prd5hSHAgxNa9x1OCOo
hbXbPw2Zl7vgcjSfnoPPcuwa1PtZM7YvDOkZSWibeJtQaOKs05EHedcDozMYbU7qo5lTSRI3KgWp
I/FIq6+12+ZV9iXHv9Yo0deuSzldAK6TC4lnN9CWZw5hDBpNhb08lr1jQIovRoeI+8MUk3cGBdN1
rflVKCXN9hyQZ8g/CobWNDFA4lAhbxprGfVznUxl1mObEPUrNFZa4QTz9ReNXLzrrrf4xPhyG2M/
gurIN64h20MX2OXNXKcMpUl0IyUSnOH0TqHGv3Gbhgcro0y/kaIEA1InXiMi8t/1Ca/SAK9PD2l1
WaHsALjEJ+DerVr3VKPD0oSoSxLaKAhjFdW99D8QMDBiM8gkaNQyIa8TE643mxuVAoakG+OPLw0c
j+vUm7FhocxvNnFgkrtiw10uxr752FvDe0wd3kmHYS5Wcfz4TnmlU0ZG4cb6EKQBgT1WkBHUYjd0
flyRx3sLmftV6ugYvKsx15cp9fyDXajJoxRU4ndYZQScaDLA9s0Ig8hujGVbMiG5dJFGXMSpTgn+
WiR5nR0nu6kLWoElVloXDvSkU2jbiw+kLkZHzT6z8JXDOXJDYkIJYKp8G8lJjztRNTYIw3nw6/lQ
jw7wUYRwucTlDKWDYG0XMiALfl85/dO/fdn/i5ISfZhNRfe/F47vh9f0+8Lx2wv+FDGvSmWoCZgL
LaqfVUb1Rz/WgolGvzVkxEDb03SZQfyhorR/M3GOWZT7/6kYV2Ez0uaVAkatifD5n1SMbxXhd4MU
hhogHUyHctVBY4h/4cearGGUmDYzCytRWQYomWBs53nPNoA+oUJkWEwTc0edJO0FpP3+kzXP2WHK
kFvNXS2Pshvp/6+am5zo5V2VWdNdOs/ilvZnbwKILice+gIJtKk07qXKgwBwZ/jzVDO7DDVCy/cp
RtOqPXL+x/6UUH0wzytj4yasXF2dG5lLHFY2mKvgi9NCf1HHEenipE+JryxApbFPUifiogBbWqu5
yPdG3fj2riWB2t0l+UgDg2vpOkDkYxoOvG26Sdo1ZauyE2oduhzDnaxccgERRF/HVZUeOt9e8KFA
VHyoK+wRy9A4R75UA3ZYGR/HtMoekDpLUsWrNH9HrAOiTNmdSNBISOaM1StCUjAEfYXJJCuArXom
bY2w0YTaIqRafLs+5/AtBb2dpRhZlkZ28O4CfXVVW2vjZ7pOk0IbJ5o7I6yqwkjme2O21GISDVfk
yT52W2H7BxtomTro2GyGDqN3EltoHKqCYPiVwQgd+qqlLV3zK5ChY1f69O+K8H9ZEexVk/tXK8JN
Ub6mTfX6/arw7UV/TGnc30AQcu/ZWBFWL+h3q4K5uh48j2fcfvMo8J++rQpv1gYeV5+jDE//n0dJ
B9a8gP/OHMheX/ePjpKYF348L1kmzlR49iEnWtsiKOGn85KkHVtPntWd3cGYIodw9AH3FFCLIXgn
OBk0JxEmBmhOjAhYDqSnjPfpIHKsCG+SlYmSYEEkV4VZfDDI35MPgMTKC1gAWX47kLHxgdG7/yIW
rz6ntLAuhjG3o3CVeHQA7KozJAGszUUIWkrn9WXedkbzUqdtQxWo2uVQzXSExkVvkyW1232lRxm+
aMQjwREAY4LypJu9Zz1OKridbeHDushS+u64xXYOfgbQxQl5W696RaSqN1pqI5si2bcrmf5yAF4+
JHujrEx3tbdl6bSp/oe9M9mO20i77avcF0AtAIF2mkC2ZCZbkZQmWBQlou+bCODp7wZtLVsql/3X
vGpil+1UkpkA4mvO2UemnpAXQpZQL+/wmC/NBa8SCp1EUZdgdpozKzoMvSM6ZBnAuKCfVHhH4OFB
wvJNG+gccqOLZ4JGlaxF+DyJbpnLUbZBZPs6W6FpcvHBJ5Ghv0lZ9CSx5Elq02XlgDmwW1TMsPKg
HAn/hgk/VohWQcuS7qrIMGJPn3gLmVkheULWEuTOFBNfjq/MTNwcbyxhbtm3JZrn3s6DgcQjG8sn
iBI0GtYU781cRd0F16l21EmHv9Vh/22IyyHmEPbJJuuT6pho2rSP7cZk3E1LvRG9jigLnd2dUUh7
5/jN/ArpEGhIMRbBnM8Jdsse6SWyxmsgbWJf91ZJ8Pkw7vNqIvOrrWrk5VOxzggVCFki28uyqkPh
JPGNbfoVyK5ChY4V56E10MFkTlwf+oWgwa6U5XNUaQOo9ogc4wXxwk2ROZ+IEI7vYNL0tzKZ3Dt2
S9PnBNcjeW9wUromUXfr4bebpzqlVlbRbWHWM5y2RjMDBEw0P64ZhcT2uhffz6OnBMD8QSWOdqOp
aB2Gd6QWTm4nriMnKvZapqUL2wq2cE/NmnfuRoXzqXWM6gEEZE5yQpTEKmCbKVSQlp2rgnqGF1Ox
JYE4P/TlFjj5cJS07HtZ5PETYlZx5S8Q7jZGY8tHyzfYS3oNSmW2XV3xbkiL1li4C6D7uK6qbW7W
y2amaCCCE9ZzJ+3HDEpHn42WAD+o3GsDGQnRTClaKWyV43QzxrF5Bf+3PiBEQIaazXzXY9F3d/Tw
1VNHii6Hi9t8lUh1jRbCPEpV78Q3XW4xwFrB3DfkLcyFuoucPjmRv909xjhYX0axlMS8c7a9ZXWn
X2lLRXHftsI9yUL5OytrvoP2iQ5I9NstrEVsikQNP/i5N74QFFg8z7Rcz0IO6cpf9fLnFjsV7FDu
MEcbuj3yWXPru3LYpY1zJWtQldi6iz1MR0jafmWfpCJFm1CXHGwpr9UAiTN7XWz8UQwG9PS2ijIF
qaSh+4R+LLiKERUnpFsUmxSBT2hp7byt5QjTO8IEy+cyQAAskiDWdHarvcQE71chozXzyUK5czNo
3ad06R6yRnO/KRueLJuLSc83thSuHZjNwpaxy6yrEr3yNUKgZsPMLQrdND76Vu+eZ0kZUddj/7AA
UQztTq/fnFEnklsu9S1bg+UrRVfXbgytUACEZAMvM7Y+xYlFunGL/XENJCUievHjM8qA8fNAkHMF
p5Ako1IPlpx1Lx099tC0iV9ZP6TfC0nz3E/ttTlGcms7UoXJNIoXk17/IDTXJO5YyvnaVGuKZe4w
0RlYtXHHWYl+MVrWBR39FtJT3avv8qwn7qAZDH/7oTKf+rQCPhKlyBITyOPqYK5q9lpavceiUoqH
aYi8r7ks0dWM6Yhiz4OquoXPM99bWuTBx6zsV5AE9ZXv4AWm8zF4zoFfVLexUSHeZAAEBUUShOYS
2vc4G1p/cWOfeVY8AuI3hA04o0+h6JT0vJuGsJ9rDUr2Bfg2FmsSMYNBV28tZ969wYLrGGtRH/CH
wizIYGvYqOD2Q2upa21YfeP4RN6surPfa836ljateW24wKeCuWWMhyxz23YAWNMSSCHETO/sizy/
BiRIc5gtbwmq5027Sq0spT7VevcAhZtNtdElZLMxU0hZi+5Shs17PV38u9bo6q3mmFAcLVz2h1hL
LkU+xaSMpxFrtM7Ab2ezMY5tfcf9/paxxb1vTVRrCa3jY+ziJjaSrjnJjK1oh1CqONs1qCS7r6Zz
XenxgQSVmQTd0hn2eJ/qO67cEnGdL2/Tue6+tYolKRAHo6Dssbyn2ImsEz8hjCPonUFtozNgyWeX
t2Wk2bvCnOujUQ1kNjJbDudeT6+1DnqmU1X1fhjVGFqjGj5DskT06dVEhbn5l6E3vmZtk+MWNpfr
Cdn2uHF6mdxaHtSwqq/JgCkTM5iF6t8NMeXb0ZjHhwzk5pY1ErqomFko8nAP/Z8WPbCL6S+Mg4e9
9FnKzz2YVnhGwiBY1UdYD0jLw5uQaEc5XhFdkQR2Jb92ulV8Iftj3OGaz7+VaDe3xPbxvXrel8Qr
vnek+R0R4ruB7uZwhGz+jvQvfzPbCA9gyelHPSuscErJSEeza1xDRM3e/MwjXaBItD1cBFCcfVTc
ZUMhTpiT010zZO0RF0azHUGiHQSBkzsaGxVq7Hb3uZlMV2lZo6wrFGKCwdC0UJ+x4aumnrbC7au3
wZZpwM/+CJbKCMY5cQ5yEmhW7fNiYUKoUBei2vLNXW3Yb63e3I2kyGwqFv3Mj5Y9j2gNDLT2YqRk
zSQJG72UOKANPYSzzfX64jbdnaujHO5bcPclpGoglusU8d6DaXMiRjreVRCnN/jfzY2TViYhIVgT
lmLtVYqzKDXt3u/JYy2c0T+Q3hqH5Nje4Y6/nTGa7yA0wPuvNcCZxQwmZDTCPM2LPZL5OhyWpgqt
uGYDmYwweiaBHlZzxY02KMLVfc19xE2SHgiOr3HXGt8JpIO/MMOYS0vyRMy0sTnI8oTzQIx3Es3U
W1rOLRJmLj9iJg+Omqo7RwNF6w9QjCd7hfb7zXhUJQaxDPHQJk4X71SShl6k9hfieT79r5f6v/VS
9t/7VG8IWqqrnzupj5f8mK9Aj8fBR7AUyYoCXRndyo/5immhhROMXuyP8YqDFO3HfMX5l4nPiNe5
uqv/xtv5oXdjZ8fQE+c4uyIXPZz/34xZWOb93E0hYlvFqqy+dJMtCPvDn+cseT/S5I9+epvljG39
AI0YQowuzp0bP2os685y2q7fQ74jezCKfJaPFNypQ546CHZ1QWzEM9wFPr3aLPJB3PMkogB4ttGF
5HrgAFDcNFOVH5iG6vJ2KFr9W6k34A5wtAGeDzoj8XiCj0YdE+HE3tqb9rVvgeFI2uxUZpXxLvAe
gHHrW++rtqpKlePFJze32k1dx8AhBmCGoI2jfbyQpyT8Qif4I2VLwJ57HGlwOp4wxIp2NoNLS/vk
6tpXj0xEJP6gE4GpuAC2yeNN8adfq9xKjy432Re5Dq9ZliEv6yonue9cL4cZXKv5FqBi5IcEeZTd
VjT8xuzIloE5eVs0IV4X0ovoERmjrLmV0vmaYmz/1KOcyS62qbSwTxv3JuWJLiFrK5Q4hTPzEMa3
gn/JVz55LfqQzg+uPeD14ZuYX6KZx4FGzUYgsoriB4SMkb9B4UTPNfPjH1MnSq4WqdQL/BWOaMdS
+jGuxLT18efDBDEyaOLuQOuCyEQ0z3NHdRkDQ6aicBlpaX2l462ywTSjn1g85lLSHZFIrFlDRH4z
B3NVAvg0Y9jbgdxz58+s5lrYgB1XVmCyclGhXyQqTPVRsDSgJCKoIHl3OyRYSZzmhz61xp2MhRPa
K9uEvZl71y7s/vCC5XFozgN1moN8ca6Rquhla9xpti9JNy3xWVgugpuus51vkhiEkPHReGFKsCB0
nOsyQSgxs4TatZXWXEMAz+azXo2625xMDIdew+O36j20F1mJjILFUNXcWnnLyGCpUsPa6CKd44o+
FfnTZix7/CJRjrJvw5bFY07VGJawwhJhhbgb+5jvajEm9wHTBhmkrqb85gk7iwt0s4a5PicUhZtO
ZxYTIBJc4Sekn9acR1GHBaYhm6FsSV4KssLNXU7xmZSRiTldD5hQUQJqXno9VUNy5USVfDXLxKGw
7SXaUlwi81HFZNshcTMrUuULR08OM0qj+oCMtjA2A0HI5AeAfBwOele6uypO09tUYZOm+JogxdRd
VHJnR54bYU+c0yHsspWA2ETNNF0vS0qMralZoBMTvs2wmdZAAr3SumWT0bPEt7gAU9ArHGLuWS0l
44fe1vdd7o5ISUU8c8VZGrwhl+K80NyUNO66mHZTFBV0OYbudGFZePLFTHtqLwRgQCT1HrvZkC13
LGXftMWvuKfImlABatuZWWYtejaRbVIOu3ic6xdFUp618eaRUSjVGcKmqOmqPf8QxxGUC/LleBLN
DyBUVX00bQRIAQtA09kXemJKCKaROIq66d6hX3+yR5wqIrX75WHKzak5yDwxIO1Eswq9RmMb0vf6
eYHbf2dVkvsxsvys3GYxTzN7xMWQz222X5TwTplGchRIa02pa2UwjXZFXy0h75TvPS/qt4URR5Ti
fFf1Lqb7Cs3FEndaM+sQWsekCB0/M68AyPhb4WWav9VSRrqhlSjjsVlIRtBFYfI951acfe1aN3sF
yKR9El0xfaa2nTpW8pbFvWapCQjQIralQXd6RMxrBYXAFLQlVSDurvgPrJGujd3dBrVIM8cbx1vw
D1i9ZgPJmOFQNagf54KdNApTQPuoIUm4c7oYzydLwoPWdmj4oqGUkAtruxwtivdmhH9fkbFnzLF4
muTybHEJAzTuFTsgv9LNg+NJ986xWbzHQzSHg5nAlCWNQge9NZhbmJ4kK9ZKqvsq6q1LUZr4yplQ
lMZZdnV9XgY0aXuvrcVLO6iXWKnJ3wxOinWJCXzhYffUBzxXYP3Hc9mU0BFmo7/HoZLRV3N+xXeG
wniFPtEq5mU+lMIdXJu6E+RodGqJU/Qulpcbu//VU/+neorJ8N/Opm+/V9WaBPJapT/Pp3974e9V
lWuBDzeRNTHMXGmA3p/kTqsSilbap4BaFU2rmOdHVWVSVUFvQCX1+1j7jxk1xBDWXzBBPAPr/CpQ
+i/kTuYH3eNP2ytgCitD0TXgEiC9cn7VOxXsN5ey0dEuu1U+h9Q2XOJ2IQlWiYgT2PpongUjaBik
Ozk4rb8x+6470iGiEllasDxBUuiaj8p9KOwwQd+tbbC4jMgP3hqmEjfSAbTFoFkPrRTH/GbBQcsk
T+t7fPqzFS5OgbxcExhst2hSGyS1DG7NbZcly36dMDBAmzllV+wXKjCdbmNZPkWmBhXMKtxk2/kr
K4yzqyWdbyWI6R80MUOtYLEPxlj+wRur2d3JtX3LcWmhux6T6pC6S/odXmH8JhewZYrXvNhznY1M
0cGaETPN8gk4Iu5yV/g9E5MVglavODSoDsXVtCLS0joZztOKTTNWgFqk06pt6hWrRqWHqNaNs4k5
Adg1RU8MisHpQQKWeBfxA0PhWlFtXsfHDAEXzyTkL/1E1ilB6S54N3MFvZk+n7y1wt+Ili9vhxUI
N6xoOH2FxGXowm6SD3Icc7LqxD6Cs3oFy+UycXcmorIhWGM7ycSM9e3sOgziOlDZGVml+jPyqeF6
rK2X3o6HBwM2rLdHaAbVztSyGGvaCrurulE8qSI3d4AaiKMFIQkVb4miMwxp4NhCZ6BeQ/+y7am/
dx18iFvnwzy32ug4GautVRr37nRbrka7XhKLSOFza40gYdfaQFwYOY2f1+nqp46YzZupz+zAx8Wn
9d4Q2B/GvgSLn1jNfsAxIry3WXVHLp51hi/7DIDACYEW5yG8tnlXrdbBecRE6Gh2eZD4CvXaGII8
z7L7aDUdkqruhtFqRERKAXkT9UhpIVtORr0Oow/zor/6GDOSyXfj6m30pXwzIl/bcV5hf0xWJyQX
OTqB1R3ZL/gkl8IniQMuPVEopoW4376rudoCNPhXMKOTTem1TggL4WUpiexZVi9msroy7dWfKVen
Zjzi2TTYzAJ8T7QXWqz42KzeTrtomjOeU//ken0bZqsHtONYCIoPX+jUct18mEXV6httkNRsRrzz
YfZhK0W7h1Ji9ZrOq+uUiEoLB6pjlTN+VC9iz7xDniZXwZexWPhWs99crARArZ7WWQM38WDihJYP
Nscqzle7peh4Mkgdyra6naVXTqe7d4OXRMmzshYcoaORFWTF+yvToiALl/ef0gtRACYyygYEXQEr
Ygo6xN9Q2Y1as1/AVVfZUa6Qr03BpkXCetQXq9p3tdZND1OaWhKU6YfcKv7QXuVCn7LPeT50SxUS
sFq5CwPonilX4/hLOPUI8EIuszj+XBppXARZYlAG51pd4u3EsaNv1bwYNHVGqlb5vJzdOERZTgGO
HXbI48M8eNbnsa7k8ObmvpE7AAhgSU6bYhzqEyoo2CjI5egq+YtDLiJRxjarPerRgf13PjrUmC1N
b2AOHSsRUzPUb9rQ//n9/kmQ7IK0+7st8n1Sf/v+/4598Vp9+2n+8dsLf5zUxr+MdU/MIeA75m/x
IL/PP1wAXiBosEf8wHf9cU7zCshOzh9pI39MPwwLGvXHwf5fCUxIxfx58mExeIFfYuH7wfWHgfAX
1W+LEbsrfSKINeYQVLdJzYKHqegWgES5TU37RZbTdCY2Feb12LwUsb2uHhHZ1WPBU3lJ8rBhXcg8
sKwwqOhPuNdjZvhFm/Ekg/KFIEMcO8NF5zpr7i6bYfV6vXtpAD5uTGXcZjjrX31Rnh3JFFKT+2hA
HT10NrnaEmFrMVFCs4x+H/UxvWA4QXjpNrgCq7rd6Jq3bJSNZDTVl6va128do8ev08nXtWLeAPbd
Yt3IWTen732RcT7Tk23d2ru4Qu1l6jYBYcrvfl6dpTHdR8omADMdd5aZn8njurWy+Qp7BTvaTNsw
o3iliqjDul3ebKaqxWS8AfN+aed+x/i3oA9MxDP82UPaec5G6jB66p5g2UrzLsYgXvKpeHV1rIt6
LO/1Lj+vn8DAKcjipnjPmkoLetx9O1HM7FdLvHnj6u2Y5PQYC3m/Lv0DD9/WsSv8NyoAf28k1iGO
idobTTr4AvCRJns+GF1HFJeezGQ0A5VDeWFdIxvrJRH5CfXga9dmIELtCygNBhSO1W8tfiFppe/1
MN9atKq7WQw7oqRQ01krxheptEIGiDmCLZxZ80GZSYeZ3O6GDWVAsk1zfwiAhdRXQ8PzONbWzzIp
X9kDUBytuMKBJyIgpB75D/+B1i63stdvB1PuxwQdkIfHTZv0q8YlyBrV6rsAgbi1jfSc5+qKqtE+
eDWDqCzlN6yt+WmJBmbug1Ng6hFamPe80ZQi4E1g1l53dnZiifvUWW3EU1s9lrodqrmSQZV05AzU
6Ws1scoqTPXm1cvVZMYpD/AuveSt+5Iq/avXihufTAqYjLg8ibVf7LE7tGp6XFr7kKYNhshOHGIs
KEylPJx9Azh/9OJXTj0niIb4PjEeCARQXAlqGVimm6XYNL3+VMXGm8/6dFMqArYH4vfYUj223fho
qeK9ZG4TkMtGDmOpHkVkJJs8HRp2N1TOi6MhKoR7FXx87kblsAO3Xuq2ynYEcoJ9tlzm9byO3xPx
A14oKZyX1O1m5uhcjhwRl4YV4Zcsor4mwGQOWclMd8LhsitUHLErY2E5I5M+MJ2ZTm1tT8e+dLyj
mjRA/wDFtnhlSiKRm3kHb2s6MansA1MrxNtg9F/mqXOuDS9v1gCTOsXX2rG7z0IfSnPo5ot8jdya
AASUD4jRM6utnvIqeioVmoVwsXo/3ZTs8lQSXUig/sLOeAog7uCI5LhbRBo2w9xt2fklQCQw6qPj
Uh3BiPWATs1tL4WW3FY1AV9MNJ5qjW1ajwdrO432K4yw7q2qQLRVjOW2hYOB2YXu3Sy+sytZRzCA
q6NbYyD3EnUGjrzMfKvJHdr0bcmQbWKgq0xjJ1xmH/wUK8mIy7BFEhIqfB8QJNxxr0wuujl3X1zN
IZe6lcdo6t412V1ZTn7606HzF/6JX+bXPMV9UoSYhXProy36FQmQZo4FWipHJMC4GetsO6zDs0tq
t4xpDOcf3BqomH72avBuPgeasC3gqt5H3/enICGIIWPlzABSY271kLyMk1mIhORDHuh//3utKqaf
Osg1GwsfPG+GBBPkAv/+T+8kXVeJDI7ywRzyV2TW+WZ9HGeGxGGMgJklppz136YS/xGx/7P3ncin
9T1h67OUALLPX39+z1hUfuL1EckVg53gC5se4QoVgSasg9TsYs0HORUFrsuep9vf/7ri31ww63v7
K9qRRhyo3y+qLsANcsHaUB36shNhxjr8dsbrsT4urpjW5AfdV2+yV3gYJHGz2dRz3xI1uumS+S1h
zhpXy9UYA/RAjX3w/RJ8EJHLpievJCBn3O40bwg0Nm2dnSun25X2dK/K+Em3E+LolXUZmeIHqq79
vW3XzeeYnWkAQGIO//43/YtLiCB6GAcQUHV0jb98sWaR+sCyLGgAZr+zajAp/nILwL/9h090NW/9
2xUEwIARCSADLqVfPlFfGqw4vPVa9QvrSCt1O7NA3eoMJyim/Szsvfw8xEZ5V0zzrTvo5R1OS0Ih
l/i9nXgur6UKrO0cKLq6ijVMLL4cHzXfuYhu2icej3sbjBMbBCIBW2Uyf7PNeV/GZrOC2Mgr1Lv+
vsrVk4J1g4MztU5ADko8mUN9BSbvPUrxrVd5wbeovHqPXPY9qpcnD0TOMtBpqEYcktk+JEmVBnG5
rHNqdYVjtwjMcbl1Z0wkKNONHRi8L52Nx9w1qLH+/gv7iycMmsY1Dg3AqsmO7Oe7YmEN21qaqA6L
ND7KCcWTDY0Z0Q1SHP7+vaiw/+07s3XOKZyUrm+vxI0/3/WdOaduYc3Vwc6ne8KbTiUpAv/wFn/x
ZHHxuFnoNA1mFL/OpsDL5UOh60Ce/akhnUGB7I+Wt/VJj7V13g/YRnLTOviaeZGRn2wBpZ8Qlj33
WfbVQ564Qavb4YXNxGHKOMQTn6dTM5dnBj7viyOJk4zY9BTCYVFgC4keZumvi9TZArb45DFgQTzh
xUdrBpcALUpuIN2QDea3zc7szGQj/Nbcj4qZlW6m7zYqKUx4+XlSOYFtrBWwTVCgGrSwNkFuFb14
wJj3vq7MZAuO4zdI+n98Klp/ccfyXfikC/Ictizb/PlLqcyGdKW5rA5GQaMwobAO0mGkgtdyfmf8
MeSE2RlkCO9SYuoKor4jx9cob1hjPHkskJDIVCy9okUym0apPSb6i8waEXo6PTUBtpdodHHfR/Yl
YTKItIonUQOKPsTt9UQe89vS65vUTR+UoDr0W37hTlP7PNGfZgqxTRMlzV4UEpuivI9tZzWQcX1a
DQ++3pkkixASYMuo8PemvTz5TTf95tv9jx/SX9wknBnr/5if0r398hnJuAWJIqfqIL0qpMRRG1fy
41hM+KIm/odvhBzCf79PPE5hHmsGCOh/uydbS8yMgcbq0JFisTUc6CZelJ0iTirf4PsBBc7Cd6ZB
mkweU1lGBRgXZyenABzryMGKRQIfFpqW3eiCEGOVz1Wz97XPjWuEFjeFDwMi8an2VVWLUDT9W5kt
96pg6OquhzGXWSzy10iuVSqpF9min9uRBDJVmwHl6pacAm838JV+tJdsOEWIVtYM/BVgiFgryBo5
7ZpoHDbFMiRHBd/uowmKKoUJnFSZUzXKx3SgkfSY/AZLS6tnL/KxG2Iygi0ShcWEx8e4bbUUmBbV
msHmLV0HzuvfaCX/BFAwF2QzTjvD6vrtehv1yr7Urnx0WLkAa8s17idYpUVLtURUxRn6rxciqem3
HXOjNrO5xYaovfZt9QZyOZQjHzAe8HMq6Fl8RSluFdZLlkz3EvMJGR/2ATbyifS301K2q5iAG3gY
ihNN8b6MOFnSeOLC5O5w5HDGhfQl6WV1yg37MpGQLcxuDtbGCL1pupekll15VPaETryYXfpP57Hz
F7c3tQ7xRlCtuKL0X85JSAtZa1rMMnt3fgMaco+J70J9wYdnc1uv9ddHq10PxJQMPpXexz1fJcNu
lr3ctBkvY6AV5kOVbX04Ot7UCRdkYNwGBKdWW1+N86Eweo0GLYfZEWMdJC4sfmu1wj83HfF1C7TN
LeIeH9ZGQZXvsinQeMZkw/w0CcotvRMNVo10DFQ85CyLqaxjGkPOw0SAAMG4ui4zx8dh4gkKZue+
AyAEAKQ4T+N4b9kg0urCUVusaSJs5XIFq/IRYyWkZENb2FjPb06/NLuuGe5dugNAQs5l4hChyRwf
BcaatZof3B/n6/8mbP8wYSMT16CW+M/OrYd6hKgVvOKcTquftmG/v/THjM37l80fxdzNgQf3Yb34
fcTmiX+h7qGg+MOU8cOrYf8LkBaIK3icjoXHgKv+9xmbwNzFWWdzS/ywhP0XuzCyvn55VoMY0G3c
Y/yZDv3+r53MSNhT1WVpfVDYB+TWJ+aUKUSVQpokuWHnVDzIsV1m3p2fCiiSZlqlF6bjdTgVieeF
QLMMLtRUPKPinm9rx6wept6JvsDCBwm6CCSErlzsQ9MJJKqkv9pX6dqekeSFbkAq5CThoCnS+xKc
JeKaOp/cIqbi3EaWLU7j0hbttvVTfI1Ef1PlMVhGw7Jg7njvS9TIG9efrV2u9dZNgnX0Nk8iK9Bq
5gFbvdXECX0ARmZ8MVUWaiIxk+OkevAm9eycTRI9Gx5nyAzGUgg2TZ448tTUq60q2umzzsrZD2Fh
Dt95FwP3u1XhyY/GimGe17Tk3LioDrcfRF3szk6HdWKo823KuuyQ6hSuW7Ho5XvKF34A4QpNvLJl
DHU0jb4tjs0TODdk/9wsGvaNiJ/sGX9W/1xJPb/3cx3ADqTzGzlG1WODnf9m6MkUv1Ktim3EsEy3
NlHCZoTlWmFEaDpaFgxL0nh3Kufnajk8eE4ZUVRu0M/AfrEy5d4t6dJ8MWLPu40KKpkNz3LdCCPw
a8iZClnvXK8kIQ0vgGrK5iY3Wv/WJqIaH4zl24eez283YWa+Zr+BqjNJ5HUyIhFVH6RYMszrB8No
vTuNPoIuJeEkmj2bYGTOJM4Y4zGC1XBM8QyctCK1jiAQ6pu8ayftYWE3s3XczEDgwF6qLaDucjab
dn9YtHLgdzbETlRp+1Vyfn3uMLU+s8tFCOMz+nJWHyt+Q630thDxCM1iseHfKeQ8EFUs/4EzKr5T
YgFn4CucGIFN/CcDvL6nZkZQEQ6JJl+9BapU3hv+ddMIN96Ns476RWVVeojcdliOsMJpptJo1K7N
SJtkIHHrb4WuvCqBzeNnwzGx2RptYtmM99j5bYTcRKHeNp5miI3BZOhTxSb4nCCQlnGAiguhtJeh
hkWOb3SL2MeEkwJG07JMNvNG44OAxGuntfcZuOhKcPDx/pASKiK+nxXMgGdzbOUWep+3iztjwekP
EVkbToMDWepYgI1In82m94cThjAbRxCXz4sbxdoD7gFGZHl0dssSxfA09M9JW14iX8TXBRWF/5ah
xZvMjSnK2tJOcam7Veiahf7JFlAL0gWyt47eYxt1c77THf7vIPTi2C6xfEoRv4ean9RnoBTttucM
y0YDd0+x9mkgCwwPsEIin9idxgB+nER7rGIRoS0GYsP6WZQN2AujCdMM8LeTK/xVA4j/b3bFz3CY
9VSNa6TNGM6DUlcaSPRjPTJTnf3qvl686wGvBPwQo0eDX6uTTLNx66q0YLSMTAx//Z5pnPYNINy2
BecUtNGyJyEjg2dlwo5tBveCGedhWHqij2O5UhXsJ6NbM+tGJIzLPNY3YH/vDSFMVgK0wlAvADJb
YNamAqeB1ziomas+YL9bXelV03/PZveiL2b0mShOCTyoLR4qh+I2m+oe9xPAaqvop1tjjMSurVH/
yBTAmeUsl7T15n1hsd9Okr7YzQYuIVLZ+sBgHgBxvKubMPeWz3WEdQTj6M3SdOdB5lHQIAgPSN3t
9m2EYjRzNP2Mrl/eOD0eKIReXzGNt3vkdt42jeZoB1aSfXlk90FN+NphqSlmimnSThmm3au5mCfo
pvGX1bcfxgadT+7OVWj6Y01hUnfPJBfLg17GwyfmPQMXhtT2cafex84p9nOSzduhk8bjZJjRF5Hb
WrmBTGYdASCU5DfQZRxHh24BFKFlX1WAjXdQs9mrNnjP9g2Y25MXMW9QmubejU3iw3/iaMpK0OaD
bSE2n5zFvcx9W9EbYgvKtl6bDsjJ2+jJb+GcC7uMAPuNCSnXXvu1qvOa3kSl+UvjFiXOfZrpKDW9
XdkP/r5epuZzIyP9GSOAth2mERODrJYLTroacpYEuCpK707wL869o7QbWuknlxACPTD8Fm9ADwiB
ZaihNhgZcuNkqyy+9vPS85mR2W1QDOnoBrlJ1QjEG2eYJfGG2PClg8k0xEVgb0FOkihUhQgb9y4K
wb3buPkJowT8iwbzQ4tv8gm4cI/Bra/aMB1x++iiW4Fu9R3Dfv0isrwKvYFPeiy4DCxiFpXZB2pd
2pig7sAnWxrKOjf7LtiifR/LjjlcIkpc3UMkbc5BZz5VjElEkM2tHa4ysU91Mk73CUasb4qQqW3j
t951G5lfNH98T9MqfkEVRJLvXOlBb9mfKsvWztxTZMeJHPw9sYvcSm30Ke6sPQPWL5Ezvnlma++X
2ho2S4RpEw3oyzzNfjgUsOBct3ttS+KSJ6EfSZeEq2OYzfc4cqdNnmkwmD2RHSaYyXVgLmAuFycy
bgkS6bZ5L/O7ynAuVQzPgxHfuC0HE7+GiS4YglvSyWbbG+VyWRGjUEX7b2OWPLKGoJSivmAaQ7ae
mIqDa5DBznYRd46/Plxzu12LmdYLBrq6jeKU2yZVlL6aef6omQ77M9nqXxLTTQ916rnfwebfj5Px
Too5UMaU1A3N/VwVTO1bG4S6ynX35M/Rct3oI4ZLQRh4TC/ALv4kqzzi2dk0W4K2EDTGkzhkai6P
YmqOJAeuaD/jUyrn/Lrgmse2AeHMwBq/N7MBVo+e7bupaE71oB7+P3vnsRw5kmbrV7l29yhzaGBx
N0BoMqiTTOYGxlTQDod24OnnQ1Z1T9X0nenpfe/KKo0qIuD+i3O+46xZfzDXTLLZ3JLci/X7AJIg
HuyxeWZsD4AbUwZQztpemKfICcsX2YOL7OuDHuGfd0bwLUmtzyYqlHfRuvY92u0Kc52LF2ngc+V+
q63aRMg9smjLcnWjJDs5sNA//HomxNL8ztSzzfCyVio2ZT+fAoUWqXeUs8+BuUN19bIjFYv/BIc8
3cHRKA7IKvW9Jf3koUuaS8eb3lTdMcdhli29E7s+GLiCDR6KXw090Cxg5Kviky6Vx1YVDzxgNRep
kyWbpzEjcaKgFfQnj7+OQBeHK/3WaHtvRyrl61Dkx63YbE15D38kjZ053EAGP9EFg3GrcdEa4j6Z
+/u1QvyRDQhwgQYWqv7CXhSOXK9f5n58UOaA5U9eqdbgQ3ork7Yh0fGyjJDQJximS8Fjjv03AwaE
4pVVle+4twCVgluvbiWhPl1kLT6ZcYy51gerk+W/0wf/V6y3rXuj3fpnjd8/opT/+MI/2j5QyigX
TM9lc+K6+Lr5nn+zlggHdIdDXBVjS9/Cj/+fIkh4yTDdwoBtC2sBn2nI37QV1m8kibFF82xCCLdO
8l/SQG74uj/PsgllQlEp4IR4iDE3Kshfx6ah6BkbJa1xA9hnesQEQ+SH07nnulrLva/GfifWyXqy
Kw+oTQNBzOTQPQdmQFVTNvPLQt+G3hoBstkOAeMIMbkRzGEZy8YsYt+T2b4c0qeUJYHD8hkt9kYU
c+TrPJYPs8V5Xs4pPjo8apHpoatDQszQrN6C2p0SAXPrVNbzIOF6KGUR9sc8686Zp/4FRwg1tk/K
6YL9/rswsFwE9if2UD9thS2e9OjHJQTOUTSee2xn15GRXYz1Uw6F6QLDt71ZfKAEkW7r8oghDLFY
JfXtQqbzuU41inGgZhcHNeBh6EdODzKkPfIwhLjrPMPS0ewsyW7S9EaRr1tWjIuQy2kVndgDb6PM
clv3VnTBCSn7kxKmD50tNK91ad7IRNeMIbFMpwEa6jIrF7zNQXIYhKpjPjDNPpAmySNpiXSECh97
cRfzZtU3K7k2B981fGw3eJaThp5udHx10FaKAlRL28Tw3NPZlNX63Lrc/POSvdK2Wp/Qq3hn7fjT
uzQbK8qAbWEEtJvkTnWLJfZVk+UdglYjM8XNJBN7fZYd7tNxn89NYHwrK20yDYciZ6zIAvuCslw2
/RoLt3FoRpwBOz4Yh+WJMKzgLkxD8mhnVAqapn1qmSwioT0x6NNHv5YUYxg6/Htdw2EzWG5xi+RG
nQ1RsPb2hOYgd2/9siPH1aQU2xvlShcLwZgDFk96eWcsOGQMhqia+NYjqv21667NH+jL8ncSJt+o
h4upfqdk+okcPJiZGz+zWznySy7rJt/Qmh2FajE/wn2rj7JtAj+9xxtPFNEBMp4Y16ND/bzVjLR8
3ieQNL14NqYFl9PeCIuqBjOTIq61DoLFEU0F6cgNpJnrnMtFtQegp3KMzUqYbwRY68cZ125NELBs
sXnmJnEMMFrw5JhkEsTG2KPHyJfJeM1KNy+xHfjUf4RM6CtBy/i5ZdjSp6QtZgXQEE8SZ6gif8Vt
AbGVKntNXFnWd0axWGZcY1e4X6fZIwfKIPg4HnHTSLjOUqItNrNTI8FLY/m30xjK7vLcMUtICY7o
9FuZVyH289azv7SZY+2qtE7vW8I37r02Dyh9FRPPDHrDkV8A14Xo3X2dtsgKZQWtbMG84xEE+Ipx
hObMb82toVkK5MQIxIn5LorknAVeQvqQbzA67wcfg9Cg3R1Z6sMKG1D6vOXwmLc11bBE5pRZ+0z0
A7WSLx/aQKVHv3WizJzc+7CY0pekYt6qaCpdSuB0ff91yv97EvrPJqE26/D/6UJ8wRXwo+9//Piz
0BA81PZVf9yGgfmbB0Id1eDvl9ofN2EofuNMsiG74BZA27A5Bf42AvV+Q2AoEOdbaDl+3Xd/uwpt
5zcuyM1+GbJc2i7Kf+UqdPx/WMWDq+EWdATreHJ5/+sq3l86klJmV56NiZGPOk6MRIppnxjzTDR8
zeCBC8q35tvBWpa47qEkmL22jz5txqmtnZxVRAKGgzmuede3jvdCxV7uPYaIuzT1ejeeO+w9qac/
c161OMpt1/4IU2meLSUqgFYuc64sddjM+t9HqYbzZPfpEf5iuiMGoI1N/Mcw1uGeLJMQzDvxeUNX
0f3BZUwTV1CaOBjxWzkQRD5k19fnkYPxIHLvMPaAQsWANmgq8vTe7IhxkUtevcAFgGlAn4eUG5Fu
8zkzx/ZoQUe89FO1TS8sz/uK/0xlka7RTWLtSdNrA8TzU1kMwa1mq/Y0zp21k5X/iO06vAKrandB
naZfyHGB60Bbd1r9ccKQTfORFKI7dpzEpzknSQvp1GOjGngj8DgPnsFNuNIG3Us/vKSy3LmNLh8M
+ntudIu9zjIHeyiqTTSWrfvcwZvdz60jYoTSzm1Y6P489qtxSoyV2WGZGRcWwgq2SYulDocVOBPR
XFsvwz7RBgbW0hnBhEn61d6CZnSbJrV7dJRZH6zWdvmu/fqoJqu/+rlBjzVaL56u9beF8fO+nyGB
JH7ZP64lDcq8eNXBI5pzBxIE+ERe+F9H6nklly+izvujqWhDx4kMBoq/5HUK8ubAAeh9x8tYLqzL
reKaovZnc6R0hmViqPdBDcU7Z8Z+ol3tDiR64TgQmEQI1bW26oHYr6ULvwadnH+mTDkP6wa+Z3ZV
yz3PDeZgNmDAwwv1Cet78QnX4vJhoHtBYbK64mo05XQTGBvjGstvFuVhpvYqZZYMhzrYZcxAL4nw
5L1tTs2VaJdPmTbYZ6M4ak/B2JTwy1rjEuBhvbfqjiylFsIbClsH+1bOCNY/jQbh1oeOMIgpCrm4
YTSMer4w1zgU0sINturOPmSOCkC1AddkFGfVp2UMGDqtoZtGbB+EjCsLXL8Ns8kiDSkFTMMWOdLW
Wj8AmjyFSPKjbJTttfOsj6Zq/eS2tSud3cCdePPyzn+qgSEAQTWNc5+PTmIdK8D+uDqncJbhN+L+
WoTFybJyWer+oR+toP6GfImW25Go8YJh/OSC8SGKfswYFIClf3GSnn1iN5r7tJLhZW58C1pq0lfL
TmWeelLaqAvyn5YpPSmHYuaTVc1OqXcubpWBADHPb0gd7N2gN3A6F5ag6vB43etJrYfEK9glQKZI
BCn37TzEAl75Xbv4tf9GnWG13b53F/NRUkom34sEiaML9CPihONGdAykRHTtfHJd6E3kaaAyILCz
jPW0BS+JISy++kayGKdATkBL3aaajagJxrHcTb+iLrfW2LnOab1FDpLCWkIc5JMioH0Cah/EFMl2
1g9gdZ3vTN+H8sgUHU8msh9Gw5ORUz3AW0nCvXRLfiQ4hw6/sRbmi40RvGa8XrHAF7PKj5x9eA6H
EutpZIU9Pso6BefPQjaUzT0hdVbjkXDbZvZwU8KKErummZBo+tpPiUuX3r2ePH1wHRYrQlRTEXUu
rzGD9GR5IdHZuqFu77uoBIADyqYOZ4SdtneVodOeyzzkuddusnNhlAxol2z/OJpWdpT+FBybrCsf
pFXdrgCg/Kgz3eZWZ252kyjlg+scnIxFVeBvXkuQLrtRjtg+C8+6BH53xA9RbM8qZaaZevm+Sxvb
OBBVLp79CgeXZ2Ggie3ZNSLPkBLR89g8BZPPLtdj/QQ81GIiZYc34MnsqGo72BbaSZEBMTeL1nUk
pqPu1+Vbu7RfuaO6O7aN3mH2N/MqmNYgskQrntPVTA7ExAafXNI4Hx0MlFwOsjpX5ALfN0NANpqx
iMtELtq3lZYVeZ+563303BydyanmW30ufTPf9ST7vk+wexqyNi11KtxW3/irv16R5gRR2mp09/NS
MN6ymW62DRjWVB8YdjiItAXuq8HOYBIUk+3sC4ZaD4jdcLIhGO8rqT6tfjOcF28aj2Ynya4hTh53
u8kmaO1xK880Kvc+O6hi12kruMltjvgQeMKO/aKMULroZx06bmSZrOZSwj4ecMySyoAfYO8UId4f
/gBQbejdIzhYGUfj6ny27ZY8t8kN1QfJ88OVXsf8wUKhObgD1tzSTMyT17f2m6H5eVbYpDtIlemB
IFi17+RQ3ZVibl9HnsMrc+7uAXBeeIt+VMbM04pbRpP5kUZxuisbd42Jr/dO1Tp9aQMnv13Anbwl
7CvuksQM+Sa9RyVQr7jiApJomtoWd73GUx3nPPkPbuHrIwbL7gP5IBZEr9zZzHQf0X3qOnLqwDvX
zCHx6W/KdXrXrzMc6kjpWhBz0YhzJtI3dB4eEzbG0hVD3I1Ka2OqKLuAupsUPZmIvQP87ermuQAy
229syC4leM+w1c5hSoz0xhw+GdY4BMTWpKzPHGJLQ7AzJP1qj1YSMWnMTB08ENlDCMjqAE1rJErP
TPluYg5WO+Ch7qZh1yA1/LA0wy3tMHaMfFFwEnRgehH1TyyT/Ge7KwJC+IBv5mn20nuLyh//Xd//
b1y/NoOrf1Lf64/+r7X9r6/426TL/s0VPGLARTwf8smfIbWCKt62LJ8amaEWBf6f63sC6vgny8Nl
5CCi/vuoy3J/C7aZWeDQz/4eNfYvSBxM5md/nXUhQnMd3E2QCGkoNmDtX2ddDIiNqW345M+t1b1N
huNHXNPfAm1Vd6tpAJEzTOb0qDmf/Dm49r2aPntT0T6rhggw0fWXEYRH1AbbKdeMxnlJbC85Tk2R
PVB2GB8E/AFA8RrRnpwgwXJBhZb2D9J3F5vDNi8pDQwG+v55NbvAusMDIppPfdVaRPky3GjsIxFW
+BwDhZmwiAV2fE1MSzgNtRMlSVk4h3VNBVsNNXdd+6kK5ID5zpcs/S+E83gW9o0kHPZ+Jpz+kFWO
pS6Dw4PGAkCWmK4pl5aFyQI6OfPiNwvcuSXtKZxWDASwTZxEY4C1/MU94011BRUvatfihRLBGLfE
YsiwO2Khm49CJsH31Cuow1YLJUC777JGTNh/+u1aQ0pQKLboldMfS+R2N4Gw1y2xKeTKLExWODMe
/v4wgcGf9muDrHwXNMWpTpF1a5kP5KhKezgVhg72swjc92VyYUjYaXbK+/w5hQ/PmzUW15aJ/amw
5teigQ1ZwAGNzDokY21OAe63dZq95TqnJFiAxxBQe22c7iYD0fjWp7UkTql/sGsNbkVOIXKQ1Ps2
6GQmS3d+X2GoxKQc4eywz6kuX/VE3NtCltAlCJyvKXE+ezspx+c1GHuqaaM+UsO/okNuIhYO85GY
akCfljzSez5Na/6K4fsnSqLhZu0barEyvaOs8+N6HN6bur/UUyNP5QBTHnrJDlyHFfU4OW8U08ND
hx0pS+smKq3yVQkj342sOfZlPf0Al+Vda29NHuYQFiZkCYNCexOWkoZWsk44OpPDdnilRMcWvpsm
QJkpGDw2F0DFk7HqrsEwW3tIx+IM6TQ/SL260WikdJwb0gew3nSsAZ98DbJWXzQanL1qXYPJ7uIA
FU1/APtv7l1jeGZZpZ9hn1RHZpkc+7nKT7KEUjnmYJMB7lPlSHc8DIybz5wL2aHrrPCQ1i5rmswI
j5M3/2jcsj6j3MCNzNkRoa3MZYwG5mtD0xtPrqz3aQqFjbC4njLQriOGo0vsrgYha2Kq9jiq8yiw
9IvpShF1VflqVMmZhDIy7XtEl+5gvLkLHnS71MUla7HzGbi+ftqj230ZV5+ZI5rUklqdm6wlsQ3x
R3lLzth443kDTzxhQ+3OJlQNQ5qHx2EiDNQlJSwQxAcUE8sccq2Nk1WK8QnJ0Ow/V07JNExYtcSM
g4tLYZc5sOEN9gktP3t7QoC507jhB2Gu6TEvGgt9adqB97AHfhofLDCXyFm/jVVLMnEyTQ/4akwI
Gnws0nACKRNovXxvFYfqPvWd5TIOucSfMi9zeBz4aOnYWDyh45bfdssHmYefZtvOORKVBKGXHsfs
J/O5kGdtDluGdaJV8x363v69p7JG/JE5GfkvUy1uMhnWeBRh9mStYR3JVOcvK5E4LoV39LOGU0Kj
pm0ES3KXZTjOgHXL/mztPSTK6siCMI+sYP2syc159XOl76rC+OCRerPWXBBVXzbEByJdMVrnrhBW
uesqq7iRRv496YNul1sqf627AhgiGSz51WLKDGBhXO3dSmLhA4qtT0AtS6BsoY2Kx6maixnCIfbt
6XZCNPaE9dR4Lp3e/7CIkmapERJCW4ddgbEx4zGGP2rtk0bqAyoHcfUAPJFNOCBzGIYBlk7W4NnK
yVMxxMJQg6cW/4r3WK+TfUha0pVR7GSEWU8kfaEozZf+NJtAbaJko8S1wRpEWGjkIxz+dzmiygVb
Hn7rrP7Rpwia4UkQs2IHw2dv2Vh0gnm6ZU9ngDQBMGCEJnRXasCRQX54YQzGDbb/7BBs9DspVmIw
G9KlF1KNgeiZnAfBcpfPQXm/GmK6LnkIWWsZCVKX2op0zxR68q1xDwuP9MHQ0RRoVhBTmo+RMrvj
YqSYCuzhGo6cWhgRFpyV7P7FoOUZyI0beTP8rtScn8aAQLkyQAPXbOhA/rbw1Gp9NJY2PHdiSpCS
aIZYXlh/WzYMoSDLIx43NCFlOQ7/X7xCHFD9C8hnEhwDJNMsg8JdP7RnEBUgmg31U7f+pzr3m/2K
7+UgekVe3hKuJMewQsmkJpQMg+LFKNvvCD+u7FdHeLUVkTDzJrOwfHmPC0MAJ+WNlWIpDvOGYFzR
XZ4MFyxjq4jRAfecx0HKeA1g0MLkiSwvqy4571rvy7rhHSVVPu3L8MVqyvLGVQkYg4UlVmITNaGY
st/yGeiPkLWyeC7Ln6RFhAet1i+p4ruWv4iSsJOSa9KYCeKhgqO/DNOvUONnkhPpJZLSSuJsg1LO
TjBxuYMOgfBDVIX7E4nFD2fIq0PlUjBM2nmru5H4nbJvX6uAb7V2DlFnox5+dqODrL3HaexwiIJ3
g5DZuFXxGFqNOotf7MwSh+8MUnOsE3DxE08Xp9T0FiwNF8ZgP+e5B1M5ZaBfaGzEo5dXX62N11lv
5M6ReNRDMflLDFdRHpCQ17eYEcj0XFYnnuzla58lC6J/z4/mkN9hzspyL1CJvPbCWh9KG14at2mI
7yjzRy15wRS//jSUxTuPfTmgYpLBS+u7fK0t2FeMydmr9Bwj1U4fR0LWHtwhKd5JbHx2PW+O4dfe
OVbTn+wxSImDywqFdS7hhUbM6HxCljfH2mWZvoCHc9bEs+io/JR3eoKev25c1tybUHymjYXaTEs0
ZbzPkQXT/34yV+hd0CxOvnaDL3PZi/cRHmyhkuF+FbZR7Kcpm06FGmyCvr0J1WehJSerYiFKhiku
2YldJkp2PhGifmqD0H3COdiLmFPToMSwlBW7hHH+7Ds7oIPui5T3FENiEy1+5x2VMl0eGYnm9ISq
Yx1jOLjeDqTTM07nMWa3dku6RPG5J7/3q0zbSzVnCYy4hozENrW/E2TnojvLrW8gjA2SPOEllpEB
teas5o0XnJcZZBjtLvqb2MjC6hdjeIY2nHB4XoF1VMdQeg/w2G8SNBE+aeZWo0/I1gs+zt7kf09S
v44zq/eJPHfzN6Jlnas55u4OCHe1d1nl4adRK+qlFhFlM9jNU2c7hB8svBR3urQCxIVJAxp7UCPw
zy4gRpRBHbTmjducml1xSHx4ztuIaq/4vZiPeMaxYHxSH/G+5G+cZuUbV9z4uZq1eGZ+nZxE4edn
4c5UvEnrXVo5MRPOcdIRvofl/zW1yDe9mYyFud6adRcsVzwQmSChRbEcuzCDm+Ks1mYZaUcqctTh
zLAH6x4HIGlvIljH7y42klPQN3BQimK4d9Ks+9TYblfy/DXFsLPhopS1C/aD6grvTzfUTUH70M/A
sDlhY/qkMdytobJxDFVqmfZ5wfNww1akZka8scLnJFi9z2m5ccSnQHOzBqMT8iB20MaXzmMh7JSO
x2SozN4nfwZW1Pjjc7XKhRlPJo0r2+/8nfG3PLAdqDeGnq6QuEqxI3MqDSLHKY0g6jdkukh08shQ
hn1zzfEKo+GZ5DLyKGU7fpUbfN3IfMzew5redL/w7L9I7UM91S84M7CPCd86zhvSvdjg7kvNLLRJ
2ypWxlqhOe6Ue5g3KDzq767buStb7gJnxn4qzPG2lusYOVYhT6Ov0wdL2cnyFPhF19zrNGN5GKZa
tB6JJCydKBZqNIHLFn0zWihfv1Nu5ijTotJvZ+e5GVLQixxjC0vfrod5k9VhNBekXd1U2jFi9tzm
Hli/7HZ2n3GOYrjVlE6efRoyz32zyPnBFD6nyj+BFlLm19ALkp1gZJbe5tOUt4iORVfsifia4QuO
Ey5XFrGcPkPX3E6DQYAJ/Jkn3Q70AuRYHVcX8OU0LCT3zp06d3wmd+Ng57eqcPM4sUb/Zw057puQ
m0K0y9FnHtnOvPRlmOTvpolavya9Clmdt3lE1xVpHlDFH6ye05M31pTgJhLnuGUs/gpoRuxzj9N5
D+epPPRMIz8EhfXNzMg3quiPG1+JY8O3vaxWOzwqlavPmXbqp3k23cuq8jm2wDXu3MyEImNmtb1P
S+xaYH+oDtotQaoETNgBL7xznJYxPr/jp54qco9UN4wJYSr2KXcdxTnMdG11w36s/DPixmnX0Lg/
IQYID10prA8XFN6pLjsVJSUnU4WUI/IBUR3z1J52XeNudMDa4+3ts/lrFRI3ANf83tZZ+B1A6v3E
b8K2X1joYK3l1JoVscTjmN5i8A80e2lnU0977UGF2t23aHAx4q9bEHKRZ/s5qTMC17jGE2KQvyBS
UVET+vXJyBMb3jI3iZw9cpAJR+xjQxgLfGTbPjSJwxQr9I37wV6XJzVnpxFt/lWXiEddCKAdFbhR
7asly34o5TnXJMlzDto2Rb9NBl3Zc/CPqkDKm1Xx2lWwuFHUcOnMyyOT+PBu0impUWj7TqWXu3tk
2RyYfQOkR5gPQUAWVd/3uonHjdzuY4OQDVm3FHZtcFdCB4yZDZZ7s0qcqADl9P5r0m3PvUStn2f1
u6H6d/j7bFkYiDuuNkXUqOm70FysAXyT81ITl2bSeG5D1GHElgdxaAEGFQECIyZxrT7c0M72E+9W
ZEn9WQU0EWmwW9aWbLjqc18gH2LNI5r9OEgi6LRt74HFkT2bh8kFrgYbCMIWojoVXkzNbIrYkLqo
9h0M+jGFgXoLJl3yaen9oylKP7Y6ZqtVmpYPzB+E2I2OHoP9pMR01w/U24VgndRu4x8d9Ooctm21
J8JsPWF2ET9mSYtWDMV0qp1h3M1Gaz0WA3qSUnXfhkwPF78mwUwEpX9BwrXLskUhZfDIJ8J5esEN
MLEbzNJDmrdf6dcoxRaJPc5Zi/osRzWVcYpL/g01LTmH03y1sce8Ukq95Ebbxn43+DeZhxen1SuF
Y5ORELluutLR6HZyGr+EZgsYZrGjrLBepcGRV0wAJZXXBfHs2sEbJMo6Yq6No0MEE2uNxH1Zm9LF
1lFaN3LJbnNDvg/K7wl1z547D5IvJ+lhXqiOZKpI+Wusd4b1FWJS6XzvgeETIYT/Xxn1qybQ9KdS
NXKgVAYe8QYEDcSGViPyZK9+CpYBDVeTFuZuUEHyZRIjEl89TaA1wmV+aokTQCMeJMiXGUDMB7fH
cUzxjz7UqTTs8tEOnyQHFgZa22X/UxAnMaKPzQaDJ6Hee6LsLug+o3nNU02rk+x4q5R/LTFF3k8e
8+vIhHdFmmFJDr1nkV2xnwKcfvtRZOrOggx45j/4p1IGP63UenKKhsMjyLMLiaLlZXG5XE17/paU
itV4aZTpXnubBNcviA+v9GXN/ZJH3XztuJLiyiRNZLS2WaCSaDhDQtx900PZ7A5UeSh8NoOvE6e9
xZHg6W6aTzBdT/7UfiH3+gIQgHl8rpAyp8Y1CTEbrBUsN9j8F2WSojPbpb/3S6+6KJfxH8D0PpaU
+gDo8YknTnvbpdNjWPTf2TrziU8WF5eLfGwdIOgMZvyzdEiW8I0hO9K7MEBca+MeMd4bcqz+ZkgM
8q87Dzd/ZctjJlS6z5vaPOmC5qxzx/4scbcyuRgaBvnud5Tw4eNoCMZwCRT5rFm+lCkmC2tY7AMr
T9BMg/01cSfzeQ7ccudpjCaQH5r5h9v70zNnH8R3zyXDUbTjpWsZRsFBRu9gONeqCwzmLHkOFlGU
5Sn05NUZKvC7q+2AQsnnEBMHhAT0tSIrL+RVorFfm0OZL+qjN5vmfUMvEDgPO/EbMkMW8uZSGh8N
AON7X1TGqeDC6whC8fUpKIsOyRktEqqTItsRNYmWGM61XS/LV+osHq1U1R85UuL7ZrYT6KbZ+M3I
vZ94bRYVhZnRX1rG0I+rRgLo5v4sY5WLmb27Oz5YVuasdx0gBRXNft0cmYLWKCQG9ilkbniHDULp
423J9U5hsmODDheShBLkkY5IjDsTGztERS6DU55ML0vqfqJCcJ/bJIVQ2y7DiecA51TXI0sPg9c5
IESaLFbrORWoqfuMIDOzTz5qDfqnqJMAOp+FpKCiSTduZoui5pYFXB+1w5TdUEMM+kDIegNfKvfG
iyM5fyJvADt5TBMc5AyJ4ATPzMKoaWpYfpLmhvJubhQB4F7TvXbKaW/QNgbkdzR+SMwizMzjogog
PpwL73CDQ/sO8bV4AR9terugHde3Ef5BxGOcMDRiQM0STy791R7VeOvz6WlZhM8kM7QyJx9BqW7H
hQVVthtTKiYgf5FpDUD4umGrhDhl3uvS87/ACgx4tMdiOKkAWjkJ4y1Fa+AQZZAa1QRLxNbP7qgG
hk8CaTiaDhHwThjha/XLaZQRl7KTaYJUj5na8rSUEA9imwdtv7ZbCIbf03hriyuaErRWu8lWP0Eb
yj0rgsfFoKxfe09cVOkNO1eNxJfnSfuo08l6Kzb96Q4bKSjFzjUf+rYBa43/MHjq3Y77lLOseajI
KHoznHy82LDXx6hmu3btFmN4K5Uh7kQ9L0dLAQKgee3tR5QF/lPIjh9hPvzGG8PIrK9LlZeXoQ8m
oIabJ11bI08pMW8dkEY3IHsh6DOcWS4Kz9ifgWHtRra5fWR32O3vmPBvwPOwsytoN9biAuScXd7p
uoAv3KXFTpf9w5r27AdZ0VnQ1xv9IlY/vRRoIGLUisvPCtLve2L2FGqrx/qQSUcHWgGHZ5QWefs2
em5zmA1u3bRxuMz4SO1odvK9SPviqAyMVhGj0Zsu0f55msWwVyxBb5UJvJbK3hS3DYSBT+TtDkSK
6rzeYelzYq9zEo6TwXhUZavuIFsEp5oEsX0/reoI7suJbVXyKTG6ebgGgFg+M701uMRm9SKo7267
pp0P40D1zzjTZ0pjZE94mKY4CFPYy+wy4lT19XUcwm/GZKIMMWsyhzJ32BmwFq8QPdzYLuBg5K19
bjIzeACbps/z4k4Xz/AhUJAIRVIVXcdIxRgzb+4uPZHDV2JDytvAC78S8GfupwS6UBEsH+lSw3t2
gO4nQcFY0UxqZmXd8kpaVnLwgffvlcUC2+CDfswm1ccTct9z2TfMbJpSLlYUBusus7W5QxiE4NKF
p2CItXvPIZ3EtArrCRA9UBDfxLcQ+A1zYDOsqp10ral60i6ozSXjsinczTmF0Ke8NXyUxy7rG2as
KJ6XJjuY+NGisFnv3HLl/4vksbf1cj8PkjnwVL6GvfXZTjmsEUzsc/gNOyYlH6FEMhKmLDxmsJy7
3qjETkJ8OVhm6Zxmp4amWjytAbGyjeMCToVlQlDzek86EWqJon1TfVs8gJVFFWadKKyG40R28xdD
swaxCC2xBUhfsVIhazgNRzVxUeNd+qjDon2cx/YRe2m1RKIJuNrNrRHMKuMeUeIC8hYncQsn+xa4
1XfH8MfrL9h7x/kP82uFpODAPhtmzCVprW8npTR0vPbf0ar/O58GmRgsev97n8brjw727vCXxfXv
X/PH4hrEJWJQsFa8yb/TqP9u0fBtIhYdX8Aa/t1swU/6G//SJV3VtSx2oX+Xs/6nR8MHQMbohTxF
U7iO/y8JU/+6tSbZFY1I6PMbopndduR/3VoHJikWuH0hCwb003WWBREYCTv602vy8Duz7P9QJj80
uRz6//d/2cD/2QcCxtMEeOWRcQIZhldi+/c/kcySkQRsG5nZaSwkYdWTCGlgwfZ/kcOkH2rPJ3yb
GPhu16yD+l1R/d9iabb36x9+OHlpoHt42Xxe7L/+8MyrKm2XQXhKnbDB29D1M3M9uAE1IrknLpjm
IyXklRwNyX4FmVP+QxuI16lyPHtX4XGOlhFL1kBZH9ut0V7GEn1QHxRbjVMl7LWXDhcfR8IVHWzy
VHvVvPufX8D/7x/hIyowN0YJH6T/8gqKzlGkMa4sOVbiWPV/sHdmy3Ebadq+lYk5hwMJJLaDOam9
yBLXIiXqBEGLEvYtsSaufh6U7H8s2i39fd7REW5ZFoUCKpH5Le/3vBIv9sIomG73Rv3U2CaGgCLz
2IMLSIHCnOoXAlcfdWu0eIokwUIEsKa7iioNieDMgFlAm21A0nvEaSSjpTOKc5H0AE3A7qMXKBj7
/Pk9IPf42/dAYSPAJsOHGfKeetZKu++1NwYHSrHjRsHXJlNTmuHS9NvPr/Q3EhHLjXqzjbrD8Z2/
aa3JBNqlsREcBjsyIdk1fHmu31ypzm7uTQc8wM+vt6ygH0B9XC8wPVTkLHEaUssK/MvytkRblvjD
cb0oUffsKIjmekzkf36Vf3h+qMel7ZD0wuyQ7yBkgWK7QD/pH5Q1JoxLpd9qO0gOWeuff36hRTDz
/n4cizkPjxcPpc37TSGN0NmMrMGDNZOXz17LSETAmtGaL04X2EtQgwO1jklm9oBwwj/VOQIxCQHi
AYksXBnHae6VdpmhdgfGB2vB5BajtzZ1j7wOr6occ/CEtfk0RNiSroFXSJSW6TirlYy4yFRLC9Y3
llmt5bYfR3dODj+/Sdt/N5wG6tBkMo3HaXnENIHzbjhtsZwHu6qmw4jrGiWfis5yhJ8epapsV2Ut
SaNdfZtyZSyaTUaRtJce8iLtdwM90R0lGnVTZwm97a4Ep+OW5keBM9GNw+zmZ28sio+077ZKjNaj
gPuJ1GzMqVESfJ0tMwt28ZyUG9Kg6SmOSuTtUaL3GLwKhkw+s51lB7dznNuot2ApJRVW1ohbDkUd
Eu8i8jxgv6LXlZMU2xhJ0r61K/+sQic9pgZ1g1I0DDrRAf8SM+XHPEEGbK1GoFHnYmxWw+zJE7z0
HNcxDOrqwSJ0lXj+uEzC5+tO4GCa4Tf73GEalAMqWpHYG7dIF/Wb1nrBWMQdNdjO3juhJHJP3djC
vrEGwO7N8t6JbfPMfF/x0Yvi7Fst4gqlkRkw2hAoxpRXY4VAvCrj6ZPno8L3CksdnCDIj6lOp9Pc
BO6tmwOh6vykDFZ2kYy3lOwYnU9z59Vs2i1OOxgkhNlXg67BB3RPxgYlEsNSnrrCyptP7YoGXX6w
IFvLmyqsw5U1gRknqqc6ZHgl+pH0tDxPRnlTppsACALVxD5SFPaLE+NoAF4V96SsKE44yugnI886
4tLCnG9Eb6Ad1MuwkMn5Qqo72nvYtP6xx8HlVeE2epfynGhb4+kNsbm1z5ncYRDMihgYb+4b236t
4FrtstgyNjAN/WK1RHZPJKI9UTNOdEM4MZY8VdFh1P0uju17Kyz6LXvbcGQwXa+0MXX+SsXWG8LF
AhCsqO+1yj8koRPDQR5QWUc5BksUslcoO/u1MkkNLVxxzEhShQ2m6BFtzQd4GJ9jQCCHuOvMh1DM
epsq9yPVW2QLZUm1pk3XRuoGz50T+jtbKfrNUz/iHpwFq2qYp3Vh2tGqTxuDaSpkXR5ZC1sUTkKi
uFj4VQswIwr2lFdLgPd+SLk31nyYKdzh9yXXIIGqCqekZmBxIWfZcAxluyTyXYBqY4IaKXKtvWpb
49oBEHHqDFSrio7ha0pWdd8nrcfYmka0DjEwrW9negNsU61gDlMLeaRZnx+EnZgHr+J1cQ1Eqkzn
NdTt+q2FfyzN4BjYbReHazTM5Rc1yOhTGor+zfVa/cke1HhVUGY4ZkPQIeSq5UmZRr1vUJSvGcwf
jj26s1tDU7Hvc01zdEXvrxVHMEfe3GxE4xbbwoyATxjz9CQHs9wx3hQfzQxjRaQjEsYBmqrABtMl
3KY8JVS+qRNQZ3BgG5/Sss+Ak7hTcykcbtyq13vDZZKiac1sF6aD/jZ0aqxuTA2kIaQGvZ4HjTqp
QtlSW2C+koiTQ8zhItju6y0VYWvLHasrz2VMdISqsrFiU18Db2g/InmQtxYv6o1OKJxtsrBDn2gi
pvgqUjWC8DFJ29JUfYnpku3cKvGeYzL3U8mI0tkwiS9onsTYsI1EJwMhH2475sqNGGfcYIrQNKte
mAQzpps95JFsPqWpnW0ycx43wJumO8OpIZBkwj6OssmojAX9c9W18F6oHLzNRmwe8lSy9yhusqkJ
v9y8Cq9mhI8Hre36xo7n8MprIcjp0QZ85NqUB1NciRipGLhzbLNvUXiNG6e3rW3TzVi9IV2/nb2a
ejmtL37GCvL2Y0T5cN0rm0+S9YG5H4aOW2LKhXkCpjgxeKMcvGVi2LkVbAz0m0CD1J010/5183Xg
9eEVsYqDr5YbIOXK1dXgsl6FTaWCGHh4TgbFvl5ZzVWKNQ6+yY606DAUzR77aOeaRp7xoLlAvMHm
i/ACQBAfG/Ovz2PoUIOGk9s9mF7NrxCzPSgThI3yYvEJbeM1RMN0T/232repRf5PvGhfO5O5Z56W
oVHV2zeYcVJ7RHt3LDK8FIY8jXeVHcbbqmR8ibwWQWWXAJQfnS0CTCgIJQZ1tB6GvaoHHe95/F72
RUm/iU+qLRo8vzRVdZQ7GN12hTI3ygb5cQroANfsrLpFEulbMr5BwzUV8/FyvP9njvJXc5QOLLe/
REKb1+71v76nujevxdf/+e/nREXQ035kyX3/oT8zVrhw0uW3EDRfjJUIZ/8PJof6Go5bABmOyNom
cvxzlDL4jYQU7bNp2q5L9Ij++Y+M1XZ/428jACOe9C2Lgb5/J2P1xN9GKbk85XL+Sj4F6u0lHP9L
uO0PblVVWKuQs6KBAnlf4SBpBg6vnW5OCfBZRgs+69J3luGGKH5irwOiYdrVdRJH/Y1duQmDSkjo
HC8U4VZBT76LdVQzwFPm56rUBCik5ccm7M4hp/AyQdC8mhTuVLKhGx49Ya9ePludC3yuGDlnBhBv
b05YVtdIXoKT1JPzWppNjjGlRVPRron6Vkv28Ny5lfE1m7zpiQOvmL4yfxp46VWCzdgNBeytAjrq
R1N6bTJo7e/dASQbTE1cESgh9yCqO0sIdunKOBvSYVCO0Y9hW6OgYPwZxUdbLLR5z7KnG6Em1C5Z
7H/Os5zxpJYMlsdSWdYBRHJ0SmtBVzNzKX+bpOfb0B9HZycazPTCNvtdFnN5zYGBa40/y42jZPZJ
pbBWHRFKwjy2xBz92bNlpXqZfWNkS7YLYhKY2x0CTNPbXzBL+NAZL2zbHOEQqJ8Yro6Z1MSEeNXM
Q+M9120ydBTzJ/ztZgVVDlua0Gx2YbCgqIkmO+u2AQvY7AxohWfFOMtrX6MSXZFn1y8ykuBKAiHO
Ew0TnjKbXUQvIBDnIKNUs9IWqW2UdBymeb2IYDo7JxtRVccgLSitRb/U0pKw65KGn0/2SH06Rjm2
NlRTZrsRceG1QBlqry+/zHHewYuKHqi7AvfKn9Nxwc84Nrz7U12Se1vBXMBZ6Gi2ptKncHoxFewG
SUKUx8xJbaLJCZ6RL9pwD7sweCagZEJW+Qt0bZmhOzMtym0U/QD+1KvgA0xdgEth3DmvNdDAdi87
KD4rNbXzdYDGhvssBElCJDIc1IEJtARhPBT0QzK97rI5j69QF/IBRuaqInpagAzwvwzrl5xcBXh6
OOCq7TCnnG78CQT1hjqsa92EQz6Gu7bD2OTY1UNC7RNN0RsQOYa/gF2h4QU+hD8m0Wy+zxEgNWts
kod2WAH+4j/Q/eCvn9zl5n1qC/NqtmBHrNU48TtzQ/FHupQyJqLtgfYFFSBqqcZaGjU3EfaWeecn
g3u6XNH1+mzaDYbLUZwzVrtqhsUNNh2j8HlEsOCvAaIwNCBHa5j3BKry1SQO99fMh1XXrqnqlwaz
0GGFeFYdmP9z5H2U9sE2sxcP0MROgN5ChLLtdWPhcLGK7Jzb0kR+pxgd1Efq5tp4vnxKPyfLP+Ra
oh1nAp0P69Quq8xgKO0mUDnKzjxrGRhr3ZHvGSV9Mz9CSKMIVeXLV2qht+WZpIsArdPB4iDfAvhS
Ff8e6ITBRWr+SIeMiuQ7q7AMA11CMcMbc3YoL23UQRam0LukqfNvqHBYkalrLGtKLCqyyDH8Yl+h
MsR6UhRTD8kvm9aTl3XjpgsITwCFjQ9MSU13Q6rrFzwdIJGYVQ8rL4/LQqwCGdSnzicjqR0fRJhl
NOg8LPARfQE9b60VhHjX9MLrNNDBM18myiKbYOsBVw0AC7lq6xe6ZC2NgtSaHgdW8T5FmbWDbIUD
+xA5xO5d+yU1AIfSque1yIN8evRddIKepVjYlhoVN8MDOLnUCbg7tLE2MyU4ua67UeX2xglKGtQ8
MpQVE6k+KujA+9LUKSUxUVa+vZUh8peV1UKEjKJUHoE78nw1DhvPyvPYQXqmCLlgMd6iOZJbyRw1
2WQHuxwrC9pdBSW4oz0xBFLlfhyvMR2IQHvV5UM+4NAJ+C1PK1yQY+uJFoS3w+tCf5VeYV+FuO8c
0sEXb7njgQOP+snbmWyBp4Y2+FcbP/dz7zj6WBfMHWhKimuYIU9Y7qhncvt2A3SLXnge+ASyAvmg
NRn5SZDM8ntTuTN9YJZlZM5fsa4FKWmPeXuNT5oHyir1mJ+Amm+/6Cyl+T4SOCII9QSJKv47hWM5
G2cclwhy6gj8knD2Tk7UwKBRxVfHCWJwZj4pK4SxBhZbN/k3FKEeRAGiBmsyATcGt+ZWnHK6Ms09
2S/kU5NhgIFZWWTqw4b5n/oDphlMlhh9eFcOit1Ee0xuGHX/QD+NnsyIQ0kXtEwlIHe3T3VGx+Mp
rO3qeYxz9chM813sDM2DthjhHaNWkKUK77H06KTkPVnwbQMwDdPBnKwmis1PkTVO1zL0z3NkuR97
qCr7anJAEjpjWQW8HxA8DmgXlxcfLmIdFOiWrLu2hcbloudztsibzNNYzUiMwqYz79HiVyjHPDA2
qRKgq201IVXqGGfPRxMVI95s4+eQCch8jZLNgRlWIA4/6CbP+7UhZL4lyK7W/mR2Z4txqZfEQlrB
UWhjmJdKWq2kk8fBtVnVI1y6ieP9esz7/qazzM9LD/xDTXWa3vM41e7aK8PuBNUr3QwUJR81fPdr
PaXiPhNu922Qk/qsg6hqXhmIzYd77IzDiDxizo5RniEaaNQnS8/hfRwLhnjAojMqIWggddgl5gBU
GA9WV31rG7dKdcAILJyjkAMXX4G8T6dmoRyGjkavlHTDC4SBcBNh7XoX1IFzS20gonVZxrDmTEaV
bpgCzz6YIcNUGzwAjXvJhOrGk/245XExIS/d6YqmZvmZCjRjOlX9FPa1eZWZ6rnjSNwiP3IWtMKL
sKJjOqbtydCO/DSOdPN457RCzdEKaBq4brcRKZxN8eFD7ykQApR8Ms/Co8CEcrnyqnqSpzHuJHfo
k9/F0s43Uc2MKYefceNKloqZxKdi9HFeycXHkKbyKspdOtwWSTolpEVjQnNS1Cj9Wgu0QzyR1kV2
gOaZPBY/C9rAOFJIUK0rJKH2vR9J985HePtYKYk0VIGk435iTBPnaWd43QDyAtUUyuMn12zoZyr6
kcKe6jXKBGcXdEXxyMAOzgsp4cfOwpEat50cA996mcaiX8wEMwqr+A4/JXuHcZ8+m0oN17q1zY/Y
+7FBQZr7wA40HJKpTdpNVwT3dmcO+7rsY/7VkvU16MXmIXaAQqwh7o1bjPmYcI7HSlz1Mu3vkeaT
yIXukWFz/1RlVHDNNgemj9/vc9zHFEwKqiGO8AkopiF6GpgdQLQwIUVvWvvKrYvpMJnIy2UQ+9As
XL6HDjASQ/sFLigoanuMWXQWO7wJRZet68lpdsgROB1zYPwrxNv5vmZG4Rn9JDT1elKPACe9XTs1
YUqBRcDzS9tk0yxkIZRfK3NS4iFmCqZd4XyKLSojidfYZ0kKNLHuryclUQJY1gQBlf0UOu0U+2uP
/eYtbXr3G6XOEXMv15kPcdDlX2rPaw6BCsJtvoRWMBsVLENN7QhpRbWmQuwCZm5qtJIDYx29338Y
a2FtQp13azBVcEo8z7rO0mK4mVu/tp8437BhKbERGtaYlxZ3aZfY6zZzYAUWU+Q+oDK1Geg2gmVM
ISUsKEf5eyYsM9ohWEKdNpjEggw9Z7cRh2w05NMJyVa7ZTYvmJjH8GmFEwZ8sPC5ZOfVdvQJ7SA6
6tmmeIuD9UuEQe3DHI4prqRRvGuyXp+c1nFumjJuFIWyxsCp3UEWUuXd9SQavffLZLoTTtee47FA
F9Nc1/48bZrAam6Ltmq/uOyW+6Fr1BX0pHCvIv+ZQG3cUZLZDJ6S95SsmJVxhizDzBUnnhwdwozX
WBLMs16NUqFHpVeAqqWw3Pmht8369ykr8ojlY+XMqTKaurKBZ4AHAaORMbHIuM9C1zACOBsG5X2Q
G3Xi9L/TWqcgrUt4HOo7naMw2NyO4eTuQT54DxUYj/oC9CgvcA+7NF+7Mag/TLCuVriqNf0xG1HT
YIilsy1SrhjlC64B5sek4FdqxPi1DO8q1AA7h+FzBTIWZf7HOWakUNrKj7y7yKqbO06/Y1dwgo6/
6Gm870PRg3JcSdLOaKNJnr70df6SGGcESxSeEco5FABJOhKmaKmx5UTufykZ3P26n3u5EB7JnAhI
lqz33UhfEcw3ORdCK4xktvaZEqA6T6zG1yBf28QnzYqqiXgU1MKvOrrLbfy13RbQy7V9cErMbiO7
WsiGf73N2tDCQ1fILEpaW2d3xB0jaRJNKJGrQzUZXNXtPOJBYyyI4H9+6wJa1N+uLi0TFzDh2RAQ
3j3kMXUMoHiqOkBx4m8fxgiCiZc11rlMWzIo+uDc/CA1PoBMX1FrV2W/jC5EXk4LehK/6Na9b3bi
W7nwqYRNf11I+f7zRAymadB86uApJY+jTfnBSWLrPGuvfQuU+GUb930fMjClLXzHQjBggtt474UD
LVTjN9BWhxIcz4kh2vql5TR+zYwOpgrOmF/wrZbyJhr83j4qmuihXrfCiIsPzMrkHHfs5lsK3FLd
FmoQN4XhzvWVssBSDHEXbIesYiXJuQyJ1QsXnWlk2gFVHNnNj5ZrhDjfTZk6JH1PbsHIwmvlDGP3
CEmdke+5E6Du16XLkP7nmSQS2Kk/kaVHoWOT4EUkoBnHxLnwbLrkuW7f2CfKb/48lI92gLZq1TWL
KJ0Odv1iFnKaThEJsbEcmCZZNRXe+xlD5XYXpGSLez+qYKbzB9WtrGrh7lUsMNlohV+9XAoghduI
m/+UN/+/MBKIaXkh/7Ue5+MrBgHAlKvyR0nO5cf+KHCCI/2N98WhaP+dm0rn948Cp7Dkb0thkY3N
Yt3/qcYJfjNNS8rlVWN/xVH+/9U2pYPxBllOQLaKfgas679T2/zx1aIDwJ4GmFCayOCoob7fwOdq
brDO7hnwHXIg2Jyv/b3Cl8hdQW5vP//lwfxyE79cDKumxVcwkC63+061EDnTYvLeyfvYIPUvZWWd
NfTLZ5yLlh10Wf3AIORrMKTqFwfVjzv4H5fGBsT0/YU1+34HT4xMTB3zPvfg5bh0gEXCdtAjbBfC
P3G2kR+CJjAVJbc2xD7+F3v4j1vmcnnPkpSo/YBThMrMuwPEspOopAll3+eFQfHIN4hR1mbXswsl
1XK5aSn3/PxpWz+eG39clKUimQ90OTrePe6yLsM+qgPr3rFKzgpIS0cLpkKzQ+0VPNcdKgqZ2Fy8
Fz27Stz13ZtLbXSfGy7PoaG/tq+p2k2HFgh7uJ1nTlrXtzjn0L6b4nqoQ0btknmh+LcQ5pCXw7iw
f6F1WVQR/3f4fr+NS+Gd9gAQN/lOheKPvk35IrbuqViyVnp8Bad8qcn5LUcbhrXV9ZTRnvv506N5
8PerYsBGA4EXg///8cinkOilk6PEfSoGcWZeCtCRV8bfzHRC9izm6cGRtbhhopqysI6pQv/8+n9/
MT3OPCZTIJuxbt6/K0MQlFmTTeLeNdzpIVleGAYvprto+HNr/5d6tXcBxuUJ24IIi4IFF4Tm+uO9
htrrStPsxb1EtvVAm5wa9JBA02Da227fpkzK18F0l7fTpMpceyMviwGv6Q4PFOMXX/c/3bgNGxOX
Nc+BW/Bu1VrSqILGDGmw0yts1tLDyuWE9t0cVkmZ/Uri9E8vySJ45L3kfx4xxo/3LurUTAx7sO5V
i2ab8SHqxJfKbe+Z1TUoBgp3AzXSpklY5UE+Ez0MyBhAmeNOwgjdXF0b7jA9RNR3QRSbFrYcNOy3
oqNXE8cDXdNSp7xlyNBhBAagd/Pdz9fKxW/23SviWXx/iLUc2PMX4dFfwvA0j8LeB+NyH8KibHYz
gdnhsm6mrqhflMKXNPfpXGBqGCDCwYI5SiC5r1sdNIdaF8SMSSbR5szjzDSUCM32zVfm9PDzz/kP
u+DCUSKIJlkgTXn3Jhuo8gcXbMO9g78lZfqlQC5qCuTCDMW5Qfj4PWj5lyt7OUF/eItdaj1kJwFS
WAdY0/srFl1kpWam2/uRyt417RHnNWQIkn/YlLZ7057ulO1S8A6TkCDPHFJsAkaAC49Jv9D97FJ3
b3aFNCA12QFMg5cgsWn/yGVNXB5Ry6nhrsCyBad28CimoxQ8GQbuPxZC9ZsZD5VfOBF+T6v++n1z
WBN/0pIU0kLY+L4fOftZ4JF/RPcVP7VGIjWrTeoZ6S18SCZmSqbzx3XqDUxiWw7te5h5RRjvgpj2
wwobTttcayqQayu14FQUnbcb5sjoDkjsekGpMmL+DsQixSUgR5RAzHg0nhiPi7qN6VWVoiCKEGBN
15QyjmmZvBlpO/ZbjgC3xqGCToD06/K+h1Z47bdFekILUt0MKbVgqEgKg0ZsqI1PQnvZrah0/sXM
WrGBI8S8BjXCuebzDfGbxiDOvep0XG6SjvP7ip5rYaMmSOu7xoyhLTIDiw2vrFpz43ixj87M84z6
uS/zdNzYoec9BjhXItZIo8ylnEYxhIGQSKHadwOKeKhQ/N9xxGO6sCzaLjvMMOegTvW9BOaMsxD5
OinpyYp6cqx6CK9MlH0YCw10Mj1K9ureGCGRAXPuSgfIggXStoijur7zoiJnBDWQcbjx0zF4juKe
YzdjjXhUSaKVW0GuanDEi7aEBsHWgw/Np6sc5xVcDWFC6bPbEAIu7d6aU6BNND9GlpXHm9BGC4xv
Mk3Nifqcd2JiM+s5mQXzFzWN6R5txhVq1FR/QFXYnJCv+WIX6aqIGaBKJv+Iei2+GfCQ/4IgzqXf
gRKHQmSqNoFdRNi5SLVT+IJXDQn1aJrzJ9H6yZXFMP7GJw74XXdVRc5Pa9ALrHDHREb1GUaf8wkY
JKxqt47fWCjT16gP06VtHJUbs+frQUXXlRRnagcbQG9Ys7Auai5MKCfwMVD7VviKv8mGmdgJC4r6
bDh+kgFw9+mmXJUlRplnbwgrM2AB5LryNoVX+AtLXUuklzhlAh23+H+BzgoryUwmBobuGHNpbNn8
TAT1JyOm8M3HzVKmH+g0FP7OMJfgZ3amB1gYPOkSQ7drM0Iay25vyNfGH+nuQOPA0KWIwvxpMlq+
MR3S12Wcji7Y4AVLy2zpniWaVbmKfcFhKoGiY+QlvPolgBqbQPCc+VIprxpr01T+ZgxGllcZ0bkH
4ciWnUi4Hx7Ny/WsXfka0jFZRYlJvNrl9M5Q/+GrHs7BM2XE9q2l4oPljcvGI9mHPFkE20LhD0/x
MqYVWRQ2fz1+Nnw4Mo7qmrAufO5djKszXVTXWZlZ5wZTav5QlZNidwP7M9sZxcxcBkW0EaLjdyJc
iFrwpQQ+3zuJKHDoLfoOD0dZnNSrLrf5E+Sj6Q3zYWwxFFP8U9QUwSnwqunBclwO9e9iq2WPJIbz
TyH6uutLczGs/PatCZZHeelJt/gU9AQcfFpaG7TPEA2hKSfstPDPSvRdc4lFspyx2FuadDRYI/L7
npQcG0kiQ7204gGaBNuLaKBPSDfsPLXw9kOcHnfToi9eokdt8ewFklP8iXh/U5RGQ/sGMm6ir8iv
0I2Tp9PClsjnBucVYXSwxV28fatzTtsmiJqXNCuIfqek1Q+XQGHOmlJfMc3tvloT8T2UeL7ahg8D
4zN9ow1AayxBEX0EOMykW8wr7VYhWEzwXtWJZcR3R8md4L1qOHha0v425BOZqUkQXuFUhzQiq1/g
nXGa6wxNyDa0AqL0dqYDTpcQfE3TKj45XDoiKPRwmlaKoag2XAIcppdpSM20178nP/ZyJus0QNyJ
SbIEjwNpKGUKmvngD6Oj6UkXjnyNPSTZe44dPiCKSgocvlGOKXZCIvwdp0MuXl5eIYE+mO75pJYw
iJOn26jx3pdj+5YHLd9RHfoEd/xrAL1NbbFOYm+rllQFdz2UgxpBAduAfXT5pm/K1vaO3E51DUbG
fYAEA7zIiHM+LV08daCtKG6gzRGXgyW8MUG/wCKSPX8z/J7pTtL57j/UY2TEzMiF5IDCLVm1qLJp
2FLl5MOEDgsYS4qlKiP84HkaEu+cZiiXt11jJntI16yRSxkyLkaeKXYZ3P9lE8BUfHrQSclTyeHv
nlxNAajBev26dpfLFyNygYuqIO9E/ZIyzHtNx0wdCPebQxPafKtYjvkbaGjLcxgJQYMyCZ+NWE93
k47cVyAxvK/4qQNmT4DDbSKHN16plk9yWYnY+QlAFwlbgCOI0bffhSQyaqL2LphCazz61fIFpY1k
a7KqsDkUikpYAt6FiVPS0RY/qY6gyPIXG0oLWPKjNil62WmKvIMOP76HKWmIxEsOqRBlZ0jri4sk
+3yASDkJFkFFzYve0Dm8u9whJxExcgtfER0M+shLwjuPRv0yU2g8DwjSzwlbt7kaSWnPqJXFmela
vpZuidJmfxE9fZdULMemnk1WVJ0bKFT8i4rDqbGxtVBUp72FMrnvyWSWp4ZYcAoQ9Ip83iCN56V3
uYssCeVrDYHEXpeLfooGJa/VrMELevZs72AuoUhw2ojtKMl4uSy5VJjjVjmgCVjy4LOzcHqIk9C1
t+NAg0YnDmoeB/Nb52FSI6PO9EyQxhjKdF7/UKwkCG/KiVIgHVp5zPC/q7ag+8ccUqLLTzMfYDWP
aFRHIvYQHfh6Xg4XfP2WvW+yUmNfRYJNnlAkWlJyJsfBwBesiXl5AN/3oiVxH1KLfWHZWFXkceJc
1i5TvhxrU1erw+Ql+ncmjcL7y/qUcBT2uBf2ewy3ZPbB632WiG/2CD6cbLiKIw1E9/uCgJfjf6s9
sCNrqqnqYKRlAOYDmDaqVXG+rAp3ypaqJ45w9DcZ7BFNKW5SZ6k2ZK2RVGuaSKJkLvOiZprxg/Ya
iyIEnuboe5Llhr7X0hkPz9dKjvw3TSCkNuSe4kZIboElJ87I5qtxI/KIN8sLG04YlGjQSWoWTZ9W
7PZ2Im4ZyZjvydRZ1KYhEGAh4lCHyw6Iiw81dDwFediQApbjG6w13gHwbCgGcQBByIxsPa6ZomRT
qCI1hLvGoLe6LZnSwm6+x6B4azea60KPnB4KLUkJalI1bELQqEQOs55McwxM+I6W7IxNKtUEs4VY
aH4chJ9Mh64fyvhWLDD/Y8k2eqPMgU/h+N2if0oY0d2YIpzVuXN6gpDIyIJnc4GMlwDcuV8vGO8k
kIbH3p+KW8t2vsRGaKwzqAkHJ28A0yl29jGL0m8RPLKVh8ZkZcPZzNZDZfMCT2jq4D5zIukE5EVH
yTMgQtHuc5ZqnnNS84VWDgTXvdGn9s4sfVwSowartHiYimNS1+kHW7ZCrDk1iyOZ/XRY1CqYgNV1
CQeO2ZZgyokXXGtiMyTIDFeqtSCUTVPbmVfNsvlfwRiiEInumJiqlxUZTA7Q26gsqjBU2XqsUxHW
PEapxdejipp/NoHgIdnOPN1RARwB+mFYyIAC+1IzEOMUS0jXxP70kEUYzyEEN9Z9g0TpkihntJWu
RzvgVQ3ihv6Vqfh4qFIoNoGQGzcIefik0+UwCWP27Rm70uxrRYzJ6YL8YIvoxz6ikwmfQxzhI2ge
y2ZnRmV9lTPpwZbXsadV7oRqiXoanRPUgqckiGif1IG4uWjzhNG1b9YMNxaiFX0IlpO9K12L8xNW
Aau1iNitZphm54Erry/7ZpBmbI7IZu2tbkreiXyJN+sw8E+FAuOEKJ/y1TjJ+gWvo3FVdex7CkHa
TZezeJIQqItROTt3Id8CXoddtSa3iw8WE9Bf5eCaLfC/njeuWxwVnAxzXON7hNFgcbeo4gowI/Lo
ecgvjyRsU7d4mtMgBSi6Rzzf73JpwVxk2pM5mmwWZ7iilOycgF2JOg+PxEsNjg3odWQSl9aFS8Pn
HFOxBlWHWK8GzXOj5ojD6HvI7OA87NJ3hoIJ63vHwIznb13dWTuuHJ/xMpieptidTzHwlSckDtmm
5Q1hdybbmXcoKxeEiVuATNKyNu6UAbQBAEdQ+ltb2dPBQsj2pa9t5y0N+vkruJ0BzO3UEm6P9IKJ
qywqF615EgRl+5ziyqcF0qyYfAnBRzRNmWK5WjE44SDgukm82t9EqZt8LOouenSJ8ad1X+CpkLWO
ucdDWN8Edh0+xQaS9qrR/E1QXpOWSLkMoru5NMhY6aqOYkHfAfNUweC+XKoz/xGw/0rATmOBiudP
Ojxf2+6//lHF/v0n/1Sxe795KM1d6vsMUttykar/qWK38AmCFE7X49JrsahT/dnpMUGJm4JZTo+J
bZoT1Dv/VLF7vzF07S5TkXRALQoS/06nx/V/LIYhrbddTzDEjWER+Fm6tz+WOiMtUXGmUXxsC6+/
rvySUKa06vba1sDx8Igg8AVPJB5onaLtjaDZA5re4PA1HrJYgX0Mw97bqS5Qj9QSAB7ZOWEjji2g
VQFK2BfNDKK3ZtdflDTTIqqhneKpXZ/24aInkehusD/KnZXMHLjNAQNAziLRaUISez+Dya00TNao
8KMnrDJxih4cFa4DN/0UjOOzuGh/MCnRTzMuWuCec8Sog2FuukUtFC26IVp1SIimRU3EgY6waDbC
5sHBDOXEj2C3rCCO74Gg3ydhnbabeErHg0Ip92EedQmMEv3SvCiZ0kXTxByevUN0Gt9h4eHihTov
d47Utt3STUkwOEMd5XoOeqd41MVjFIO9RAxfI4LhP3sm2irOpycceAHJ+uiufKmZfkaaYzRmtYlQ
m0UrOKrdY4Z69A5eqn0fXoRc1UXUVel+YST6xrzBEyVY+d6AtQ/b+spF6Qemj0dot4jYZIWvgGXg
exBONsCZrD5QlqQagL5M9PEtLCZMCSxtynzjDUxPSmcEBZdHs2S4jagGyYCLV507d5ihdgdMZLon
2TJwRb1oFltjsBTsN40ATrWlw/fh9KfZtw4dMjksrJ1NvyjnmNp6DktcN4JRPelMS0zSzfKzAkB4
JWLEQIXGbdHJNByRztnkaRQ9tLK0cVfxqvyDnxbNzf+yd6a9bSPZ3v8qjXlPg/sC3DvAI1nyothJ
nD1vCCV2uO87P/39FSV1ItlJulvGM8LFJWYaSOyQ0mHVqapz/ks8AfmcOPGtWZ5kJqTUykRIVXKF
DmP7yS1d9fVQZOHC8Mz+xTDmD/UEF0yH0Vy4RUDOBLN33bOulKGpzTUbpCGUYeoZCsDBJqWlrmj1
R3yXUKvDo+3Kn+CK3QRd7CcYI7ZQ1We5KzD5DVsaMUlurIRUwZvI1MNzyUgb8EpVYc7rNiFkXZ6U
N2DHP7PaNrdSrqJs3MkPepp8troOG2vUJYurVuAuY4HAxMFaqc6TcrA/QRlp3o6SMGlt3RikAkRh
VJsFmFOegJ2uiaUdnhZd9xkwfyafKwNHs0UlFRUsV4EOxexHXRgWBkscP1v5dStwpJFAlOYFleR5
rwwIXAI47Qzl01g5n+SygfxI2bG0kPVBhiqgWqPDSCwvEHADkShgrJAv33pu/iBzPMAUXIBdSwF7
NTDLtl8ihk/RCpDwPPRN9dIj59xxB3ghyEpiGRasbNPprnoMOdg3I4zOoudVnXpTTcBb2+1LD5Jb
/imZgLmlwOiWcrUMBWq3FfjdUiB5hwnTK9C9DTBfUHT+VTRBf9URQ6PLxlXwKrSbIVwBQgyjRVDB
q5j1cmbcVIbmLiwNmTlOvMqiyGu0aCxUv5TctD/oZTIYs3pcpbIlXXp15V9ENss7crnS0nDZ3jry
0C1TPaT01cfRxx7GxXkSFt3KDiyqeoj6ixYomx1kE2dRGRqvKUqjo2oiCmd2fjK3W5imYZHAsotQ
f8kAkFy0ehXMWyXxbrrW6IhAOI50P2TjyoBhcQNaV3rf4QLcxKsGquZ5Elc5xUIvY6MsackyzFfm
0H/El8g8z9hAX/VYSC8MfmsVG3J2o8RaQbtJl3r8NrNCpTSO17x1FVHvI1OVxWsNpaO3KBlgJWSy
M/ENJEznQz4OuEkhdjt34ijCLAA3T723uhUkLPQZyhZWjx2y22/8fkbjs1xSzZtE+G/j0Ru+UUVB
EosC/NI3PD1GwzJvIORUXxEQx97ewkF75pupcp7BBb1C0iemhOWWL4K4+czCgr1PHbeX6Vh0zFIk
Ikf0sroOKnkS1F/VlNVmYelW9UJPcDBtPeWNR2vkUpMQbqcyms/L1A4vYguzdVB4lxVajDOFBXaR
4guBKYzUXuInLF/JAyRL14n8K7PT+4VoAK/MGp4oK7a9rHKUbxpLcVZ9agUU6uI7VxgZW5VnXbBZ
R3QVqftvDbUnoVVsg3XPyb2d0saUzdWCcg/m2kiaIPktC2stJZtLWa8KKX99uPFzj+0g5svzKM4R
/Bsj59zALvMazQh32TXFCv3ZYoH6cnUPeBxTgyTvaA/EcCI0CM9jo/tX5eh8sQHoXnlGSbXUaxZN
1H1JEr1ZyFTMFuhVvsuU0r+yy8q7bDroCgij3baIJcCux2w9URFRbVrjNUpYybKUKszAw7tGrqTX
nR++6onrtdtjx1bK8S0qx+OyNyN8nlGPM+DTtpW5NEYglXqE3R9oyqbmiN4P7/SIelzXENe7ogk8
85rCIgW3oZK9bAFFSSlnatAjqEpNZ8AWTe+yQV4gLjrKC991OAyj7+dIH7sK+fLzAJbEKDS7BGsj
SvFp7SMljvETBHA1XKKP/8awSjM8H9uRrUyFzRXtDMpdiBTA7MCKE3qErMAqGJBmN2Z4nhYv1UyV
/PM8LMcPGvrhH5JM7q8tpKnw606ri2KQMCVrE6vHRwgtNNo9UUfqj1NiAFbscoCMT5+LjGlHkrke
UBLmbNGE11AQGm1moJB5h0JycJ0IIwdNg7zK0Xw5IJV7X6iNdFGhnPSqGuxiiY+sArUdQa9ZkpJe
I2pemHkNQBvwMvLe48aLb0YoVN9yiiYwcTRE8spRb8/lEfWlDtZMN2N1g2CbodayKvMGLddaLXN8
X9ShgQDNyiUvjYq1bWYPPv5zlYWY6Rhx0B4qBSPG0a7aBr1IYMmxH0loURQmGz8XXUtaBbrzUjEk
s55n9VgEy8ig4pzZDu1GX2uQeMYYFReF0FfO+1AOX9t+WdxRPO4q2mtDMM/AxyER73KCBWVxOSp+
Dyo76lt5Jg+lBbQN18UPseM4527lKC+S0E6EXmo/fBy1QF8i4n2hoXCPXDcukXSF0o7uH7W7eZVh
I+AFSA7MpKBCzrCXsFEexCGWHRCyywnmnFd6oMsfXNcXAmay68+9BtX9JQYfKZSiqJbnQVnXH0ne
40IjSCsofF/Qc0Mo2+KIOeONAr6NIyEp6UBrXHR1Ew6zsjHUeV0DIZzrpp+8TIsKWL8Z+fgMGP5N
bnT50umS+kXXWMaV6ds5yvGabbyu4rKJ8LdL4wtd2OA5vLRru6kAaMepPtz3ru1/dthzv8OR11q5
OhZwwmnPelHha22eu57iOTeJbGhzdbA+1olWfRhgX8NwN3SczqCFq70hX5W0UDFXxk35k5brtILB
fANeBGzBWqI6NzFCEQ+q5MKAKQJlTT4NroNOUigh6ObHFrvQARvLxHKXUhH4SGLIWB94UKqR6qm1
O3Db2sIwu3SW0b9d0FxzLsCQNwsDHVRqKm13C9e6u6uQysSmpwMObiDPmWHjux6Kri9mapbpSyXI
gJnlSg64Um3reSKcHTS3LhaS6ZtLtZWte4BL/QsgSeOtXYz5m7wDMzInn4d4lCgYKaRy/NFT5NiD
SRE613B03WsoOfK1nLvgnBivK7nwzNfaWHfzTs6zK5XC8UIahV60peeLIbUU9v6yuTAMF84Z9J6I
1Jyky87MjYswltKrXoZUkTtx9zaD+UWXsFzUeRG+DDy61aEA1YcCXk+SaM+ZgEwWCwneqiXzafB3
576A5kcCpD9MeP1IQPczAeKPJjg/mnaLOMFkyRNgf3/C/VsTBUCQAdo66+7xSYYhkAuyQDvxBjpB
Ifi/8/9fQniaE4DiF+f/oPqaoZ+wD/Dc/Kvt2d82zyaYGAd/5CdtJMf+PPs76hkFLRNIHRUBwBoC
+7c7+1tnMmB23QYSoqvwywEfbc/+unrGEd0CzwDmXcAG/5YZsDjZ/4gXEVpDBtIeOlR99H818fMf
8EEAE/0IGxVz02wqE6TIDIVq4TgMVD3rktbnDwWSV5tb/yi/9tQDKYaA8xS4G1M5QFVFfOtczRNj
pRmqfa60iICMAr1mxjbDnJXnN0Cf/dIG8C2+oKWbxAt4JRICB8giJzQ50gCXXVmZb65D0VqcmlWV
AZv511/tEEnKo3jVQAINJN7Aox98tRKxf6+JFH0ViR58gEb/JWaKlCZNmNC3NaK3760opF4pGrW/
fvQT35KRBIQYISlgtIcFnK4gc8hSqa8qFVhaasPxmXEMpcBN++x3EmPKIXyUL8oIxI2BTTxwjkOQ
UZ/F1In6QF91GWBeWsB0JHARkGmGtbXFQpsCw/Gv8X6m3TmUNMmpgWa0Lfs4ANbAhv03gNbHX59a
mG2aALnQdYAKsj+KQ8Wnz+25+sruOFTPJ2KyDJz24h8+Cz4nwGuGMAPnYEB5lH7QdB30lVZ14Al0
qbrnbN3fNaKt9uu3KgbM/uQ0we0JcUVLZmgdIj0DunGUnxt91br+tw3RWQWw9+uHPBU7khDKizyM
LHUwagG26VatxvpqRCR1FdotzUzb5ASi0Hv7HdpZEdE5/EoalF4VxgMhPASU2q6mtKOkaKtQDWiu
TQBKJF3ovk3sbLuI6IiaA5NUAE4Hv8aNrnW133CGnhjBsLNJe7KYqqLJsD9gXBV2kmtG+qq3a/Va
i1Iqd4VojeRSxQil8ZksokilVzeMDUjmafLCqg8uyCC/Q6A/9QZ0XYO+Lt40GPj9DxPFDj7b+P6s
KvQ97qY+1STuQCfTWfz9lw3ZxAZBy9KiHo6oPrdpsVuFtgoMwutMqhZS3JPqbUH3//XD9lM96Ru5
Pke2HJ2VhaPy4cNyLO3iosila8R76RBKEvWcVAPoMk4kf8TF7N+MZWU/BYtHIkhoCdUXRjPyhAfL
WR6N6CIq2KnLHMUvUHug0VeVVX9ndhJY6crlvU7dQA48oAo8tAMS0IMrS0pp58EcLi5H0SybMsgG
6jGMoClmro/JOhVdYBm/DhLqM3tTwmDhx74e9RhK+RpCN+bB60ffONR7DnDXVSwnSPOiVZUFprT0
lCpqZpmcDGCKaRaWGVz8MB/MhcLNXpeAKyaGPp1niK7kXtfw6vsRac77Xo0YupuutgqG0T+nMwQK
w1Bo8+LLDA5oanrGJrINcsg/KwWSxoLSXkIFVhG0UMPiUy1Qq9CFtesyJIAzaPvDKyw2wRJBW3He
4+smIXznuIVyqVQGt8YFEjWuxPFxZ4hLbEJmHhx68yJOC54hACpm5YPNKoRBp97qSJ1RrUT7xM8Y
IblOCxXMXj1eSLTczOsJm1vVXgIOr1RS/5rTaX0PirT4ZOU0KK4TRXDtqOC+ktRaQrEDklvwWRkc
Xpk1aiYHtg58yPsC9a9PaR2Z6wjTX5oD1KTXg+IAkJuYc2YLcCsBJvU1H131si2s4q406wSKPm1v
K/D0dqZWTmugNI+XGAUAAAYSjYEVmAYwvy4wBa3X+7sYuPD7QVeDiwkgP0HHpw41gl7Ex0Hz4A5i
//hebYGW5Y6AAyQmEFClL6v7KPFUIfUI8WysXMjv9lDij5wP/Ba65tqV46bcJRFt97EmbpjF05ad
Vjk8KewluuCxRofGL0PB70NYfrAs0aj2TR1kIjVw69oXG5MJoz+B72SkMO4i0LQ9MgMSsKEJIFUE
mPmdUzU11hYS/aCYwjCn/JEhczRHVc8yr6dWsgS+Ba83vQUirvaCAILIZYRfS826aGZ4ZTGCvcFb
JKOt3PoSwNfzwUiAZADoA7mAJATrzcYIXUk1xnJLy/d9BT8fNluNbCyFzf5VrtisRTXVeOFOyLqM
ziWdtnmOs/rNaFFknCsBEO42K4y1CZoWyk5aOjGHP6V842mjejniWmSdq56pf07bNn1rYx5wg+J8
fE6lPFNmYAIUm6OnXF4HcdaiTCCghFXc90jtjBieyJVrgs4Zg24mm+BiZ5YRDrc2BFHMA3xcDpLI
ceYUpSip086CtD4ObyMkdGGu+3mOgIBwhmZM4hfCof01kBG0+EO3SQAMlPU3Wx+xpVet5tYxDZxy
EFDAwKGJyEzzUaC6OKXCrK4hfHxEj7KslpUxmF97lOEwCkzTF0CdS28piBwdlqg5nH305TDtbbJb
hzYFbj1j5X/2BALXymqq5xymL8AhuitlqK3iwq4681MOwobDPHZ9Ji2za01PkFroO338DBU54iys
jvOKkmZ5bkP1mSOol34O6U7VeLQA+Y7k0roQm1EqOD2Y53NBMVgU7AFnLeirJZ7YtUhMoAARRbxr
qF5dQWfJr8LSr5aD0QwP2Dt0GBQH0mtkaJKPQdTq85jywixPgwhsGmanlA/WVq0zPwC6nbsqmvBN
WyrLhGN8WNoS+DMAy7Q9XXQcoxJLF4rM4E+ROBAtD2NWUtv1MvHm8+4FO137Ep2cwThPgxapTeyI
AArHjnuOPgK1UmjUcyyO/PMxG2jdJFnzDlMDbCDatFo29KtAislfYwzOPjpxoM4CR+mXlYRJUhPz
ORy3Tl6zKo14D5PeX5h60c1yT+aNWrAQXoA/SF9B+cpfQa9jUEsmO7L1BBuU1JApUQlo5yLLawxB
zV7ASOgigqEj29b3XimTkLLRUd4O8siQlWuQrKXVwDmxG4o+C6QF8eCrs0IGQw4Ud5wD/c8wJAAw
OyFerAGyck3rBSxGY2CnhokU6mFlLO6m9Dm+xhMPD6YEGzMMDl5JPeeoCmvF5Nykcfq2zXWmfuMb
+EH3OrywCXya5wxbUfMQ7WOwOp/UrPDYz/kN9BgEBjOh3VvlyWfqhHb+bchbXUCLa4oeyGAt0lDv
HuCkFB4uIJLxATw/fpq+U10iOEqNOO29gI6ZEvpfqrZeh8CqFoYeeN7cRSal+oh9RCO9CcY80y5t
1afMDVpmbmIIsfC7rsBw2RyXg53m72AyYKriWHr3jp5ycgdE8ZsaY9aKmu1LhFYBrpixFc9Vp2wW
OuIs917te/djEHRvvMbizTHjw0UBLssBimhhHNL6QTTMiriyrk0DKMh532EDMa+gDFNCa6iCXdZO
L6/0IhtuiorimTn2gTQrE7xOZyZvIaTnBsoU+ao+XeA9j4FWWeovUbmKXxaoutwlgV3My0yhjdJi
p0UhVvuSOWa7qs2cspzhqgEGybYWzOnR41zSjB3SQUVMunBcA+chW7+GrvDFxWHiTVd7ETy6Rr4p
KeV/jjoz8uYlMheslQh8zMCwedh4D8FNSa/rWnI6B8/K1qvWatDlKwjMziJF3GClmLIE76KukhLR
yCFAfChtMItQVNWdBbprUcOGC/jWxD7usk21Ed9G330hD834uvaxeXRar/vUxHVBz6Kq9OC6D/re
mNsZHBtENLB0vTV7AG4Xjt9UOJem0ovQGrN3coDZ3VyKEIMSlV45Ahdld7cdK/w3pS2qmybP2wu0
v4YV7PgEvzHHd+k+KhwvfJLbBXa2SgCkPAds7bVW+9pTW6rKaeiiElmR8j5Ffa2BQoiNF32gkkZB
ATj1vMjbtDtX8SF1acRm6k1tDThKw6BS7IUdWzoJUcHnWTUbd+lIBQZSOfguXS+Q2YxNlK8aK7ir
cMN71yhD9d5GxmvR9mM0xxICVCQy8jjiAHvD1Tq00OftLIx/3NHH9KhmHapldNZdqcVCTSdUr9qR
c0oaA65AvcYNXsIP69/JZSfdGEFNpyjQCm1pS1qJ+kaeGsuisgyMQ9XAqS4axu43gEr9h9zW6q+d
4Vr3nVmbwVIG6F3NAb+Cugyz2Cpnrg1ubxTl//PSh810adX5N8PHpbAKoRXMxqCqr7Wux30my1LM
1PugGGY6FLR5xOr8UorBhauy6daYGLJn98YBS1fIO8JPvkFTbhU1+M3iXt9+9MGrQ6vxxvAluDBL
nrl0cl+m+HLUIFV6CeKwxluDQa/gmJd3cd+875EQxeBt2q//Hxbqt1goqmQ/HG0eiXl+gB8E232P
6m5O/2ZbCVVk/YwGhApvFXQUJRTwTDuqu6LwI4HZRtkaLQdOyLtCqIH5hKwCf9Kp4iGxwYlvVwiV
z6jpWRDebOjbnGfVvwOC2q+1UIqUDWotKHgoqg67XhOH9B8KoW7TKYHhFt1tk9x7VYzryZcfovFE
4ZNg/VD5ePyAg6Np2Wtxkvc8wA5JnChsN846aG8DB5D2/a8fNZ2sv1dZeBaFFaorwJl1B0mAw4rC
gNR0bLBNRuQCK28ho4MOoGxiYW2rUWF8rsLes7/6mWvX8LpytZJGtG0M+AnXMAALL7mH2WVbHuAa
3Zcd68ItPQFGTJuHgA1vkLxoSr1C5EtmpbmKKyd0y7d2iFozYiyZ+3Yo6iUFHuO6on36KgSNgzN3
6BZpPadvAwpWK9HjVVtToh/YtZqD3lWcFH70BsEer4V8Rx/OYn+W2fQ4AzCViE836nXJYe3dAMd7
FbtFgy03mj3dMiHzacnKqo3w3MC559ZWIqP7jCi3icyblyBrSOdzjmCNrr3UJSsfV2GNe9mbDslD
PV1orec6cM8QTq57FwfzMqg2peH/NVlj+0XEpF5MnZHXzUM53D1UrLPVv/9rQ6sVP51cVd7iD14H
9fB3f+nXN9pKAz+Rh0gUD9MDr+7/+1/Md9CKDlWSvb7M9MGmD/TL+8RrPnhzj/gwfRSQmBpEHZ2S
Gpf2rz/iDGeDzY8lyz5TAIFQS6GHIC4yAk/8IVI/i8Wvv+YmqL/+nb2v8DVr0lq8DLD8e40mEtVf
C8LBHb7HQHPODJkDuZDPeSoGDmIjSA2YojY5XZsH/v+PwfqeteWc/UIZfK2fGg5/MRKH9/keCoYD
IDQLyMX2q5K/94YDwtFwVFBZolIuLn7+HxkOh1/hcGbY6FUcPTNMCsSqAbp4cx2EQjsTYtdobn2f
OacYCltIOhwZCu2M3YeMBfx2gjDO9kYF+uT0b+kxiv+K60RHhXN8KOQzm9o5NfZNqniUL7UzR6WC
zVbtVGNA4jhyOKhn2IFZoin3ZL60DMSckKpHe2EzGk40FLQUjw4FhnEqbUNS4sGUIDuwh6ZDugnB
f2zd/F2idPjgRw8HXjQiemyzp+twzbDPONPYYoHd/Pw/tYX4bSiOHw7qmcqaIYv/Txf5Zi9Rip2G
AgPG2kT95LYQNCuPHg4KGdDicOs4T2cHMqRjQfSB1jNdJxoK6EZHh4JECRgF7w7O63vjQMChbKBQ
Agd1ipsGa7uxOzjy/M2ThTh8c/revGb5cC6g06dqdMTR19tcpxoKXt6RGVI/Yw8JIA4O23QdZkhW
EQSYSRsCn8V1shnyOXbVIkNa+CVuvurhzGDdBCBInLTNz090grDzOXpUQHqUIeNztt7MEDZmB0mC
McEeC5zZdJ3oWQus3TOEQrX4mqhsHsRAF7qglgEZ/s8YnWK+BEZ0dAzEyIcea8L5mq7DmWGAeFVV
wETUfsR1ssPh+AOGIvKlBl5qOzMI7t7MEIcstlFUrTahONF8iVzk0aNCoKOFRe82Eo/Om/YZyRIY
qrmtQmyCf3obS2FZe/QqKrDZmqMcJgntjNSBBDY47ek62TXj+AOGfmYLNXmdreN0HVZi9DMcqZEf
d77PnJPMl9uN7zH7Sw0JaEH8352w2ZvsJQn9TAMETU139wvTADzBmbFJ5MeEgqot6gcKPcLNdThB
KOKjk6AKjsNu1JzkqFCPnyCasEpUOWX/ZFNFKATO1NyF6mTz5fGnDooREAEEx+TpUaGd0U9mz6Wd
9qmDDfDRSwcHLIvmtkkra3M9yhU6xuOKQe12uk51byWYBEeuoqRN5LpRXmSuHeRLUAc6XIBtjE51
FRXL/9ExQAkLw1KqD9N1ePISBWxRwRaG9OLaPPHUlg4B1Tg2FDjBgkWxaKJ+XyV/HBVMmDOTn7G3
Otk5cXQQ6HqKFy1WyOl1P9pkW2e2InwuIFTsjmYnuX4qz7F+yhy24apsj1aPpwa1XQEP2q6vmyee
2tQw4QEeOzV0up4wkcBV/WT9tM7g9YkksS1lbcbhCYbiWTaYIhQ0vB8tGoICaYON2Myck43B8dsp
+Uxg7xgPsCzF9bgoQQcMTB8s2+k62VAcv50iFEAYWX++o0B+XDQsII4QLIjVNl9uyiCnNzPU59hO
KdT16f9u8VGknb1Q2JSy4M9T6d2MilM9bwhu/ZG7KlZR/BbAiXxHgeyFgqqd4EI6u5+f6gRRN+/o
mAM5m2wdDBVKh0+fN8wzBSSvjrb7aecK/TkKmLx0Qer9DpPaGxUmZW2WFp2j6HSdbK54jlBQyxXK
kt8733uhsM5UmsWgrreL6WkeO3CuOD5XKGe6zB4T47fNBDisWFG8Az0j2OmbUXGqh1H1ObaZSI6a
aEVtd9SHoQByuVM4nWJxquewR8SIfwJGBlUGz+EwBHQBsfUEo7udGCc7Go7fZTIxWBqoTWzmxVO7
TDagLCvbn5/q+Ut9nl2mQ5Fmt4s8bIhSvwSfC7TsxM8e2vG7TBXpZEQFMTDbpMPHoRDlf2NX35dP
dZepH7+1UsEiawin2Nv9wmEozDN+KHCX24LWZkqe3tlDGPcdueFWpl0kXfAtrOgwFGy44XWgT7QN
xanmCkFnOzIUOi1gg07GbhfJIrm3tTLOwAuodMA28+dUEepQ/44OBWcPUoEocG+WCMbZXihIm+y4
DSw7N7E41f2E8No9clTAp6S6DUB7ezg/bBEDuUEHiK3FdlSc6r5C9GqODAVgM5TRWEu/v/W9UcGG
G1A/tc7tCnOyueL4DTeUN7CWICh+UtcFnIvUIDXu7QQ61WOY9ix1XU7eBrCaP3PB3qggFEwe3dw+
6gRX0eO3mQwHQCLogP0kBtYZ2wkaptuOwunFQIjvHZkdIJELygKmsweLhUgbKny/3R77VDPkIw/6
v3/4BHQIS1wThPy9OQB4mwVTQRp0s56eambUj8+MgGfoXjAKthvKx+slXVBMt3cQ1c3kO8EZcXxm
ZBdlCogpuOTpOtxbm0Cu8I3XKfNurmkOnmAoniNBou85Fev+/Kp7EwRIFc0gQfnbTJBTresbx+dJ
kQ4BVIGv3HzVw0IVgsVIG+qky831N9LlXxg6f2oQzP0gvp/UB4KH6in9gZ/9wo5w//jnP2gLCEb9
3i8KMYLNszc0a/Hnf++x6SZBgB9+uBMImJ6z/efbL/j40XvP2n2r3V9eBg/luvzqD9MPhu3HvF0n
iBf8v3j9ZZ2sD3URdn9+QkPhh4XyNzeuooP7ilX2+zf873/tff+/et8yGLN0/8aMpue4cbROq3W1
u9MkEYGKy+7P/zwU83UcfMvKNNj71JweySvHhgM1laxc32e7O4lPbU3q28ffOU0fvtbB16beuzlE
1N2f/3lIzh/idbcuH3Z3Eh9bnJx2fz7izltthz+yb38QnCb5sh92diHPMAqXRD2433ufiqipHf/5
Lx6y0tv/yAqIShaEY1/oJREPgt19puGtTVLxx9746n7t7w1Aqu+CzHP0fXGUTrNgf0ZC5nqG8XeV
3gfrgywiUEjP8KGzbn9YsJKxlTo2FqvHuQnk1DPMlxWfrPkaDbuPOI0Lkyjv/uKfT8UXWRNUj8Ls
qPYzjI2bdZDuZQ8QVM+xvNysUd1bp/e7by/CARzjOV7hzbqq1l+REnyo670xjXi4AAkcO0Rugq9+
4K33lX2oRbGBOv7WrAVVVu+NbFVBHvc57l1VAf/L873cpMI+eKa7Z015eOtn+eBZWh/kECFP7hwf
ktuHL+X6YPeEtDzmnEe/yduHdr2/blGiE7XRY4fI7UP3x+U6ySs/2F/Wub9gwj/H/a8fyuph2N1r
mpoUW5/p5jcPffB1bxmjif4cK7qIzKesjA4+t+DpHh2UrKz9P+brMmOl3J+cGkSN53rA+To6nPvo
yz/DluSlH+xHHLLZMyw8L6OYHcn+qQY8ttBpOTbiL8sH71A8DSbU8Td+9ZCm1RC364NjAq1H9Rk+
952f3T/8cVU9Wtvo3jzDi3yTNT8ZiBqrxDO80s0DHg9Ecftn2A++JfoPVfWwt6VAdkOw6Y4dMm8f
+v1TJVqBz3FgfVev/d2nE7lQIKefYa1//1AmrGx7d2Ypfoa1+El/a1Hr2T3rn281P6xZd1IP2+Xd
vaaICMLJ7i+OuPnvzLl/bgH2Z0/hV6WSD78y/zr23j8X0/3lnZ+qNP2pWfm4/rTTonzqn+0X18Rv
fI0f1uW//wcAAP//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E3CE88A8-5710-4AFD-93CD-EC0FBF025A79}" formatIdx="0">
          <cx:dataId val="0"/>
          <cx:layoutPr>
            <cx:geography cultureLanguage="en-US" cultureRegion="IN" attribution="Powered by Bing">
              <cx:geoCache provider="{E9337A44-BEBE-4D9F-B70C-5C5E7DAFC167}">
                <cx:binary>1H3pjtw41uWrGP41A4yyRHGTGl0NtBS5eUkvabu6/EcI22nt+66n+Z5lnmwOM8JVGQw5HQl0DBCJ
7ko4Iyhd8vBuh5fkP7+O//ia3q3rZ2OW5s0/vo6/Pw/btvzHb781X8O7bN2cZdHXumiK7+3Z1yL7
rfj+Pfp699u3ej1EefCbZRL229dwXbd34/N//RNPC+6KV8XXdRsV+bvurp7e3zVd2jaPfLb40bP1
tyzKV1HT1tHX1vr9uQdpujx45hVd3k7Pn93lbdROH6by7vfnu999/uw3/ZF7r3+WQsK2+4bGzDoz
bce2mLCfP0uLPNj+3ZDizDZti9um+PG6m3WGFk8Q5V6Q9bdv9V3ToEv3v/cfsCP/789v/nz+y+5/
VcOgRjfAQP/+/GMetXffnt226/auef4saor7caonr1B9/Hh7Pyi/7eLzr39qf8AwaX95AKE+pr/6
aK8Lf6ybEHOmLfIjgGieEWnaNiXSuf+Ru1ja5pnFOKNSWOb9D9uF9GmyLaO68AwN2Lf/3gd2odUJ
Yvumbe6C4gi4WmfSJKZFyS6ekp05lrBNyp0NnpqKHi7PMpZaew3HJQXVWpwghv9Ov6zz6SgYCk6k
xaXY6KajYUnPJOemIxjbYEl3dfNwuZax1NofgKXW4gSxvO2+fy/S5AhgmmcOLK0pGddQtM6EsAh1
7GWNfIJEyzDqDzgAR73JCQLp1kU+HgVG2xKEW/ZG5Uzo3E7sQ2FfTUqprRnWg+VZBnG3+QEQ7jY4
QQBv27vuy90xQh7rjFI4R2rRxZBHyrP7aIgSDcInSLQMov6AA2DUm5wgkP9O07vgWA6SMkqJ7fzt
AHeU0T4jhDiEc3uDNEzvJv3Z5CNPkWwZ0b0nHADpXpsTxBTWpcjujmBekVM6NpSTbe2rbl45vKjF
GbPYBlFNRQ+XaxlPrf0BaGotThBLb92263rdBV1zFEABFSOCbgHT8ktpn0kH6SeX2881FX2icMuo
Lj3kAGiXmp0gvrddmkb9+hielJwJzjiVlhYEsTNhM4dQsbXLGqhPkWgZ0b0nHADnXptTxPJrWIA0
jI5jeoXgsL1im23qmsrOKGwzmCKy6ExvnyLaT1Dde8QhsO41OkFcvXDdteuu6tbHMcGgEUz1//sf
nRJyzrhJhEOlxh88TahlSBeecQCmC61OEdT11AXHAdRBhiKl8xOfKs64EGAUrK2mQpMfhr3ewXL9
BNPd9ofgudviFLEM7/J1fiSmllNiWZRuGQVdPfkZt6jEisoWTbCAO2g+QbKf4Kk/4RBE9TaniGka
5cdZVEH84zhC2PbyooqkZ4wTGxbZXHSl3uGC/QRR7QGHAKo1OUE8/1RreEfxn0KYDgOJsOw/5ZnJ
EeqCwF3MSQ8WaxnL3eYHILnb4ARxfF98TdJ1/u0IUJIzwiQDYbRVTH3lGuwtyCSLC76omE+RbBnN
vSccAOhemxPE1CvSLvsSHSEaovSMU8qYtLbhrUYZ2dYZoaYl2A/KXqOMniLZMqZ7T9AwvVxYvd5r
c5KY1u2R9BRrYiaxCJjbjcnVCQZxBvcJjtDZ6qke4RaHS/YzTLUnaJgurWR7+ltPENNXd0N0DB8q
sMhJbEJsa2NYNcOL+PcM69ggGMTWi+4GuQeLtYzmbnMNyj8W1HO3wQniuLpL18O6PgJPRJ37FU4G
in4RSsnPsPjpOJSRv3T3Yb7yFMmW0dx7ggboUrXQXpsTxPRV1KMMrDlOyqIsriSoRNgGuZrFtdW6
tiNQN7RdmNG86NNkW8Z14Rkasq+v9+vAFlqdILarrkXZKGodvf96mSZIemijReTWl2rxEZJREEXC
QVC80VeNrH+KZMu47j1BQ3XJl+61OUFMb+/yu69HiHgZshii0lGxRUxDFLpKpODcYVt+UGOMDpdr
GU+tvYbmm6t9HdVanCCW76OvYVb8lZP+3//5X/clw/mz60aFwP/7R7jy07rqI9YHnx9rPQj8FezC
1mzsVTrZZ6C3KHzGdpEPHuOhnz9UquU5ttNam2FL9mLn+yc4v86b5u445WqSAsGfLr8zmApGbW5q
GdTB8vwEvp3u6Pi92LcQu+87QQAv6nWegEP97ztwFXALS4KC3K4Q6KEZUid8AU58yyZr5v4pki2j
ufcEDdAlk7/X5gQx/eOuuY/K2rv6vw8rvLhJLWkJ6wdvrBVRoLpbCIpi/U2a5WgR9xOFW0Z26SEa
uEvWdqnZCeJ7gQ1Wx9hUA0pSMpuzHyyyo5VS2CilUH7VosvJ1OFyLaOqtdcAXaIjtRYniOUlgu3m
7gh8B6NnJgwrmKu/+YyHRaaItoXNCdnujzJNbYfUEwRbRlN/gAbnUk6sNzlFPOs7IPrfN7vwpgJh
rTB/FEdoTKQiOihhBGHRX6t9D8Pay4Pl+gmau+01MJc8qfbGE8TyTTMcZ5ObWkdHYETZNkfRSydQ
CGMihTHZlnXWgtzD5VrGUmuvYbnkOLUWJ4jl1TqLjuQ1nTNiUoHy7+U1AnhNjpJSYtrbfRvQ3Iea
+RTJlvHce4KG6JJ27rU5QUw/FFmZRPkxyEfrDJsTUQDOf7JDQ5wxh0uToXzi/kcrQXyKZMuY7j1B
w3RJS/fanCCmtyjpb4ujlB8iICImd6S1nI+CUEbxNwf/+Hch8UM9fYpky5juPeEATPfanCCmV3d1
EmVHSUaBqYW1dErB/j+MbtV+cRsqzPm2+lDLQp8i0jKYe084AMy9NicI5ou779/v6uYo+aeD/NMR
kjhbTwlG6CGo0N4zLPmYxFZHdzzUzScJtYzn/iM0QL03+/TffqMTRPSlWp3dZixYIFA7w5J0yn+9
NrB7ushjZ65QcQbOSFqMbQtfdGQJ0ht8htoZLdZ9KNwPzBcXK5ZR3W2uI7pQQbHb4ATRfL3+htNg
jsHnsjNEuJyhgn+xgMJG1mJziqRFLGagTxBsGUv9ARqa/361r596k1PEs8jr4giEAvghlKnhDB26
5Yf0JFSeCbVl1f5R+qTxQ68PlusnaO6218BcCm+1N54mlm2ADcj1EU5dAUFk2lBO2/l7v8VD54nj
AXD8A1bet+WmOt+H0X2CbD/FVH+Ghuvr1YKS7r/5BLH9Yz0dg/fDaWWUWgiIfqxna2oK3s9k0qZC
y0APFmcZyd3mOojX+yDuNjhB/N7k2E0eHedIKxQkMLCz27xTK3uBYlo4jc7562grIPwwtn2CYMtY
6g/Q0FwytXqTk8QTZS/rYxEJDJsY/9pRrAWzOEdQ7dZgHOeV3f9onvNNfrhkP0NUe8JBkGptThDT
m3XTrLv//uIKM5F4oo7UtLehq66iWCujDEcJiq3z1BA9XK5lPLX2B6CptThFLO+GZ38W9Y8jy5B4
vl7noTrT44DM84hVaTcRjEZ9jPJHBNzYWokNztvKCFBSOwGajYJXnD8BfmNjNrTCtCcI9pNZpvXs
kGmmNTnBefb+LkdRV7o+Cv2I0ypR4WQzcxtza4uyoJRRiAgS8sceaQ3Sp8m2jOrCMw4AdqHVCWL7
Jr+Lvh1JVU0LqzvO3/Z+R1XBQ6rFPv5jyQ8RwG7Idqhcy5hq/ToAT63FKWKJQsTgCDyHKmpysOnH
/rFUp+koKibOFG2FTSJ64H2wRD9Bcbe9hqL37/0k6s1ui5NEEYeLH2VFluJAZ2HhxJefbK3EmXmo
6uZYZ1/0nm/qgwX7GZq7D9DgXMyitHeeIJ5vuzZfZ0eIuMkZduJJKn+wUQsRN4JxuNUtnNrunsPl
WkZTa38AmFqLE8QSB7gjFjoClsiesKwOKLcL55qFVQvrOA4aZ3BtwdSyp8PlWsZSa38AllqLE8Ty
do0zYJ69Wg/1Xf71CF6ToWjJ4YKaP7ymVgqM3bLYe2dZAH77sxsB3bZnT5JuGdnFpxyA72K7U0QZ
eyuxF69dfzvCggGYZZswC2Hutm5Np7FQUYoKCgfnimwg1tQWB+c9RbifILzwkEMAXmh2gvh+iI5T
6UQUnYViJnNLZ2k7b9RJ0SbiXpxguvGuWnHMwWItY7rbXENzaZP7boMTxBGq0E3pkRgGbLbAQdA/
SCFt+UfdWSNRR0x+FLVpOcxTJFtGc+8JGqBLge9emxPE9GPaHGv/lIMjf7DxbXkXtNrX7khBHDjf
+x9tYe9wuZbx1NofgKbW4gSx/GNdI07670e+WHNnFEGQaWrlh6j5tkybWzg8ZgOiVtV0uEDLIGrt
NRCX6r21FqcI4lTghrDjXAiGTTPYV/PjhGA9EAK1QFFlimqYDZhaIPTH4YL9BE3tARqcSxZWf+cJ
4Pm4iBv6dFPZt/PNJ97uBpXkOO0Fm8O3zIJGLDgokyGqXOLHIbQamNrFaj8XaxlKrflOT/4/3dr2
87Wxvyo0V+t2fX5/nx4y4b0r+xY/ve8u7vrTPtzS3osVmdvPrr/9/hxWkAqUJj0AUz1ohzTfXML0
I43cbXW3btrfnxtqPQX7ou7POcTFb1hNe/5swGZn9REsLnJV1JDaFFwvaoifP8txsFl4f+GfbaGS
zbRsijtuoMbPnzVFt/2I4fggSyLIwpEQOC3zr0sN3xbpFBT5X2O2/fezvMveFki+m9+f25g75eZr
SlzUygkmCFw3Sj24pI7yCuXX9XtVX4sx+D9+WacNz2d6JbM08LjkMjqneZ3FrUvnop6uW2lVrdu2
I1/FdV15QZhH7wyaF+9EH/gvhBGFXlyM9XVXVsGqRd37RVfLbFVl0cXgx45rWp31Ogy6745oqncF
rcYriWHpPbPtcy8qxfA65nxYScOwrianL1w2x6XLOiFfNUlyZQgncC1SSNcupLzs/TZYGabdumPR
jCsexVcyts7jjKRuErediyKI2S1K+UccZ9EqnJPgYxoY0yoibPYGn2duWLWxx4dodmORSLeyrMRN
80F6YdALN2LzdWTbxXU0Ow21vax5YTl/Dk5WvhGhGdySvjAuunasXsROZVzQIEg+UDOd3EaYyX/I
jA7MoZN4Y1RVbhoGxnWdOsb5KNNrSmprFUx1fFlzPr1I/Hm89OesvJRlWVzIvpkuc4O8dBIz+lTy
rPqSz1yuHt6buDMFvhblVEdBuL3a8q9//gu7bvC/+4sU//6juhnz739d3hXq5pZG/5JS1b++9fdl
jEo1/rqZUVO4zfWaP9HGRz/cUdUdw/RQ51Ci/ZiSavZtYx7V5L9vt1VTIc4cSangqi4Nay/qPs2N
moIGxGY4VCHaKHfCRnOlwFstleSMcjDCODrAfqiixMbGVktt44CaEuzekU9RUQrz/0BF1Rux49nB
IjzWbR1qWxDgoYqmJK5zMiT8ziZ+2znnVslKI/XMso/mT5x3ZbJmRs2bi7yamomtWmvk4egZhW9+
CfKa5YZXWGMiXzghn7pV4hh5dYX5nDavU56VxuQWycjLLzxp47FYGUKkMfUCidNd7+RYTN37NMTs
Xds2L/2vNKOVuAlEVJXUzUjUQBRW8jp7ExKzHfJVkPI6Kd1i4Fn2isipgshBlpHppZXRPP5uNFCg
1HsA6YIdQ3C6M0aO6aAejcNu4E4FDJcycw/MmCRZ1IUitO/8ocjj6qrNWMquUtY3tbyam6CNBm+O
yjT6npp+ZPkXj7+egJ7Yfb/EwgC1cL4LBVIQZvf9c0xtqL+IvsUkoUnktQXlNHQdxzKq+KIeh6Bu
V3XYBix0DWbMZf52YHRqLA9WSQz0RSvCvEncoqhoTW4cblf47HEhMYUfyijVXWmw9w42duLGEEzL
XRnHMDKssKbGN2HUvQlDNMtAVhepzVpqunndCvE54abfXj/+Xg0b9V54OQl/ZoJRv7/C5CE2ZTcV
sjCo/S2YMOeE25tl2vwnZL6VB+4QR130Jvdx42/rhmFhWcJ9/PXwolq3cUIEVlMtda40Mh81LA+m
RsD7yDDHkH4zZCorCsNvCr6GIhntdTFHMr2JDFKQ1zSppu42aUxzDl1cE5tiUJ4qiS2VvwU14piI
5sxdSUIZ+mk8mfU3Jgao3MVExEySC14PXcPOI9tn4nPdYQgq+BIpxefCnPraOe+jwiyHX6CiHPvf
jp/hkgoEHzZoGsEFoKHabGhFZMZTkvtffWfOeX1ZVGXmT+eGnzXOdDnZ9Ygp8nj/iWbJ8E5sEIeW
KJoe5tTWBiBw5pg7ZWt8CSOECMbV2IZKIbKxCHFbcDfEbGZelDWTVbqjY1EMBI/MsLvNShFPHnxj
nd86WZjV+ariRW29z3COY/PlcTGVPX04MgRVr2orLW7xgA3HceO7MHWDb9dmNY9fxrqtMQnMLjGB
jzkOlBvuWNPeuC2tpFJK0w6F+hWVQfcLfPYGixABShTLGdgVCLpMF8OurKadGlF8yVNuwIbHsF7z
4PaT2U78JfU57H4TdHWyzmKew6LWZVYTfmUbsdEnbhXC2irLP4VolUdz2r9kY1IW2S/MigpTtfHC
IOF0HWmDVsB1GJp/GumQlw5CyC+NbwkjO4/bpky7t9XcRmXuDdVUQThDZj0+K6YqK6aVncyTcTuU
pX/dOHUaB142z+b0MgurvPXdHDSx33odN430vcicYM48XDE4wiRaRjyR/IU5OymemkT+gCjrcfwJ
CMidDuHWSXXiH9ZyqTqenGsWAzMzr/q8Lz9LXvCYe6XiTSrX9zvHqT0ySwOm3Z821jPtGD7r7s1J
SXwbH41DS0V10Q301zrEdCtuIdpAmI7MH2faQHe12ZmMSZP5YVF+LmtoUXVOm8Rmry0S0uklbboJ
w+H4fTp/ysJxmqTbhfVQhR4M/iDeB9XsG1d1xuL5U210jbixI6EChJH1WepcJh1X8BQNdTCFpl7y
/n1Zx8n8aU5FMiSumabKaUUYfQBU5E6IP1JEofMnOxtHYEd5POFXM5tBa69K3tDmQshOYZeMQYQA
o7p/vWMjKB8Q048xHlEgeIDkkZGr2KBF8Jusx0bkVXnh9DXpbxkt5vZVXSd+7aZpVluZZwR+Nl4F
DM71z9zOffapN3uCSSbtAHFGX+UFQpTH54ZuNTH60pQS6TjDuY/391Y+dCbUn/KAOGX6eSZZUwfu
aJmybNyhiAuE9101wFA8/kbdGlkoywbTA79NUNy198amNptwyOjwJ507NRmHjinzZzUygfMWfcXF
Zz+mMybhYHVtE7zGOYIS8/RxMVTGuaMUuJccR6PBV3DLtBii5F2rONO+qwxHZJ8ylmctddui48Zd
UYUVrFGYNDk5r31ZRG/7xg5gccqQF8F5YLcWEiJbyiHt3dYKqpepb4vbkdapjZRpIKJ/39qGGXkV
n8fiJSaRGbqxyfwIOaAviFL20MQ8LPoQ0cW1Hyet0vwet6W9seDvy8mlSU3H/vLxHut2zcbNsibC
DfRakS/ICXZ7nAg/zIeqkR/7LjcRxPK6thDE9rOat8iqGbsKyTBi2o6JQ/EraO8jW0OUakrTLh4s
/9YfhZrSVhXNWX0VlRZVJrKaG5NcVGlfNtHlzKcEWucPmYqpyWRn0E5JKqjR412yNMtmIwKy4TZh
1YAgwfkeu12qaJ7NRZxbH+02pNCttgyUAK1BO6W693qM05cmyOaHo1Jx2EplUuqygqMxQoIwnoxc
/amokiZZp04s2VU0pGocqmkoxI1fjfhWFFLVxSnIRHORGLKmF6Vd97TxJvgLdPcXXdOiTHQNt+Ax
C9txsfikjsze7Vo7JkSmXTF9pEGvLFVbV5haczpHxdfWtBMrd6e2qOZP0sqVf8yMggCQUYD3mM7n
TJA2uHCo0Q0fEaXWGI5BxhSzj/YzrEkeGQ6mGBvSUlm3DmbzKrLKAWatRUSCF0atb+JfyLEIhiIL
GIaibWVotB5PuxgqETpWjH9txkeZwmT9+CBoOopCbGy8QqSNu+WIY+6FumSYmZhEZXzoM1nAOmzC
Wyu0xz7xkFmGQf4rs6C5I/VKRhHY49xL/B9R0+6wm3GBqLUc5YemI5gh7dS2mFDw/RgfFpes4Of+
YBRj44qUThjwtPdzhCwwehiloR7T9q0Uje3HF37LbBgDKGT/vkZtKzxAZkDx2zGHo9rCFlRDjqEc
UzuHrkCLFBxBMiogjDgi+OVMsdO/N4usgCQ8SeCbEtGqPPXx0cZ+J3TuQaSIzisnACOBQ4LBxOsZ
FcLBxgjMcfoQhpNIfbftElp6/mD68Y2wZlZP51VYi9J2UZfixKELAi2qXphpR0fuloh2jJd1kBns
tZ+FknrVUIzBVzNKzavB75hYJTIv0m8sTuf6fVaIrF4PM0mHN6wn5jiv7Dh3eOlViB+b7mIYuN3f
1FXoj4UrMjMjr6hZE2eV57VDvHhsu9p3i9Gu5tgN875moxeMSQ9l6Od6mFJ3NHjM4gucf9mxW5G2
Ews8cyTd0F2WzhASH/GbH7TXbSgRmXlyTod5RlqLqVhej8nkd27VlLG46B0Z0BXPjHH+MIjCij51
LA38FWWtRbwJ+WkxuSJoG2flRNaQeAFPgyscg9KuqsIc5pe+k5vmJRlIaF0ERmOH5nmZFBn7OPE+
SIyPTmGO44exHWn72mja3HgPjyG7b7wWov44yz7IC7csChI275xxTpNLPwK7cTEXzM4K10kKaoWe
rOemsr+QLLbzb6FVFv24wlSZqjuna4fB9JJ0aEh81fp5xe0V8gCeiks/MxJxgyvojSS57EVpNWl4
F9o5bTHKI/ZS1Oz1TIseU3omdVOG76gwW2Ge5zkrS3ndOX4Upq9yPiZVcB73QTv0rwbuB1F04bNs
6Ph7P7dodS1iFgb2BeaKoIlb9rMJt542djQ4bmAwUbWr0K/neLoegsYIo8shyuBtvMQZGAxsX0Yd
/09hdII315gcg+F7A0XYQm66ElGX47YTtUfxJsU5CPjVbv5oRFGKz3BGKsPr5qJh1Ze5qxyrfxGL
ugysKzIahpTeFPOkk5djHpMsdTnrlV80uRGhOwHlcCrr0Z9w2KoX89DhwZtpKIdSvo19Ix7SC5lQ
wyqvk25y7P6NiCmPHLdyHMVJyLrlYfJJBr5vzC8ZSxuMlDFVMNmvYbWrkL80qF/L9BWJqoikb+N4
iG3/fIhhCILzIsKVfbUHk6VEmnojNa1zMwinqFqZZRLX9ipvTYPn/7ECK8f7sjh1nI9dYFeVVyP1
xshadhfBg3hEhOohkB8hi1tVjorpWdig914ZkpyKizgc1IjRtE3wq2jC1rjNM6lMPuvbwJaeM7QF
JsCcI964bJ06w/fKTVfDls8YvipGtaKEL2l8vC0NCZLMnEQKHlKy0OJ/kHRU45wzJwaXZHRGDSiM
PLFDdldVSGiqizqKEGl5g00mWXmRHfLOAIIMt2F+auO8i3KMlxHOxWXYzYyMr+1YKpEjIF3OtwIz
C2+g+Kj64hujmmCiNhTyfDLwt9TJ1ND0PXYNRXCxdjVAhj5v8Fpv25+6prT6AsItxN/4WBbiNuHM
d6jHBgcEkFvKEAemnG9njz83Dh4pY0N1zm+n+8HoMGtqbxvjOnzm6l+04clraka1cbsdamPz9R+D
vPkemAIreS2tMoMAJDfC/ksSiTKqL6OcTuh0Zc0j3hVYNIjMWyTgQeG4fANUMfctphoy764OrnPi
TD53SRL2k3jjZF2BUeqtLMVXrBIcW+2B5vB7x03MSQW9QYb97NBRGZjVF2czgkUJDYJd2/QptCLk
aF5Z5GIgV1Nnq+zc3EC7mR7CT1KMj2ARWpxzmarOj2IKMU8DUqvXhCwU+ONUVKYMP85GxLr2BXpK
1fBuJtLcTR2kRCfVU0hUN2inloAwu5o2VKJvBtSYhxn/KFJaMHlumDxP4uvZ4nIsLwNFIpnnQ9QV
0GknDhTz0QzAN+qxLPSFiCDH9Gk4IlZ0vu4R7L5pwGWrB1q9+sX6wMavNDeVOmQzV/LnnQjC4WOX
BmkQXeSBjeeGFSUBvUqaSZL2Jd3MlShunBZrPpshd+K+hjhjRBM8BB6gwMvjMkrg53tSzcJEXUgd
2/2qrIw2jzyzCXy8nMdhgZSpTUtwmykIA1A2gCnsrmURKHXu4F/xt2TqRGxfJAgWx+kFdZp0LK5a
VphZ5qUOS7Pe9ZsAtCHW5Tt8P2yrBr8QNPL0Jqs6/HfKBvB23BwIqKIKXH560yetD1JgqGO8nYRB
0X8SuT8iC/CnWc39wYEpjy9GWlmwMHYdpp19nmZwsdn5aOS+01yjlrmexz9NMcawN0GK43CSqy2d
HLdpWMcXXZgi3/06sYZRelXGIYbjkt7rTFXYKQas8QesOH2ioV0M7ceKDuEgrtpN10cnaDBEtBzn
BD1KgqHh52I2CaxcWzM1fGQs1awBX6Wm+IY/tZtkwAiQzlL9baPIwq8aExzfryKwj4YbpTN4ZVRs
JrnjgrKYRPaalqTGN8REVA7b867BvNqQLDPhae1fdHlV+9Z14FcznjFvqDcfaTlYw4qzBBSlTxKk
vlmG3Cn32hTEBH+ZJULpU8uGCCR8kNgtTCUV/gSf10ywNPEFcj01eF1EFVVgdXYCLj5O8wDN6ylF
L/8cEJ75xovBb+o6unForEjKooO7ey0Tn4r2HQONNfnnox8bU3ghhpKnzQrUBU7wdyVIIPGZBVjV
rVw4Qwfgzwab0SuRZ8ptZNxX0622aoLJtxnJuC3ARNPIjGj/Yph55st3ydwNxm2NYBqswlxWjvgM
e4v5ZQzljBGIsclPTaMyN2D8kV4qliqNEK8isnayYig/C2cKK/KFjalIb4Soysm/YFbRtMb3ISLx
6J/Do9GUu00K/tvw7JTI+hMYySFpP5hBFQeB5/OJhuP7QSK2qb45fdRX1p+Nb4OauKyTrs8cz7Dm
Jvk0s85ihdvBO4xI9gkpEFNK1GN3pMMsz2LH8nr80ZC9KwesTI2rbU82WFZlDILYw97ESXXr3tyk
aa/snzMFypog+lfKGzWZ+kZ+z977saX+hhtADXxjCib1RZ+CncjOkbmrtY0o9UuocoBo0b+Z24mU
WC8epNJKLOvik+2URUwJS4Q9dOqjDQWvzKkRePU41VS6xKpN+20XymAo3MHMQdizafYd63qocqXl
gTErOhDrxoq8ZgjL2utqNjG/mYn1hxvwlkryJMJK4+fti3jtwKVVmCrG7SZjy6N4lokb52XH3iUb
g5VsiMbKJoqMNtJKkZBNLWrGVlmQVYWPdW3RGbddxEv0uR2wite/iKxAhXEhG/EO2adKrO5e4Ywi
gR9xfd4pJS8ttcy4yodRzUnpz1YSuTxs8iw7D+MU2nixGRDwwMroJTbqVWDeG2LEL0OLptL+BfGl
JfSqKALrrbibDsYNJQo6rRy2WEMAX23dhkUhILUMghHaMBQws5XBlAalPYiX0O2jSsn+i+xuN7dT
rxdqrQYX33EUSOg8a92NhTE0ElTVxjTG4IAhBfIAaNLjr9IIdGiTOuEG7wJlhf8KldY/WKEa7KSy
fYSSP+aImYxF4VWlz9gb6WDNChZZhArULoqBcMFqBsi2xvFxWXYpBFSLYf7YhKPzWA7HPLd2ZfF7
aoG+jYNbB6tq4nPEiYrHmwYlvedzgdD5V+O8/0KUlYI4wOH7OKAfJ1nuvjAJa5Okmem/r8YcjiJI
4PGv5ZTAzG01+/EOEkXb/Z20qx6CuzU5SmjUOeNMJzLHNGZB3qbi/dZiDOGsSPtJ0Inzi5E1dn8R
l/5cv+sGOsWrrMuVPac1TIPRzAz+6BcS7c50SIRUCmcgYWkUZ5WBotOIxskxjUFOtHqfbpRqQFwH
HR+7xIddj+w+AgQh6yZopkPhHBBaGKESJC5p1c1eXyGzv+AZLbjpjjAtkwdTX+Hr0A+f3EQTRT7p
DZv1rHJjZh/vhA4jgGMmxe282M6Iuwf1VVb43aq1RqO/CZtEWab5PhAqUVvUvZsMu2M4Cu23HzUi
bzd4PSxcWnofxzFC9+WNAoeM704bOSIawTWk3c3W7Y1BWMWuWcCyFm7dRMGTqDWcbY0rFW0wizDc
UNU9c0AHH0x0H8U3G7eEIFmhIZMUepE3lXIYj3dQEWcPpikmBJafGDQQ9Sg4FFTnM4dpHqN65smV
zI064Z7MMkk/ixoK8ysV3H8VoMNZ0Nh/gUwfxVe7Y5n5VjZ1gQiuNqFIz8GOYB5ZVYZfj/dqW4rx
oGPgCu+PnVZ1bTAh9+diPrR2pol1GRmFzWU9W2bYnFt8VNUIHTb9dMX3Zs6xhu4VTQBu1XEzf0a2
6LY8aEn2Et4aVXKBVyQlmJ9XFgP3YL7NfB4ExdWE2IAXN/4YJWScPN/CktOfTVVlSIPq2GJ5dZ6l
3Wy1nlmYoslWds1Btb2iIymoeOts1vMSgWSEvvHzjFTj6yQIewclM10vIgJOJEapxhUSDRllq9SI
S0CxDVCkgWahm2zCCkToNpyFuDdjm1QjGUyY7iHMLJhupIYqDBh6y0BAW1g28oTc6vAFhFiikze0
SVUwZ2ximxKLo9B2s7TJHLlJ02Yoccub2smjlShlGnfuD8qjgtsM3W0gcx9BYWVtwPjOla2cuKx6
MEvILRJhnZd2gVdmCbKK/oWJ1Yoo8NIxa5BPgc9P4/QjRdjr0BsxtQ4rr2NhGooMaPoaPOu0ycOc
YWpotQqTLgPtCgZGYpXBjcPWLnzP6IpgMDO3QgUkt946lVPK4TyocLJm9YGj2m8uPmC9Qa1oIQbE
3cI3RdtgEeFDVIJtDlYoQkI5wUVYV4TEXkYQdH6fkHo29gsuxsH6TPg4tfYNaDO/fJc7TpygFjBv
DBOZsIl8qfVQcIm19PO8mIDtahituZ5c0wAz0XsIzQi3vYlN/vAqcZq2mV0sRw8RsmnHrrEuGoVm
c8nMtB2+CDNLpnDlMwTcuZvJPKv/k4N5MTr3/7H3ZUt221qWX0QHB4AgHpvDmfLkrJQz84WRmkiA
EwgSIMiv73Uky5bsKlc5uh6q4943RaTODGzsvSYk3yi332rRCD68is9Jh7otd33dxqFBF/21zwLw
fekT136+HDrflkb7tRvsWdtgZNMcihiVWu3HXYBKVg0MbyNsmjBdGs/ydyjiQ/Koeu61u07QiqZ1
VS2PdBVU5qtYyr0gNjoIP9qOnXb2ACRjeGA6DjPHaX3DxNz6wIytfldiUR9IRYcpxe6rP0it2ufK
F0PueFBiFm2jeY9hF5BS2NOrRPmvQ4Pt2C8qPseLUDkjdY1f1/f0TjJHCjkIc7vJdvYLdOVzkax+
BF3mFHcfa2Uew4CoK0286qqz01zQCRA0tC/VwQ6G5zVfknum6hG8vhLIDB3LvK1Vla6k73Na8vGU
bGG3W8seLHCvKMFTJ2ufEdmz3YKnPCaYxz5oN5g9dA/lp5E37b5xQbulK5d0V0t/eFQw7W9pC4hm
Sr1oqJ4WtyVvrddTjPKme7ckoSj8cPZPsBrWIh08LzoTwHQ7PU+4GkWy8h7goYBeaY74pwBUD+aZ
QAUPNpS12Km194pg6uaHyRIADigF+bQ6c4omvTYp7ZYkKxkv6+RZ2JCvRygQzMcpJDIoBqNmjDmi
q9fU4obQz8lMIab1Sk+fOg45Qk6CWd47GzWYk7rhik5zMGZlUg9vvpzU2cE3cDXFwWWFlvTCoVZ2
OTm0s9c+a+wR6Ld3Ek1Uh3mC6vcpWJaoT7ctCWqMzcp7WdS4fB49z2WhCLa3aZJDCEWBgnxw2yas
3LpVbQrFlDa52pbGnWJTjVXqB0rcrAFDIcZIldklaqMT7pVu1Um7Ue9CZcIr2nYuBdL7ni7rR9+U
5Q0JsH3sZOYc0KIv0sp1luV0HaKCsLm/UTXRL6ty6MkgJJ6rKTUNNBBNxkRFVeqZiLyBmR7SKGz7
/QCgIA39br53Qd/cT/U6N1kzz9XTWK/js3aqC9PRGZeVgVYylXh/YFwTYG7YeK7eMuKS5Y6HU91m
/Wblm+zUloLk6d73gxhTpWxwz0EiHFWok8xovzwR0ZO3KYndWQLvt6AdiMGLlnNaGm/ERGqqc5x4
g0jboOFv2kNTkyfoz2RK5TTexUvc7FDo4zjjYmOHORjqO+h0oO1Yav0UDr3aW+OCvVQ2ftNR+bRg
Tn7axm5L9qMiayrHrvq84gvZ1zMzpkAbuD7OmtMy1WQEY9tUc+rX1h5j3qj9iD40SCs28Sfez/xD
5FT0Tupy+GA3u302WOC5ZUN4TSAs2Ps4KfLRjfMj+ksvpUtvz56emtfNH/p91AYllFmAk2/q1Sc4
yxwqki9FAjyINvEBNxKUmZp6uW+o0U/QdkV4/zY8BX4f7WQcTS/A5cY73tf6EKwtf+w6vV1Vkxyh
mUbJxRjciZue+PNJG7Lc9VOp3+kkIR+jxqI4hONqb8jaYfMA07oNotlcOc2Wo1hcNAC3Sfp9GXck
x3gMhSVgD37cPF2ey7LW91uY1E8JoJOXcUvmdzjwqwM2G7veAm+GhikWu5aX9AyGO4iyueNtnmxr
H2G96363Vd5w1wCCv6vcoMYMyhB/pxc5vqjZkArD9badNSfmCkKlBuhAN7yroo1Dg151rohYkxwC
cH6ZVRu5TWwVAZnX3ievDKFBO6+UbIJna+fQ6+bMANJOzg2NLJsLH0Fl7Zy2XJXnxVPVHVCW9sYj
a/++nfUbHlMB6BXB+6lDByMNkzeOS8gvqQrEiQ8qfDVeaZasrRf/GlIf8yRCa8d9HbYRyXgdsCtS
DjrZcb/r+amrE5WDxyVbasF35wnfOpbKbeY27aKyvxk88P1XqzcyfNexv8z6PHILoidwOliOPRm7
28gR7571XKgsdroeipor/SArYbsClO9aX3WiGUTu6Z5ChFiWgbeHLH7aHtak16beX1oPP+ejG9qh
wbc2LFVzajCT6zYLGDqXjHamtNdAS+SURSao3i1sG9Zs8Nv4DLleGeRLgBbxasYgPr+nAtOfRh3R
aqYxGqeqh6zoYOeYnWjo/F6+26K1DG26utHn5hSi2PnHhIAR2I+IJNd5bSdqHrlXNRIKnKrlOtVe
WbVN5hHuHkUE1Uwa1qS9H9bA2/YLBk2Z+WwM/fPCpeuzUAPHv2YtymkOgdyWD0C2TjKcRRYHrDnN
3uomeduusEJsEb7+3nddDpymay4qLRXS7naeiUzmfI1l3IYA2KcB+yEBvZmZYA27ggSmrc9NDXY2
7XrAvNkGC0OfRt0K4ocZ2Rx6QehQVCAKrxsBmDSXTrhDVJEgyZEbWTNAYlIHx6bSCnSkoWxNwwXs
dzyH841HuWNZJ0sypYw0EaA4YHbvA+XpT5ajNYm0WsP9MJRBVFS2Dk2YoYWrvSEDNw8p2pKyOn5Y
PTIwNGYmWUWboZLO+A+D7wknPqIIjUlc1KpVKa3GwPGi6VjA6kKFbqD0OvBsbJ5A5nblQY4Jeaus
fd22unqqavVacUVlijGhe1yg7SjKpNR7H4eHjyIRa9BfbLtq17C90ZEwO1trnqlRbSplkGmqtOto
96j7Ns61jtfUJIKgvtq5+zhX5bZjQwsar3LlNRjGxM8CNy1jvuGwIXd8qqNHBgGRzoUF1oP1gAWT
Qg+3fAoG1dyrsZ+SYmKsOiMpfXg04zRXhXGVLY9AjSuWep3jx26QYx72Y7trxpI+9o0fFHyuh6um
pN512DhyFSqQlkM1gbzmGIvyMCztW2+Y2W8uDNvUZziEc5/bcSpUEA830A8u81HppUz5tPguG5tK
ZiSerEp50JXQkEIQaY5TjA9XrAC5H7dSi08leO9xL8Gv5Rqbckm3tdE3OOVx+Iu4aXMh0V/gLZQP
OHXEzsAdlZle1e+lqIJXIG9uB9EO3w8+73ZMMXnnSV9ntovrZ7/vnloJJViFwW3HwlK+DEs4DymN
huEl8kt9MmFUurTUTiaZADh6KlWID135QLiFsxmG3ehWYiw52SUQH5s6Yq9NWQXPTRAtZwvmNqdq
HI4RIOP3AN/D5lLTnEoj6Y/XcVlG6FtRHC+LkHwkzWUYXvvucmq7cPow2MQTRRsLEKEAk4f42NNe
DNmkhZvBNW0DwEK2yCCLWtSRFEYpSa9bNYUf6rqemzRs8R5S2bI6yRo8bwb4C2uiXhU9drEJWT7X
EHJq9FpNderUMP+qMLXVWaOiyH/FwbvolHvJYg/e3MT5rKR3ECMNny66gV2w2cakYvXULaVOfjA2
UTgeMHnuBlNCDTWUNDqDutNXaoWoJNUVWpqzm4z60ISzE9kEmNGmwrbu4zyv2CvYlJjTjAKK+cmC
tbIpGDlb9NJGJ4DUFSRTwm1o5iEb/UwgIS13HavnK7Jifks9tCNz3pajRwtv7KD59TdL389T274w
ZV3WTNGUt743+jdmYcEj2LWEQxWEHi6N56Vu9wuaqhOqX78UbqxriVaOo/WEisMbbqJ6CbzMlBcl
3tr5VBVaWTgMoEjBIspI3dWSNHZX2RhUStdkskGTpovLGGuzch1FiJ466svtuZ9M39yGQ7BMOaaK
skFJ4/GwqUwHpmrXveeHsie3sYnKJG2CUURvLWSjXp9ZL3Gy3IEwa5x/3dRDPPAM07YjKjVb3U0m
Yzhw6ZrX4K+SNjVQc5M17+1ads3VmpRh5GeTwQCm7loLdChKHWTe3Oy0UaN4ht2MDFW+YKuARoEb
B2691LpxiOddhV6tP5raeN2XaZycpUUN/VPXF3QE1/ZY+iG4l72CUGruc70Sz5d30qgGvwPxIJcy
EkpmcAAWMnd8/M+dx5mP73GS/ZpzVTv6TMEy1Y/fwFpPXQiHueUXaDQMSqeukMtyoe6hF7jwINiH
G/tUkdJ38R666g37bQwmLl6MWmqvTvsEQJeHybaUS4wjAuV4fm9qAArJeUZD6W58yf2VZKaazNjs
N7Bb+LVw5MlBfogS09sup+1s1v4qMvh4WyoGqCymDKKXqCsfo5kqERcxhKoiOvnGjOsAHZKY0eNg
dqjGnVKJRD325iFvoEK6DiHmQuuuOCrmygWaqITsxcy6dVVAYS2QVJFBUmXahRRV74hoC7VAccOB
HfRDct7Q+iVF6bVxCRbMllyZNCAjJwVbt4jswft171Vi2icP6po5DQeYz+B3xN4poDbpPvl9gy4L
6vdaN8UQT7zOrYZOxaUbvJj3MAyZ9avK/sRFZe8o1LEH4MDiPPhllDVhbK5lsK5doaIOYi3LQQQr
r32U3C3sOKKFY2nUq5Wkrl+afq9nHypGl6ilhznHNp/U5pcNSivpyjTGOWryOdrWh0l4i0OD4LUF
OlBMiKVUlO51TOYuL7vEffC20q0qDaplDB6SRjQ0X0Tff9Q+COx0khajQb95FtOIlkFdoJ3Q08HU
tLGfKs9dEBd01GGfbU1d7eDTsqW360yQQJwTjrzPSp8MQ0FWfzoE08BeWtuSYMpYGVZDBkBRUEyo
bJ1uOkS1mTz0qZmfIX2AbAIaVqjsMmg6RosGKQihKwK4dVNh8u5SMqIPv3Yg3Fy6RA0rWBO3J6+a
BkjZDYW5Ato61UG6Ea5mypOeclBS3lzv4VvAD8Nc5aURtHWHUbWjzAwAsw8bBAtYGyW/N54/4HNu
ahcHyt2t+LFzwsuEFxLais8exEsAD6Wqzh7K8PSK4XKp75ns9KXrikJxQAcTnzRhVHxAiYzWfWSJ
fBiWqLyGTLL6VOkA33yybA5ytdIAGdk24VIl/OUpcdTcLbqt8RFgYwM7zLoB1ZR1MCs0lD8EgA9Z
zuWwHAOAFiJfoI35dYkIfIS0mcihJ1JCnqjp41hWw24Oe/851lOQcgYdYq3bDQr9aVtTWI7WG3gq
Q5GHZrIwdbU9BPJcWG6PVayhTpv6DXLQqlwc3i5vL9IITMOZ6tka7sAQgWeFJVpMeWUji9Lrwe8g
0lkxyAujahrRFPTrdB0ZZc5VGNgk92ml2A5CCPVucWyG6nju8SmhBmCvRNdJlXZowG9H79LxTglJ
+hQ99SrSuCk55CjNKOocB7qE8gpwyd3WAQFIt1ipuGgsBHZ55Hei2EaHx1QUcjrIRjqV20h9Waa6
L8Jyctky0/WFoVrYKzf3WuXtaJOHiWqYkmeP0hEDgQAK1IXDddSW4VVStw2DTKhcu1QHJb/yvDr8
sLaiOTlPTXfQ6skMGrDwDa4Y04NnYHzNBJ2kzthCxJqbZZVT2upkLgtTi6RF/dVReyWDcKW7OV7o
e6+slbsBctVEAAOGbk1b1QUvgkPxkHYQYtwMUJj4BVvoiqGAh3A1jKVPu6ILZP2uoU4vGc5NdHXo
z/M60mNy+d7i2yVaAENH4VDeJG0XPY9QWVSpNe1LNHXDs56HIa1FD+wRikoIpSqLJd/ql8pb/Aq9
lfMyD53HtTaw90zAXV77ysAtLbGpcy0adjubeTjNdITXQ7PmDFyAHbzST94DMRYMy6CKP6hwiwpH
/OnB6jU8NtMwh5m0yXLp1vwO0pkeEA+bpuQwRXUf5xv30Dh1grt9T0PbPsAtK3INcCvXWOokGyNq
CrQvwVW/DjW0gUvwXJere+blHKRqMj6sk7QpuqQtv0BW7Oe4k3F+StDu7wNSBh8GKNCffTyEpp7D
FwfJ/zM8N8m1A8m/V3bGrkvMGwTK850y/lqmyTz4AfbBdscrr0FHE5Buj/NA9xgzpihPGMQpePR5
GUP9qwTYkScOg8oI2/+WujoY3ntJSx5lHZEuI0D1j0r1AagwKC2bKPq4GqD/umgU8CD9AQdU09kc
HDhcTM+YaHFr5YMm00Do7SzrEVV+QjQitEl6hP8ZIgG3ym4E1wDCcbglK6Q0634J4dUI82jw3Vwf
fVN3cjtCyL3OT6VwC/1IezI0Bzkk3Uyykmh/9vLEUrJoFK8GahZwWtBHSB6I2M8hvAs2tI2Jv4pM
N7H23dGsDihmGoeO7gjpl+Q17vsZRWVUTeta1DFa+zRHnwedQu6tcVVB0EKgsYIcGW08VFUrvNDY
NJCxEwopaK2Gz/7orWzKQWhCqFdMalmbGoylqBqohVRVXkTkWIMjaJBKVps/3tsomTHCiMjFWr8f
kqW0MgcRm2Dug2VIOHkj5TCZIZ+WGHnqha8iM40fTLPZYE3xLEqs2TIQtGTppmpUhkMJm6TkGRDr
yychceXzdl9XzrLxV+NVW0hTUSYN/gYtPIvdlTdPGJiv5DqVbZw5H9e72t1/Qc/9bBAB+QcDNYdX
9hLkxGMIH36mAnsfM4d0in/0JVwkv7HeYdxQ0E866iqoPZfE9l3md0SHLGWIj4BSpQWPMmVz1Dv2
JL8SXX//vn5me/G2EI4Sw67Kwb9CBX7x4P/IGQq6wppUCfapQbAD2svum/Cja3iLhegNoMv+C6Ly
Z07+8oqwcePbuHiHQfleIgZ+fEWAhsnswy/xufv2ivabqiaivQY1P7GaGIjgrO88WD6EBFn57af4
LerkN4b7W1THj3kKP8Yr/HdyGq7FRz1Mw5f5z0ENPz3R/740h58Cg8If4xwC349i5F//sEL+EryC
C/969x8/6I/cFfx0eCLEZOPKMIjtvgc6XCJZOOYmeLB9+LG5H+NP33NX/F/AZuGCXIqUSYxWl6wF
MMpfc1cQGYvQbQrYAMsQgoDkn4Q6QGiCBfQDDU4gmIG5GEYl+EzxPsI/LTDRLTNG2NYeeLjtZgg8
4BcrPFpnrl0KY50o6ADa0igRnJSF/oOZNkfBeu1Vk5zMpo5M1/m8JQ/laG7hyIrTZY1UMcLe9MU6
uzxNrT0qxy16zuqurrOQHspSvPf6dsyBAd+R7UB5mCK1Zu8w3Q9VfGi3Ko0uVBCUUTCidfuRJ4/L
TIo+nBFNgkAD9WWbu4K7F4iZsobctr7J1nlJTfllhW9h/di6Ny09tHa89D6tTj0nG6Z4Wyl4AffV
WB/CkdrnleowIwBGMlxhkk1yvY9YvxfWS5P6tgIjZZ0+973MBuVl8DrdQgVY4JMd24QWSTxerT2a
hk50IKzFVh+6Tb9Hr1Eh/WXcOTB8ULK1MGGJs1nP4FVvQ3LNR1DHzcWrK9LN3C7Tu5ia29JrihlQ
o6pPwzi9trF318L+fUMoDGOJuK4YaOyva/V/emv/f7dpwXL/3ab9dhneX3bt10d937XsF2QaYYgJ
L24qIPA/7Fp2CRkMcanYJTMp+JrQ8n3XXu66wbZNkLgC7hZSqj92bYi9DsgBpt0ItRyb/p/sWoqX
/3nT4voE3LBA4IGkECYGl3PqB6WelHCCbpEZjqU/fGy4mEAZmw6GJ7pJqXfWD3p6mDBTRPcLaSQa
FMQpOCD2sMkeKByZzcvQ8A8J7BegsEzQYFSuKOa20qGVKOgsO/emAOJ/ACYebF/KRtTNCfc/D+AW
4pb5mawofIqsdJs74xwfofwA1wb1RZP5cKSewBiljvERshpc0viulEanDfEgipjAPft6PYMYOUvO
8IRBK9MyFjG87OOeedO158KsbLY+o5u9mhhsYoRjs/QcWCZ0JsAcwCjC/YvRvjNTVimbVP/eG5cD
jeKepr/bG7/fyvvn7fHtgb9tj8ttwtC8MewRCOoTKKh+P9Quf4o4NDTIBkA2GNrk3w815MvBO46W
DuJSHKzIE/p9e+BPiDaiyCJJvu2OfxQm9nOXhnca4ajFnkWrhlfDEfrz7pixJpQHZ+5ZdOCXBXPP
kJ0dtkhF3xYJWhbEtf3WGv2d+O/PL4Sv4cdtCLteUJKhTM7T9iTEOVoeJn71w9f/33wJ6ENhdr8I
kGHy/Pkl4IOpnLi8RNC/g1Gk7z4TP//7lwjpn6Wol88BHzZsIPhVCRiPn1+EInfFaIKcM1U5iBko
LVmmaSAy4qkvIhwJFDjezVaXe0YwhY9BeGuM7NOgbY6bDR9LL/pIhyFv9YJWPCj3lVdfTe365Mtu
3UUNSa0tX/hAn1gVIKVgLMe0bthHOaz3/jDhU01fBLfXZhR9SuhyFlX3yuBeTYkUO7Tib4Iz5LOM
Alxqsp6phHsv7E+gmwvY2TM7y2vmxMltYGZmNuS9ao+TsvmwtcdOaUgrAC6npqU7aazMWNgeBi6u
erJCpMnJjRpbVMdxLQj0eMrWRSiHQg3yusL4nVaxva6NvwcyMIBxB/D0AqTxEVXo3FZk52g4g7La
APkSpLVF6g3D2Q4g8Dlk7iWo7H7j3AD0EPee8EQWzBuSKIDoQgW4WzzAtX0HBBe4Zyrn5VbL2KaD
Du7r0BVwDu19Zh4T3vzqavds5bj3SPnCHN452J4352/3nVRgd7bkla42SWFOv+8WyM9CNrM3dGpD
2iDrKlOrA2VUBg6uf/nM4uS90Yu4lpE48lkWsCbsFzmkkJPtBsYVNGHDlpsIIrWJCopUAH9Xezan
Y5DLSZ+sia+WzQOl7y/1tZ5MnTsXJijr4e3CjJ+FzHyW3vIKScHMUlu3NxeJmw9yPZ1hPvu0CXIC
gLC+4+WUhkKToilhKXO6y2u5YS0BmyOI+KimAh3kTTVCvlH3r8AbdmWAZbHqsiDJkMPjhjZN+eF+
a6MDFneI9CqeS8HnNJ5IFq3k4KaEZsSnU7ou/hkmw+cLBKvxJTXM3rsNK91CZoDOFPHDn6MBeKQf
y6On7VHW9ZmU9RNpQ5Eay/s0SfTzBDYlnMeTBg8OnRXbVw46BwfqJwXfctZkuS1nwHMmuG0aAxEg
8+sPjJkcnujM43MufL7NqZEkgqosOK2tKeJoPJByNVnFJ7iSeUXDA0KxckIw2FZBvk6fE5UcHNVw
OMWg88zncPQpNNgD+k0y2jMCC38d26hKjT8DEbNrFjYrdAZT1tWQicmwmh56puD14dru2zlgMLDP
V2Hfva9YDewLpHpD7JMZg/7AQH0XI61e7dBiw8CZqMP1EEMbNbQTtFhlSObDxDQYrixopsoegHjw
IhY28mEZjpfT35ep/6iq/1ikLpDBDz1PUC6TmFpU9aFq8gZxaqtnztCE/NOajsCdAE4IQv3LBMYu
JokfXgbRE9AZ2EvBtftlesF+RQDP10/yL993M46D43fx/F+G5f/Ttp+rt379c2uBWofH/dF5A5RH
+wynDVLpoHX/vbVgCbL3MSxT9B1AQr72D987b2Qj4joGWEZ8hEpfGvbfWwsSoF9PYA8liOzHgxj9
J513eDnSfxqXY4qz+CISxniAivGnVQiPN/532LbHwEIllYcjZKrPyI2p4s+Wy7thDniJkrN6/hGB
ZoCkYufp7WUaFPJEE7Om3gjJ/iMbzWIhFKNbmVE1BBCn+lBh5K6GaPyxNbTMenT/b/i0ZjyLgG7A
sMNpEWnZakc//ntBXtAbMCh/tyB//TzNuA3jElb/lzX59aHf12T0C0aYGBmbvy+h37NzgeEgoAfF
AoPfJRMT6+H7mkQqZ4yYJmA7uFv8p3YXl6YiGQWAHnpTSE+Rp/RP1mR8WXM/rUn02Vj8wFk5oCJM
pj+XLM3bONKdZw5ON9p88BAIMRQrp5+1iO9M7z157NWWvtmFwpvMnYbDXe5DGGTy5iLnm/wddDne
8DzWFaRnZFHBesO2cipY7DWQg9RxAHUXczUMEITX6sEz5fXiKvJW+1rdVGH7GPt0+YK3gDM7irsU
UQ/ANmBUKdbL6Swcgcx3WHrQFm6BC2JsDmqg4zth/fFJRT3Mt2v7Om8B5Mbe7Ka7qRrVgWwGRyh0
33fbWkF7T80eMuRpKqJ2ozqP6wlzob+DSAEHUPdhAC6kS/1rHMXoSAF+t+HY5OUFZkLSxXuDELLh
Kwz1783zdfP4f1vNMyREt2/9p7/unMvjvu8c+svFKgZnYRD5CSjTH6p5/AsixeCpvFgSvpbl3zcO
rgaFOCMCOIpp8lud/w5+hr/AowjgheOp4PRK/tGcGODVf944eEcXLAdZkKjk+MfPG8dBo4mQTFkd
S9dvPRh752B9TiJbhCA5XB5vPN6uIgbXbhZBW/qAfnLc9n1Egy6H5s2H5GqoxvGmicrUjBp8Jq8R
JZT5sHMuu0WQOioGx5Llm+vs3x0ER+36zzuIrH4z8xtSQt7+suogFf9j1SGoHohxgIr8G+j+Rw/B
f2Fwd6K7A7ECVP7nrHNQYpeLfX4D6vGE35fd/1MP8ZWz+alef52yGRqJgOF6tz97FDs7R0z403Ss
wX4foqSiElYTGJ6+ADTf/Hxq2bIeyo3WTEG4I8OliBLvBuPiBO19U6fBEH8qa4QmxHqv+xmTV0fz
ta14CncDQLy43PmqQmDV/BGirK3envqRp8nEbuKuwaxq7bM0ZZuPRLWF1h70WdM0awxXcqm6nDBU
z2NYd9R12Ub7SBZ+6JYlu0RvAr+vNAB3XjM2IV0PjORjOQTIW7Y+C29ki9YfSDzyjr815v/ya95H
EfubNX8WiI6tpnno/7Lmvz7yt0qbAHsGGYKM7gAoH8DpPxBr3KiCyToAlwQDz6Wgosx971FQatG+
AKwDOAjtU/xD34xSe0HQkJn1W/b/P+lRvtJIP655VHQf+w6NSoj8cp9eSvEPY1XDjaa+5uJUybDb
IxOmcJJ5umgZ3IuPqJPxwUCua3KPJnDSTyvvDsisfmz5NMTQZ0ge76Zw8RIEjcqOHBHVz1m+hMIh
dlGohhbdFM0t3GBSI+JniwPvuPZIgctct1l+8KcelgPqlb/FA/zLL0t2yQ7/z0sxmM+h+/yXJfn1
UX8c/tEltRbzGkEX8LU3/n7lRIx7YXzY3mHQJpdjHFvgjyVJAgpiM7zwkngC/OnHMny5eo3jiicw
49E/Ov35X05/kDEc+wIF+JI8/fXvPyzJ2R+ogWo1OTDoCpZHr24RNQTgeG5Pa3Uy3ie4fc9+MB5a
Fz10MM4dEVTzDLsE1NJB+1rDxZJPUNIRJV4GmB53oYvDq76i12AqdTaJWuhz10PVifGB0nuvh8kh
rf3kqAE+QuhBEUUKWcs2FBQq5NJCz70ThpMjnH/tVWX1CMn5IDybQdpMdyWz2uUIwA1tsaFTQZxc
1B+QvLFAXePdQZfPQblAajcC4QlIVEwUl2V0gYPLp2cMvXuN5C9oAtE8w/zGwNRQoKIhGKPMGHVa
L9pgHCJP44DKDhviNZIUv4xjnHsVItFgBulSCORwtcTy0I8LSZfFgy4ZDkRIE+HGDaHaBXaSmnD6
AqOT3E09DBJIfEHAMn8XS3FYRVDCi4S8ABdCbiUPVGFqCaLtPDnOMqfJ28LL4yrn19o26nGLNhHm
DmK1TtVdhijkBz10LXDdAMeQLtXTciC1FvyeQZBH/i9757Edt7G26yuCF3IYns5sRolBlCZYFCUh
AwVUIV79/xQp2SS1TS+PjyfemxLVjVBVX3rD9X+J/VNi7xAA/n5nX6vv/dfvv0cbhgR/ZVjYVOhO
qq+lUZ6T9187O8BAkezcYuu6LknYq2CDpoSrI42ezFjMQF/tbCj4WCvqAcS/NJN5asK8DDahbtIw
HSW9gnJFvvc62DQ9vKzQcIsT5ZUjaX3cAiwUQ1Fa26oCdl0ZMFAOPlvEAyWrUdGgX+/g3fn5ug5k
x9ihyubdgMbFBURz37m1u9pcMyzN/AoWIliB9lJVKCxu5yW3d4Vb9mtp2nAMRlFJqt5CLUe41TRn
s+pzYwOQCnyVb4wFaEDpQRVGFA9ilD/4mxK5ijUMmA59zDoG4K/SI2jiKbo33eoTyi/Gmeo9kZ4g
Auf6Hy00BDLIBMFpUXviE0Od7jxXjsBTJgAHtobKdRWWQEe+xz3SDfc9CvGb/zaGXpNPCJy/3xh7
PFvl999j3tM/+ysNQzzH8S3Pspg9PuVaP3cGGRpuLJbpY6Jlkqtpa5dfMQ+HdsKdpXs4P9EBf+4M
naEx0WRCCZsGtI/1r9IwvfJf7gxwRtiSIOhPbOX/Bm/al8J1QTprrmLVp87X7CmJCpy5JqECDBFt
YYNVe8dqcvNbnckz4PYo51dxZ9Fbapfus5m6xibrCpSAprKPH+yqc0/BE2bDWkZMZj+GZbeE2xDN
EDRIuxBAfwyaM1u55ec5NBNsFWpVpTvU9ZrnSel/iZiW+/37Vbl+UOqhe+iTXv6PbIx/+isb093z
EH4uyji/8qpfZzb1sm/ZdGJYGM/tyD9XJo11lzYM69IhWaLB+frMpojVbZ1/11SnG/pmWYa6IQJ0
Eo15yvLf3L8oGhASrlD2WKxh7I7Szk3vmj9ohuskN0S4rXRHfH5qjlu6T14uiA0jrfHUQMdnoI63
HeoTDil+mW8krZh9W6MIkcmsYhzYHZ2p+dA33W520HgV4MPHLMkBeY3boRLuqk+ybTdUxykKT9Fj
Emv09fq139c3UAeuEib76FNC/s6TzYAM2zzGh6UTD2mvoK4th8ht10q4e4C/cHj88SPEzJNyiR5F
SedzXhgSx2pvWCZI+WnYSKO1145JWd8g1Rup+LKq/I4JQI64hnQviWxnJDT3sPSKNa4ToOzJIsMk
uGqH4qLMph/WYEGDq2oU/z3gwNGd7L29W9ufAOqg5tkxMjW3vbNsu1h9daX9afDSqzEddtRUCiBO
INd17B3Rs7gK8+yMqfip6cznwNcOdqJ2mWwMAprxIV+ai6S0TnvX33ZNclOQHPdR5a8BpX5JWrcl
oyyqdZiVaP8yr89kcQXb9yMJbbZC8QVFB8gMRitOStT0kH/zrUMVTfcKg4DVYNs3UdSoEyhY+zn1
9si7bKXpXDXu/GVarEM7FZdDUzwaRshbHJubIZwuLcMh9azEIelq/DrAzmPOQh7b5cxiu0UdW6Ow
1+OYgXrqGINapVOt1DRcA7871qV9YUbFYfSYtU6tfRkU9r0tcm+LVMAlJIETYF8pCThc6b4fbp0s
yvZ+311I2zlMkfOIZpCHZnuK8OCw67v5o6dq+n0z3ANf3HcMpaEEdw9t2x0zxJP3XdQCQbEwzxkX
KDszxDar/YxLBoBHG7OB7n7IqlO6ofPK65Hx30bPbZ/uqQeUlWI2N7FZmPkZslrhvPovkutIHuiq
8b0zEx2p/9VD5F/9Oi5pT5NFUs8+429f4nb9P0AXkfeiNq/xt/qv/grkAYcs82ONDwftx/n7q3i1
/2Cu7HGKIjylRaf+VSB/MvJ6Gcg5dUkW6KQAAw5IOLiGl/2UZvHgi/dRepKVaGFfG6WdnllPXefa
4hrWS1yP12g4XIJNdY7T0IKYSMc5NndFGYHBWejVhIc8YEkNdt3DqUMbYw+B+qgi21mNyrhNc7TG
ywSJESPJtx1EvV3XCx/8oJ/AFHEsADlwa1dthLrSaqoScws8JjOPlWkN7WWR+xDhe69+gO+X1Bu3
GS0Bp80L290IGwKESRN9gTcNW2wqGwlXwcKaCsyGcsFyVFi3hc70CLCk1zIVKraP3SCqTZSkqOYM
WbyCWJyiZeK2+zAKuY62GndtW54hlmHtm6X9alj92o7nkyXOTkf0Ujd1BYuV3lMeuVx2uXYG82Q0
gmJrNOKGHpS/ccPS26BZGd4mWRtsC7Md9rCaw32ILNMu6vNsHSvV7ArLJJ1PYIfN4Rje2lDsZ7eM
1kGOwV0Hq8tYWemS7MZg6g/d3HMPc80creEcDNcpskYXGSjvi84w92A9HQXpHKjNf9v7qYLV++rv
t/e2y37P0kEG/LW5wz8INBSnmNmE2LGxF/8c6EZ/gNHHRoFOBUMCvU1fbG7yIA+tOBpQZPEvQQY0
S9lVGhgM6Zz85t85LYa/pelUAYCLTXzqKGShgLze3Si7VEU3O90Jv2ATPgl0RKuDoHhm5y6XNbEw
yBNYWUTHWVWXkWEfGmF96YieAVG07fz9QFSdikmdLJF7MzUDMjCteZ/oEOy14Ywafnti6vCcEafL
NM9WAZGbsfDVmKRgdMfqBAYwnDdBmEfq6AsGI/4akYSjJBPgsrdGYZ0OqiU4ph/bRhnruGTIHEuw
lvO5kU6nAbkFnC4tjXfMddJh6fQDse7d4uRXDnlJPY9fB/KUEN+ehbzFlNnB0XmM6++zLPk0kN9A
eK5XqWfvCzIfyvgLM4mufJ0SxeRGk8K3AWTT/aics4HsSda1DTYO/RPoiJd5lILwJ9cqzAF2sU6/
IAltynrYZ763a3SCJkTyrSVjs8jcWi/PV5JcbkratVlah7IYzpCYfVjI+TrGH7hGoQfXz3QGyPPk
cJVZ4ibX6WJpuGKNQgH8yfqoyCiZoQOdzKdtk/KhbYkSD1TyS0Ue2s3th8aTx1QnqFlbVKsh70lz
hezWbTQa/S5EZQQAIATLs1FWGAfA/KVJZ6v51BuqcNnapZ1/KWvbHzacmOdmoc5DmdKmyPydm0yn
vKWjvcB0VjwJaX6uDbmyluU4jUz5rWj6EEnk+ORyU/CMVRt8iNLiW1Bb53Ub3uVmtAvCbLN08gza
7hp7nY99kJwAK8A4oH+wuN+hTM6QLIcuv5jwLWnJLQbCMeNdHMx75JagqEbrqJcXuIKsUIpGVMJJ
zgKGSggJ8Qb6MzLzTeCLczKbXQYzfHTzE0CJH8x6PpSdu/drARFu/BEH3cYBC57ILl5LxPvWhVMi
NOpBSJ+2WIzc2UAgZRk+GAZ6LgKZkMJuNvHinnVhtEn67BPAwks3wvXHKI92HB1U4B1VrlPDbLBW
C7z2VbPUu7LLSe2wuYBu8RUhuE2qvpdtsHOa+Qau3xY9c+LbcBb2wPcKv73CJaRf+UG5Xtr0frGn
nTnKQyp7HE78GrIaHLlVAjNrY5romufVrpraR78Ml5XwrAkJfW+HY/J1L72zWKZHPU2WrrEz0Gc5
SafaXQdG9WVEe9BGlqHJi3Hl00BFg/iut1wea1fhuIdmuEpt3TY6s21ktoEYrTxjvHDNqltBzp2O
8UQv1m3t/TArtKpMdMLZD8Uq9UH3omdIClucZaWaEGz+UlvmfbukZ54yT8zEuhghozvUJm2JGEm7
tOEGXavtohDQoe09I1jHIP2bl4RXo+1/s0JjT+b0eayCK+RhOpQAwi8VxHgqI+bkIk6j9TRxrok+
vBGIQjj4ba7TIZYnLZjbVTCF+Tm9ZVjcKpyI0hbZzVoYLm4ZsDY5YLx86+eNeZahi36musE/s/I5
3/fIoFnM4cf6TIC/uS4bwzzCYqhO86geN/No96cOJoUb28z0uZYlCGZnKoGCT8NCP7PuaQraPk1E
hR6OOkNeIUI43WMEp1Zy8tDXj9CeW2556yjoPS7MWeMl2ll68DrpEeyoV6Vo0o1kOhsxpTWZ1lKg
wKvXA1ybSa5ZecPKLJxzyOQbU9cCfaE+V7NFdUCZkFIutLpuSHUF0Qby6OqSQtcWbJb7hWLD1VUH
jP2PHWVISTmy9I63Uov/2FGoIHB2YevKJbanWzwafGidVDUp5c1CmWPpesen8HF0BYTU3yGcc4SK
zIuCEknY0zWEcw4kXT0lM2pCQldUyL8fyUOdlaurrf8SFZ2oWLr9/feJyqeHuf49U3n6R7/6ibT/
aKcz6XXJApnqkin81U9EEZxGLqnKUzbyogwhHaFLAR4M5uxvmQr1BzwCCxSj5vz9K+hZQA71up8I
XEI3h5BfMQOLfOl1opJ44GQU5NeTAdO972UaVnt46kl76E1zbNZ5hfdi2lPcNpMF5S2L/eDRD2YQ
zQiQuvdtAhzbdFvH4Cz1k9vFn+0z0S7zWiamfwybenbO/L7yg0tH5Yn/KMMgr7EFaRuDdMWeWgqG
rDaMx8CwvPQc94UHKJBFvCrqfNwgKEok6hIMV04Avt81XTpmezqj83mMNc26szkL8vzg1xLkZUdX
sj3AjTqf6Xr2fYzinhaub3CYoVvpLtM2LKPLPjQ/p379gdzyNGzSE4QgLocRlfoh7CDah9Mu8eeO
plN8cBVJl59kV0ZU0sRvP0exL+BHdbvUDh+xEzv0TvZDWADY5nq6lhVMSslpskJWBusp4dJ77cX6
v732VBQwDn5nr12D9Ky/P6qHb/NvfVKU2P+qDZw/NAKIATS1Oo3Pl5A1lxYqisCBB5iCKoG9+Kvu
h97neSCWEbAGnwaU7GXdz8fA+rNwtaFxB6D5jbz4M/n6fzOOrDemsFQfPkcBnxIBK3UYIujS4cXU
GhHFKhIChcuu99OTvokRXoNiEptHIxLSJ1GRzIrL1kkDFMNk9KHGd+ph7Bu/XBPPp73C+jSrrRNj
8tpNEo7oYNTndTB8DdRyV7oN/mIiwRAjvEWFbGuL2KYBpYKNoOe2S/1AbGNPNXun6s+YZH1tFSNn
kFhttZrGOjiFmRiss9HaEF2dw5Kxjeh5huuoq4NN7qM9ltZW+XFAE3WD/N2xRkTtqBCQ9VGyiE4H
MRPCh/h2iQMSLM0I7KQvH9uGYseqg1VMeeYjjowxAcSJNcwOgTYYNuerEkU/Zz0gW2ccir7c5S3c
oyg68fFailS2QRfrxu8QKYsAW6Wb3DA2s5Ote+VcZBW+dGOJmtV0NBE+xOT3GtExTiFUD/r4G00K
onuWHOjsBJApIWaU4rZK+/MlVWsXxkWVoZAqw0sbwTuB5sbKGcVXJ0c2Bue927SYoX00y1rS1kga
se2HwT2fjNT8OPXdd8jhd2NyUVvzVVBNexQR+vOgs3fSC9qjM/vZ/5ejktfbWNui/n2k/X/lAyag
v/+Ln2EW8uEf1O6Y29JM+0kteA6zbOU/8IDkILCZf9moUvy56QMA3lD7NZiPgKoxV39ueo+/otnG
32Je4QJl+VdIFd1zeBFln1BdUAAJ80wOXYaBfNHLPY++xlxVvel+T81F5D/Kaokdk92jm/kbpXJ7
vstxsFIEMKdEw0bOnvc4xaXAZ63R9P0d2TMaWgUi4USzOopNZJ7Cskin286ssLJed67wF58AjdSj
sUbwqGX5QzFCKQwBxV7alwAZRdCtElMY422qeiTrEHxPCPAu8mSIrC09sK+9I2mceWyWXPvllONk
hPGuHtCEztazTGNMnl+8yKvnnudLEuYbIw1GrBzStHJgSdKUxUDizdNppG8h1r5434Uch0iz7QME
jeDbOU5xDosq0r7SVlYDr/S7bL4h09L+2TbdUe6ntsZkun3/kmyd9vzVneWSQCmRDeGh4fnMWd/K
lwS5PeH62SXfrNLErUm4aLocF7fXUi6p4Wdo8FZ4D5Dvo4Qa9ihuTaJAxdYUeLEibqt9bYPeM/Jj
aQ7SBLdDp6MH+zPxKrZKAem8w9ATbzzMsYrWv1gWGpIpB6grvRb1WInK5XOO/rdkV0Liy3uiFabX
IFhuk/DnsxdeL8I4LabMKMr6uzkicHONyKTRfKzKuFmu3n96r4eBWGmwaTR2BNkXzG/4vtdfNJeU
WIs/xd9gF9uItIoyLlyc0kx2+OQEuYtkQuNp8XrfK/GxZZoXDB8x3MAe9/0r0bH0xWvUVwK7mVwZ
dmwAL0w/khex1nKS2Yym3P82yLDzLzwBMkmtoFpAUDom0l88/x8e8ttvtJhdaPo0LjQW1JC3ZkMe
bXrUJXzxEKWh0wMCnoHk3mH1rtAC8uNkpG/w/j2+fdpMAywg0TbpC71GWw94X95jh3UcAGQnfcDd
sefTUdyUy1Wf9bgWJ3aUaEPoCItUyIozP3/HpNPsLlFaqryT96/k7QLjgKWgIVXiRAU+8dYUeqwZ
0o1R4nxJTYVx85xi0vYY1oG2Vnr/m94+ZZq0JndLqsa3wTJ4c2IULv1Px8qtLz3jvIIqvNTvNYOM
6R5QBG7/0aL3tYoPBwq2NOAfiQeMbYA5vVlIKg8XxJrm7gsjy5l9inj6wha3+lS72Mcd9GOq/SyZ
aY0EhZfiBP3+Hb/BnOvi8QnmSw6qCUme82b34qCblpYI6i9tikVkvWXZL8VWMiSPctQsUyS/hi7F
sGZP/gkve7PMZjIPe8ODleNsKx8fQ+aizw+HHkrNM8IACEQSWWbkNA6H05MVMk58TYgwoaOQhKW1
XGDmokXdBtbWMPfN0GAWa4JFRLGNcJtvUIpP5kdEZCfYbUNR1TnwkSKzFVTqoQ1RocZugq+Rg8yL
GQU2O8APXGZtyTvDT9MdbnAC63RDTXTIS64DCYfQX8mg1P7aGFYs6G8hSm2iYsaBougexjlVKi1u
mWi/5jABMzwcbdRqiuQ0rQu0Lt5//L8tODJ/nasDv3nC+bzZZH0di9Qwl/lzg71k1R0S3KLHZgMF
WGIbbcZKR4T3v/I1upUXjlQVjQNaBuh8wXp8s8bzoJy1cO34GQsQizfYZ5FfnHuMLQsaUPLJr5qB
VY/7+mRhJsg0q6z01bx/GW83NVUUOw0jr6ciCB+118eLYSUGgtSB81jCj2FZtbPQb4XVoP1l3/8u
fUuvj2syMVerGZHKaWLP6++ys7osRObZ3yYrkZn73Z4RNU5PYtETSBPIlhwk5ez3LMj3v/j3myQo
Aq1nIswZ+tupjSEvHjjk+o+IoekzlIePg3hsGxlL9P2veiLzvb5JKkl6N75na400TbZ6eV7neEkX
I0ak3+BCe1VwyKK4vi1tRdK1VhgVJ+JyipbYrM6arKu1c+uQFstdLgMhnFVVkuGx4vK4ij7kOcHI
pfNa2+VZMSRdOB/60XVZoO9f9G8vBvoBQO4AMwQwbvBuXl+zFRWhPYGbfgSQ33EVePkW+Y/Bmg18
oZvK5/SIq6H5x8Vn/f5innaABpba1N5vD/oYxM0kOs/4ylFl2cs6QrYUwZggFGmHMrpToh1+IO4X
wQN+IngnbNqu6zggcAy3h5sMO1kODXzrF/U1qa082jm1bzOAqWZXhpt/eEpvxn6U9XDhQBQ8EU0J
F2/frZeMtPP7rvmahjiY+tiCzGq5klgUsKh+HsiRpMq/wHU6YzfJGjVCA4rmrKNKVLicpCzAKv/h
Px+CWewWy7gaLLfJfzxnlNgGkS55E05b9zKJEJNE6jwoWKlDqSRvp+6UT11RO9bAG0krtHvk1pA0
6eeNPeN4/wEpTzV9XmZdE63aiTFXqPtoWvHaXDJtImu7rcf+bum3TVfCB0/73R97K7NWjorJL9j+
kXdfZzVLs1sa7clLVzqqweIiiXuPeqbI623vT+Vyx5whGG6GDhfsjzLnT1CJABDPI0lTv+Gd2ek0
8tWVk2YEiNwR2gELX9CGm2nMPEfCd0ZxkzGFHHOb3/StLOZXMiwkK3/vDVOqPii0aIl+czvl5JQS
Z0OCcJ5EfPUv81Rn1N9mJLPwLxyk5NvPbZiheRy7Q5udl24dIkZpyak+TVF27I89mvusJSSV9MkH
z4esJqTxoSPP85GP3yIIyoMIW53fNS6aaghVPt+AlyvtIVsHtAP09CjW9t+eWbP85JToQ+ynN28r
Yx8TrywQc5WvpfYV//UZrWjh2DgZDjzpGnBfg9atky4ez4DO48xXTwSm/Dg7DfeUPD9VtyhGnpwX
ip5fGEdFOKzLrie0WikegdXWMQLK0FnE2uNLzEHL7XHQ6+XSRIo03MELl0WTx35efQQG3QTI4pKI
sVzwPgBMvRrwyGLVJFgN886cyeQDwdRYcbBTiSpC52i4E/lfW00Dz7CZhpzv19R8K74OSwC2+WZB
oqIcT2K/HrTLLthqitHcmnQwm33KX24ij4SP1Tbm2DV+7NitcMWBPXAKbNHuGLiZxo71+u2c1uWn
JHRacoEI9WE+pZkb7Znd5/hUariHCohdKJLrHGLm7vnDsc/1tcCLRvZoDW2FLTiHLdaZTCyBAR8G
P3S4PBDloS5E48EsMkZ8NPbvs97lhzXgLy1umiNyxT22+GrkP/pp7HmcSxjoNVdS07qHXE0uz4fO
uF6iulcw3Iiw5r+tFepsKMgVZwO1sE7Z8B5mn8/dvOjDIy2oLPPW6fSWdiP9oR1Yfd6EJymEESIW
lkMmlRVYwW3TJhByPgyTKfPqnLGiziDaTnZc30JxqVe1k2VaprSIFss7TMBmpg4tmJso9ZDy2YCu
CPTJlAIsQO7GNHYePhDC2aliTpAwYm3Tg0sGUyxX3oyvCGmYhITvbqNqxM+ERAEvgwsgWkPRQZpR
ZYtGHz5A2SXkjwzJGJoP+g3X2TCbFuqngRyMk0yaZTavACurRiJhKKUxYkohmV1gpyN5N60bZo33
UEss2fFWQiY2aa6jqo1drGOQdaFVicaJO5ZbDmKOm61ykhzd4ET0DQSb/tlUOLZ9lR5iJ+/x/FuF
Bces/7iMnkFey2E7c89YqhQk1nhNT2manBVN2lvBhZoiqRdPhp0dK1GNMwlYgcMMP5k9tjY+nsHg
AZLTZgHCJHatPfSddbF4mI3fka/zlDZVwfuoV5MJwIlx8ejbOsOt2563VFtoBaTbBgdwPitqTX0K
9jx8Vq6Z4Tw+7EwlRn6TnkzL36mOWchpCDyiAhKgcl0KpW6fcEoJd/J5fipFYP+C+WzAXrBsJVlQ
Q9s5c3PC228ZPodYrLiHsJSLTqAnA7jo2rXw7hM7jkvC0YB+AFEeHIhg54VuqYOsYiTCcpwQCwBu
GoSMsX20DlPDvZzMGVgbthGV5x5Eq2puKWy6BjZrZesUC6vSYn6swpb2ys/GCqe+fji4lgKr3Rcd
p2q0TdJ8dIyTPl/A6yLd4ySbNh6BC7vYfrXXcTtx81lD8J+3wzwGXHEAm4qnhAhQwMbOe+Ai3iGE
mMUT/Lmsq2zUfze7KL7aa/TNdSfAbwx93EsUkJc7y2BVOlsnwFR5XJGJJib7E8AYO9cNYy9AZhlr
I8GclmN3IyM0fw0AONbsfzHQjOyAP0/lDfDEKGcNdW3WHkFDDMXOb4ZePIqKGHPaJZXhnsdcqbPG
nitrv2ScucuuCOqm/ObmmKp/rBq/6h5GrDXGSzSnS3OFcD4Nd+F4I7iaMK8jFHyAU4PS2I2jh758
16bx1Kx8gBUAkUvCKiY1arDWLe+IKXSDvjyifGk9dBjnJVMx6JR+6UZ8tt1gLu0IXIIxq89AsHr3
2i8V9ec6b91iMlZRac9xsxIR9x+zTuMEb4AUJ0gqt6Ucl2UT4dVudrvYXsbmdGJzALBQxflo4u22
G6IA3RWPBG25gUuKd1MGtSY4yhltacSvlG2tZ4sTDgmlRMlog45/oH2OAhtDO4wVDoHtqE3bANxg
xlab5t4arRRRKYFXm2LUVyIHlcaOZ1yJoqnc2162Xd7sTRHMot1GyExPNxO+n+rckKo2PrqGK5c7
VbOqV17n+93tEgxJ3axK3Js6sQc+kyzTyhwC4W8iWHvFPs5UPu0W/NuqBpf7xgFXFGAf0oZfLVTl
6m+pjS3ktCl8JMu/4xjo9P26D0QTrGxHMsbZq7hugWf2hemV/j6ucGS5QFLWKIo9viKkten3NKwd
Bb68CYseMIzlqXnBgcJRjpFcoOWE8dvVz+zbnMvYtz5C/m7wYBybTAdUUTmV8G7BagrhbkQ8gjUg
nzITchR8ujyysdgc2TCYklMbrfCHzcmgOmcadFiJOEjY3G2o08eOAM52AP+tT7jKM3WGmRlzbMW7
fIaRUuobE2N4urSJQUrqpS3Qi3MPMW+ijKq9xF72cxDwmbveQyN/ASha6MohyK2Fq53doSqjfd9W
mX/v1bLmUiwBtjNCjU7RPBV9S3tth34ImX1Y0GSz9yh+kQWPJrmbgbf7KDjL8jDTQSM2Rl2io33v
mVsccvzFAeZvl6RENehezpSqr3RLgbwkpIHueVWnD8SqtInRIyNHUpNxjhQPSNSBjpwhguZcaZfA
67f3fbAEzXI90Izi7xC/n/gwM29i9pL0Gt2KkVGuz0ng+iW/YudWxBXRS5BW9xB1mNAyzMaaZ7mz
Vd/5X0fM35udb+dBfZY0+UBYVAKVXudYi0CnLGmk9DOCa+4r60dvIMUZbTCUQyt/RTykEboKBBKg
yyoyO4/Hzxmu/WHh99C/9mWlo9TPCOZaDc+xwM+ME82PRn31lhMbPEiRuHnU7OcMm6gfZW/wYDlm
cn0FvTSQCD38ehJLyxZa9cLR3bCgTvnEplLaJK+w6lm70hh4q2frDP4sNUs1xd59ibo/WqRPr5GA
aVl3lH+9ugnbeOKOnby2eEd4PgR4CtRJMYzp1YJNTRx9HorAw2AMB4ukGk+gIfvDzaJbZ+DhFqG7
6V0HCz09EQDQ+CxT5Rkp+GjPupAPMZ7y7ysGENbEhBPfG7VxgZmROONYS7gcGtF13gHpBTmEVwuI
rCY782PMA7sDHBC9DxynM7nVoSDJvCmlq7cIzsC6g1/nLb8QD2jVP8AvpjTOWuupZxX3WWvvWzvA
mW6D+byOrinyUwRNIEC6N+Y4giwQFSCdbypfr8e4zHW7zOQJ5D/iJaj5gT/Xv/3c7gPjHBAurZTr
Qjs8DXRqWGCiqZN5R+irfd4ehcKe4Kbsx4aX2kkOvgqzYmdIvuBukGTdAWkVbNLXVctaKNfZTE6Q
7zBt0msXfGJUn1cjMohqk5QytHCeUBUWjptyxAqX+asxINi5rRcGrjemGDLdrKBPnm+iAYLkxwSp
xO5h6PoMsJ4seqE4XObRxQt1tFRRQyi2WWcgJHURmAuPis3EWo8XIt2I9JLCk/eMvdEynzqjTf0E
f2Cehv2EhU7xMKTWxEOJnzMfcCcDuYZswo67zaaoIDH4WRGHSx2RGExJAvJ+Wyetw08JNQs0UAOn
0kdn6NvlyjQG01w7qUgpR4a0S6RxgBzi9Dc+jO0et4nRot1qpJEuuhFi1FlYN1m6yEdUXifyiWhY
H7GME96aqphQYYUbGku0zrrBq8lR8GBd7njq+sRdrJaS8aQNRD1KXT+wnHwYo3xQFy/6qBScyf5B
BB59+y0GPiz9A/pUKaVKEZJHPW+9eih1alUaVYRz8tyi89du1DDormCB1y6XacTOzEZ3YEGM9aXp
ThPaTVOy6IrbiwzFgxwxwmOLL86YiHPfL1yS13nMk32c1lP/wZ9AGZ+EPWa4h1Da1BQENsMlP3Am
TIqCnV8WDR8TuarjrMrBPvMm7drmFF+Pz1XjVCTwnE7afLA4pEj4e9rDdK7scou7h64CnwuLMl70
RTfLNM7Jml02ZwiqhAsVr4vLCgudIslk9Y9pXfNKMxryXHpfT0TC7ZT2QP23BiDM4jwQNEf4xWVm
Rc12oQ8sxWs0EEovZIZuKcZqcmHUmTp18eA0k67Q5+eTI5qkTnQrq/jnPu/b1jI9I6DtMK6fCHTo
Ub/urYUwnTH2KcevMMx0nTmkRpl6Gww42zJayb7jfv+hB/m2q6a/kvIUILwLn5DE6fVXgsauQ1P5
6qvnj3oc/bw0ytDQnd33e2K/fxVYFy0ZAsvGYtb+pnFup4lYBroTX/E41OdTA2l7ICnksObsev+7
nrqBL1urAO9oUzuaOg4Z+LcxuzQtWWqbkq8T4BYKGZxEbFaix7CCbZh2lUUsXLDwKh762vUkTRTc
OUI025VN3U0XQo9qI0peffY8n8w/h7k1xk86RQo8SUwI/Hbkp/cv/7dHxYAHae0I/RfKcfvtjGnq
4kolcMAfMFuduA4ClC4LCa6UUO9/1ds1B9/INfkiIG78J3waf7+Yi9Z+W48MaNLPRUO34JhVnapu
7WLEt8+W6uL9L3t7X/AqUBChsPIdRPncJy30F1+GPUaSpULKL0Mr8uUO7V99UOa50AfR+19lv5nT
8elakAR6NgRpcjjzzWZKxsksYQbYt7VUZriJqfZROU/oOpAYZvnIw1wx8K74n4D6hmg3IWp9R27j
dSHadrSjmlMyBD2/FyOGi6Tdi6vjWpYQ0KE30YFImzzVVeCEuLMPR8FvOMuG0NddlaKimXgzGJbD
zRnYnbiHJDF0Y9UaKj2EJX4WU3tiGAxHy13dQKk+f/8hvHnePIOIjMdk06E98vuAwfMSzfPop1sE
5fVCjhs6e8XKGBsSzfe/SmPpXk5s9DtlIukDuEB6i+Hom8HA2AhaEJYb34Ru8/RdvUenoRhaHRl7
5rfk98+z9xKQDk+hnmrdVPj5Uzf0OqE2RmzQ7z030OU/qZPgYLcr3GnGE6PIewN5EeZvkB4yURXj
fnZ68ottUcdkk9nCpHLY/eyT01zVPVejzG3yjyU0F/5uaCr9whcv51uMp2FS8JzJDxYNA4VkUarf
ZG6xyXGPHZjmNhvVZboP87PjzJiNtZvTIiRQxjFFAbq/VjVSMbz/SMPXr0871DD40tI6ABIRPzff
LOGWOxhCU8SP5eAE9zkGxpiZMU04+EUIoHQqU/wZ3SnC4jEr441w4/pQ2UV5NySZiSEdVob7SCYO
lp5zKFd+qtrbmHRPXpWTHNJ1Gg72IYvyDxWd6cdBuFKs/M5I5zWtTx9/jLg5Tc1MnjNmTheSW5Rc
NobMnU8LY5fhGGNL7a1EGZnuhiK7uDMWQxFLS8ST0RDorlxGzcXOLQ3nPJg7uC1ibreMkMq7lJHX
sUSHmV6pUFS/TTHS8VaI8TBk9E5nvO/QaF5a+D2O6IIbm9j4INLG8jARBC3pMhcEgZ/X9c0YOP1d
5kA9WIWm4daYNnnic9FH8ltpiO7ad6UE6xD3h3zq8x1dtVmsIWr403oao8xY9W41HMu62aoRd2mY
5Hn+qUeMhCZT3BdQCHE9WJAV2XBaI0wJRtldow3xwVWz+dVGIO3L/7F3Zrt1XGmWfpVC3YcQ8wB0
9UVMZ+BMcdRNgBSpGHfM89P3F7SYNmVbLjfqpjsNJJBIK2lJ50Ts/Q9rfUuxVv02GYzBS2Y8CrnV
pQFhat/Ffn+q2/l4WPNAsIXZmGBcDzqmrB/lNBXdkgXGuXzh+5ovHTUq88Asqj7ja5PN2794/D68
0L/8ZhsoYtvdI8zQfigNMNyg12id8sWULYFGaJZvlJJxBKHF+dmoa5iE5rgSV0zU4Q/9/Pf+3ZP/
9tfcUGc6c+LfXd+D0TlVrrfipSlL6jytqPM5FBrRwX9xTbztK38tFN7+liAJ2NMB02DL/mPNNWPF
UUmhS16UqeKd0VSuC5DtQtkAvoV1Xaoiuk67SKpduTCc2tfGOi12ZDeZ/gx2O3MR65kXrdk6x5Kg
8lvu2w7xw1D0d0JQZqp9iVBU7RX9Sh6z8psYNPu0ZJpxNaqLeu9klHVQABVABXEeX2jC4TmWLGHS
7OSMrpXJoQ9tneUFPmXP5G1oQyU25Cci0jRv5fv7C4HDDyI8PpKtDEDbwOcCDRcW88eaUJGsbtbt
ZX3Rh+3DJ+Q02WlVVuzndX4i65IwPsmZ/UHFUOJisDH3erkYpf/zR+CHJAP+GBAktiIIMSDCMfNH
tKKSR4JpW0LW68Ccje6zzcm4w+btdwwVe3/Uxby3RD8TSSzVguFoJfYVbd7ZWJvEgRLEJl2sSqzv
tXWhz2wj54sgpJbgzVw6SyG9ny5kXkLy0m4YGRQXlcSX5prMkRdv7WemlOSvRZ5VO9Y1WpCxCglI
/LZAvzrXrDrd5QxW9ikS4Ath9EXvV1E3ELWYDLeyoeYwwmwuCHNWplBT+4mgyTaNb6bCSTIvaWT+
AsmsOO7Yx0zMLED+zA25Ez/rhkTcRbLo9wpDIJx3OYGJf/HYf9zi//LZwkGmOjaRqFk/JkUNTFD4
3q3opUl141xqtOyuTkFd+3lTyufKhEDoL37HH8Tub78ltYHqsL6Hf4O644enSlaLVnB1vmZ1ph/p
MiXhRsMindDXZyFzu56THt7CS63JxV0az/1pmjrylTQ6WvjzR8vcnuAPLz26ftz+SDw2Uoryoxiw
xdfV2XFZvsYz8zh2UVX0pWpXYscbQcJiQyAwDQF4qcLtDVprP0tMAycgtBLaCsfx2A+IxG8r03pI
e3L9mJQwccKVmZzlZtrtG02bz80hiQ+xYcW6SwqDOrndoqgkjdayIEJCsSvPFqtR7yQ+ljDLe+kM
nP3I/2GypFMTUf3lMk9cZxlMjDCeuL29SknzU8FWhIpSEzhSiqYo2cBOGSsPdgR3xsiMg1qk+9yr
c3lIRKG1bmsJS+ZJZLrqmTTJl5qD0YZnrqpmFgCMYXuzKGKP9Nv6bKqdrnOrtDbR1dpqpRzY5RKv
KJuxet+3FRiqcuq/6alKSnk3ZqT6/vzb+f35Y+n0CSiu0Zfw/fx4JGsqi4N8nvJXEK+y5TpgsJ5Z
ii4M2fnKtmSmlxVTJiH20vMyZiQMLyY0gb/6Y3xUar89sFgAKJs1lKs6gr+PDyzCgk50q1W8RsJc
Bv/tCzHXISnwVhKMLYOivGnacggXM4mC2onmx8QGa8Bzsio3f/GZ/MELi0eEUQxHB9KkHxW7qxim
sSJ/8jW2ZPNzYyrdtVrgerCYg5xwLw7nQ9H0x1ovxQHGoXLWAz9jIoUL9DIlDh5BcjmNp6k0aN9Q
zjcG+L80//wXf8qPPcD2kZnIw0hbUNFM01T+8JGNgthZp9GHV4ZETXxLZWGQV6Hqizt08niOvRnP
69Stpu1jsKq+Jats5e4aqfW006yquzMcfMj4pHMobaRXe8RZRWGbtQUfd5xZnt6wHfnli/6fhk39
f5uKyKP252YLL3kVQxl/dFvghoTz/avNyvzEl45EgUP93TzxjqN6gwsilYTiwoJwS2z4jc9qmwUZ
b6So3yWsARbkjYMLyhyH2uzv+KzezotfT3tmW5i5cHJRygCK2JhtH19k0sO31kmR9nF6YGR8qxjS
i23lXe21xJU9zYstsUgVZJkZknbdlpPqtkN3sS5VT8iryfKPES+uTu2sZAR0O9Y160dzVaZ7E5DA
tsFPNE9ehXY/y0P1gKciEKWeeMOiVM91E1WeqDOlcaVWoaWo5UWq9kbExuxoFIJIYfCcxLisN5Ge
EsZmCV27RfRbvChNLTd7FLOKHKxjbSkBmUNWErx9n//Tj///c8mBrOR/9mCTHNjTnby2y++e7bef
/JUdZG8ia4NGiP9ijfQv065lfdrGizz2b//8NxZCItDo0WCzfXcQbs7h7+ggzYYc+EZhU94p+n/H
Qqh/nHLh4ZAJQ0GRrGo83BYX5sdne+3MBu2SJO97wf18mmptZnhk+yW7umlYyyygdwDXzzw+VLZ0
vDroVz+1KxGz4hvl8jRbSLhS+6/EaLYLowODVKCxmwDV5oxgVPWcd/4LqdzFbqmSnCBoQOYRWkUv
wnFE7WoGsVYR5GPcxugFwrwVX2SlOuvq+FhCrpgWij1nuor7mXmKpJ5UzaB7ZLffDmo5eVMqIn/o
chVsQ3Le68uI2HsSrtXl39oSJcwIqRZ7/csqzBfBt4SyDs5bn5Qe3TfLgSTuPDVVCDEbYf9rHWEW
VPcLGgcvLlQFWKHAj1gJz5lkwLcgIJRKG9ykmsSFqSun0kz1nc3lQzcvki/K+GHRNdQIcu4TzRgk
in1KsXIZC7K2cvvc1gp9V1nokta6uaXCY+kW46+XjCCaexn9fwEWQsRKWOcstyikK0IH9J6lAtLK
1LjKctm+qDa30rqCDC7zi6WxviLyAjok4uSkKpMFVUdphZ3eFxdsNA+Noxde3CmV144JwCHbTpgh
IjZB0S+hcqgsPj2CWe1xsXeIGOPRHSxjm32Rb38zC2nynBWJTmFvyu1sT8Y04ulilPZLaZefi3ax
jjH7e4/ZzymsVWgo+ldrzUWAJ47gEYiPk/JZ7eZTYVhzSBeYh6PRf5aseI8OUvVgx5iBLNlXvBCR
Z49xsmMVm+/HKLL3ZdJAbaJr3WfSov1zeCEV3q5XXvSf3srlUxlXvzu63n7u/egyPlEnAhzlsqCK
fgNzv1/LZHngxqK8Zu3zPc/mV/szXjeISdybWKWI+/jX2aWrnzBLy9zizHe3OI+/RUZ6M1L/pgvb
7mWGSiQ7bFkimxxQ/Xh22ZM1jWgxrP3K1tA+xK3C3hEUWK0+V0MeJLZ0yOPET6Ogh+1YVWmGAI96
pRiD1NDZDxrJkb8iZ1pHkJ0RL6/WVMAXcxYMOEX8qqTTtRnZpKObC6KXOE1Dtii7qn+WKh2Qj5Lt
mByGtj13WEvsOxSoIRv0q9aSwlEWuz7OH9KaCEQ1r4dtCk1+CLZmotkbf47yneh58YayB7m47ouR
89OSOFmQuYSWWj2047QvkuSzrcQXgnCeiInnnJRXYmF2K2T7ONnbaGtpj+hxPue9ySm7PDqteI3Q
JolpeMKjF4pRC60mRwRSXK5O9zTaDhIB8t817VC18plZP2dFH6IDOY9IXRYW0mgtRWvcTwd1g7nZ
InoCMwIzSTuswnCtqHkx7RQpE3PdtAos2zyRnMrTF+186fRjVcLnMfBr21D6rTzzjTY+0SOSAo31
hBiJcxb2qlu+kObuksMcu7GdjUyYSZScDetCjtKOls3yVzE9KTUtKkprX4+Km5nLRjWWvVrMt7PS
751mohRjoT1LB7urvxVVe9vn40W/qg/gbE6p9cNYZQleZAcj00GQL24WWfsep5WXQZGcV+aw7ECa
I9NwCHYOHBzLvmylOJQm60UMVeVOehcM6hL0VXMcVcCcpPHScch96komAvCK6+9ULlTBUgaz1FUT
2zhtXKPbwmHULScGixKRMcZbfIzI8OOz4wHjLg0b0n3c6O6NWRgHHCKLGqI096CByWQ2bUT45g0O
3+fWIXoDxtM6AY//p37jCMRAwcnz50fg/VO3hW//QZbGLz/5fgg6nzjENh+PjJvoF4b590PQlj/h
fqUpgU5iM0//Ld5c/qQzbGcdjvGbK3ar+t4LONzl/JjjoPfGeUiJ8Hd6E36QQ+5DcwJrhZMWkyy1
HL3JD8PWtDcaskyNkoi5/llR28tV1/xYADAaGxjWGSMo1okPmrF8y6vs6xA3V7MGyxFaklIrN87K
E1qNR9E311MrDujc7mJs2l4ToVdqjCuzwoSXROZzqmp33VJ8m0qRnIsoGnxU37wBEnd+QVT7ANGR
vj4/jIP9JUlmIOTa8GqM7aMWg1bpi6s+hUhWGvXiiqg+HarirnNmA4TCnPhqbT7bVvyINuWukOMa
Zb2so88od9jcFXfOSFqoZesit+dkx870ZkglxWvL9pmBIzq67A04q9+szOnduJfOoc5+pSJ/qfo0
UJXR8ArhPFm8wMLqj3k77Vl9QmrSknBxygY0ZKsDu+jYIMrEqSJbSoNowSC/DOMalCywglgsF5y2
cF0GIv+04qZMRcDOL/HHUkGuU1Y74eSvONzkncGOw1XHBZQthTN/S5aRCzXxoKyJO00iWOael9rJ
Fzfvk9l1kslhL1K9AHK/7Bon9nuET262Lg84GS0PqUAS9CR6c2jFXHN63e/GRT1P18LLO+fZMYbJ
V6a8CRE8E/tgxUYwDsJgmoiM3hq3QNq2O65DrocILVs3Aoax1nZ1TNfofNCz+5ZHbxcp3Qv7wCt7
NB50PLh7XNWmb8llEq6d04Sro3xFPXyV13Z2jff5qxJxtbq2CplWKy2xK3G6uzG0YwRw5P8amtS4
RlJUF7ZSDR7+9dxrcudeQry+05t6Da21vhI4Mc7QLa9HO2uYmJLU4g92ZQbDJGTyexcpKKeS67Fy
7mqEmfwr0EEXtOwXI+/uPp5WvC4J+lbTVeuxe9DrVu73mpRMr1EpAH9yNaCMpUOfb0WbleZessvB
g91aUf42VX2NMFi0D6JUWIWtdtVIfjkXce3ZdZyHGMfW54XUWIwjD7PtfBnn9kS118SLRBvGjXFS
WM43a55uxnw91ZXosTQRh6yDGf5zVG/VKkXkz47qz0NRpOPTH8RQbD/3flAD5OFEpWl29G0atCH1
f61WFaBm/GOqWVZ1HxNm6HkJdiOtitzrD9WqQugRGAnssowZoTf8rSES8psfD+qN1IMTlZuJWRb5
Vx+r1UHHBscfG4hk0YlDo3VSSL92kyf2iTpYd7Oth0hnDyC3kyCbpn3pZCezTCWWMb8mCZFzps/E
k2ksd0u93C+8i66pTr6WiycpjneOzbvG+RsWVlpO3/Sukp+x3eDHGRROttZ37IE4F/B6fW3eY1O/
H7T82yLnTwWTesHOPBWWV8DmYRlh3aFjPc3TPIyadjd3JqYgKT1XZvV8GqS7flwIGK5PiZDxqAG/
wse8m3uKV6HJ4bKqxyGG2DNKzpfVVogEG33EuYe6bL+Wcn6+ZkblymSZynp8TJMJu0pOel6XXKhl
fJHJ4qrX7FcrSghuJkCPNvHzWpQ4AuRH8rJ3uZYRRaYrhzZqTpysubPwSHisAU7VkkVyZYkvrSLN
m+EQsl7VPSbGwi04iambr/SCFGyvlydhcqjgAwx6KSpyv+oHc9hLalXIbPL1aLhmGLGmbi84faRN
SExctINeQge3CBBPW5IKX1obPQJL1EMLzTzyHuOszmgGGjRCHgFA4MryZMeYUg0F8+uQmKEbhPjH
sndyj7XUIZvpsq28oQWRC/rdrEyDSWHVl9T6pjXW6B0iu0aA3os9tWzrEpo+o3JwujPVnu4jOZOD
pSjP2pRpxKBFvsneawefMOICLXCVT7CUpVZgQyaARFtUsYdNv+8nyQCX3pR+QoHiDr0e9umWHI29
C9cl8dWYgze2JY1Nq9wnY+xjLuUb1atrPZbWoBiS6jDIQ8zshZ9rJ8YCGZjTQ60hyOr6zjcFl71R
aedqVB/KFS+UiU71gGMD32chb6ER5t4qhyrMdPW8Am7NkMFEGGnZ551QLzMdWfYozxbOIyPZy6bW
MXbS8yBeAOzrJgxFUikXfyYu/OBk6deqrjEOKdpNk+S1u2RAqCz8lVeJY6WuzCILxmpceUg7YMWu
tDwM56CQsoJz586+1HMjDu0o+WXx8m8/HSUA4mdHtleQ3fEHMXVvP/Z+YmufNuAGdEJoRvimNm75
+4mtf9oOaoSlyM/M7eD8dexvfKLIZQFMyUu00FY/v5fWus6JjQ+ebdsmSfyb5GVlA799LK0JwuBy
4BbAjcoF8MM2ijHVzLBQi/aUqxg/ZDuestNmMC/TuH5d6+4FT8nAcwz0DJtTucc2D4iQSJ4LS4Kw
inJY33dARpGOj5lbb1xANPd1UNVsPpupEv4EwslV5fXeKBrQsIr6rXayGL5quhzzojswvdyrmZT4
SZ6Mu6rpwry3vLUur/DtPKqyuR8tcasb1a0mErSn9XToJZw8OKbSsXts6hmf07I+xc16NOvqvhqn
b8ZcfWYAGMQNKVvdSsIWuKCT0WLo0SVdtatKmvxOaWzwGpEeMJ94UVf2l0sbD3465CH8mYdOEgCd
ZpJ36bECrRXP1sC40tSzJ6Wrk0BPRra/GRfBaJEEMc3XJZ+BJ2fJZQ7lfLWa63VNb9dxuKyshiC1
PgTw+DiO0zPSfQc+mvk0q1FWYI/IH9SOcDPHNsWVlax1gA8783ByCb9R09NWa6T7DK3e0cnEFEzG
dKum9n1F6bgO896ZK1Imoms7di7myG58qU+/jegpXszYogbk5PSiKUsCLolvAjXJKXw8Y9d1zYOx
JEQMDlrBPbS2+M4sbdeNdRwWMx0h/GhbAyOQ96l2H5Xw3si3sI2TpGV4E1hZkekHFgh1fqLiGBlc
WQGYRN5m5vQ7HffWgbuyt70OoXYdIG83CDGWNUIftIne45/C8a1w3FSkf97jf+7/4/Rpal/Lr6+/
m3SCk/pt7WhsJR71n6MCZvltwMOWWsyOBMHxdg79dv+4HUScCjLSImX7VY6v93wHji+DuhbxrMqt
Bh7y7/T4W17FD+cQsDSNUapNgauyMvpYOaYLo7VyTNODjdmgeNCXya5hM4Nq4sZKRktHOTQwMKun
ex3DKY9zkd1y6dNwG8scRhFhYljMpGY/q3Ml39T9pE5QCvOGvTrW+C4oRkOkh3LCi3NmyHZFZmC6
Ot9wYAbT0OybxCQOpoHSHCNxcUQrc65lT1YiY8vVtfKEUZzwlKEpgwpIhlcg04H+AF5drypyX+qR
ljox1TSk6jvB9yWddFaaBTM8xIy5m9qeIDPJz8ucV78um3tbzmfEnoZxY9Zp1gIKMDU3Y4z6mK2l
HOjZZiCqxEADry5nlnCyG1VNIsAR+aCz07GdvSTFD1jEEryEfX2aF3J3zCqHKcEsGrprp5tXHCyq
7utma4atOUVH/C8KVWP8ErVoVlV9lDjr5PK8KMHIhmqhL99Uk+7wRMmSwR3tsUE/N0ZK6qa4+GBj
takmo/nVS9NrkFsAPbDMQXZ1Mai6V9HH5q9NNdo1ypNt9It+TRse9UpSgLsCXVAOHe4XuOozZ8L/
jUrhvydBwFbHf/7XVuJQNC2IypL+f3/8n2BKv1dA/lP/9OF/BGWf9svVwGL0+rVD8Pa+ntz+n//d
X/yP17d/y81Sv/7Xfz69iLT0U3Db6deel+yXXzu8/Nd/bqsOA43hz84AryoG8Zw+/fHPfS9FbHWr
N0ArayqzubcX9r0U4Zd0clWY8DFapRj4TVSbpn0CdWxqHBjUKkBafj0B+CWsFBY4DkhmOuKfvzXl
U9+0ir+d8qGJpz7BigKkWQaG98MRoMspdW5ar/tESwR1OPCGaxx85qltj3uZxOCKjZo0jOG6NKEq
yw/VTP1baDNMFgZQ7NEErNGS5UVaGhcFztSdxBJpX5a59DV1WFzauW9JzqVVa7wiNkElRZrzPNoP
peF8nhnmB7E1P2MovzQmxQkbfbpNnRndg2ov/jAsZ2vfUFhbZujICbZru72JZemy6WMnUAb2wmtz
bPuTnvwCdzGio25Jl7PcogGWaAbitr4gojoPEO1o+2bopUCBAU8PFoxpXzNISp/yUgQAlAP4l603
N/mu0/UHVZO0oKAhU6zpPBqaQ24mAUSfmySdDB9Lmg+n/qDnY6iv0X2RlZ8nLTlYbBg7YYR6Y/kF
E374LbvVrj0tU4J6EidEboR6ql8OtXI76BONUW7vDUtyu9IIlRFJ0ZtS2068pi92RcpyI+tOEi07
VpV1EbfNbqgssp7aye8rrIq1sL7MfQrWQgMz0QRpVh3lmDBVOyZXTwnSqTpYbbV3xGs+Sv6wRvvE
6vxikQcXut7OlMI45izLCLNZNAPjJ00X7mgXpgqDTdR/qrPTDEGWz0KsHl9Ci41XKZznKak9pYv3
Fe0lpDOSJOYdMRPA5U3jVmiTh0XNxbR5ryy6S7zY0VjOStN4lkzjcxc54Yy4OJlT5CrlJXXJDgnz
57qmjRKkj0TRMY9lNyrkvTNEZEWQlkHJWLX5pYzvYvu9kyw+zerCXWqeTfuznJeBZF9Gw+TmWueO
WhQ2iXZlKvcr9ICpUYNO0tHpLY8RpydxXBG8Hkndk3gSRtJNC9SXdtBNomgXp3CIHcAbmHOLwjzY
9Mkx4SimtRwAmLL20V1Znjw9fZJbQUTbjCuhvao7aYFd0O9juL6DhmJVscOhm5AirPH5kiX7OlIq
F9zBvozSEBziCfyMxwU+izs5057xTsHufS52BuFJrpnGk0f4Z+pipv/CGTN5crIEg1AD0bEmHzqA
DhYx6AWjmn7VsW52p3GTCJ8UhnKbJnitzmKS/fYdSsQqaHEuukOR3kidcz0O2r6XAS4vVBtoy9Ny
V8tYoQXTFKmJHzpl9CGm3GUO5OPcmryezT7ReBepQqBRNO8HxhJkKO3wJr82w7obI/sACOgutssT
Jr9u0qSv2B+DuO6+AHhwk8EBnkzYUQOVi/Em04ma5CO99dsk3QIsgnb+blP5d2+RkZb+9GLyX4un
6an9XWX6y8+998js4BU2TzbSHOV7/fneIxuftq6Z9RLOy+9w8vcdvEyIo8kxr1IXkaL4cf2ELBb6
2vcEUVRH7xf05S8Xzs8Q5FxmP9amm8geAh2zV+J1uQ0/1qZFG0VsJEY2BSuKoLwx+8uuX8p7oAjR
ZYdRqMx04Grj3Vi0ICoSlhPAReh8wdyEoLDsg4yj6l7LeFNR1BkhXvI5wD/AtqBOz+YhOXdWJwnB
6IQQj3nyDSD/ypnaIasTDOhK24ZEvp46dYseOl32tfQ8REmQr9ZG2A5VxyMw7GRZe/RHgdAcJlpI
l+uRGBsCAe3nRMS7WNeAmC/nOJCZDSXXyHmkNbtWGvYjJCdVJOq2E0FkdQfQAENtNODllz1gH+60
yGCvHN9ICPiWNK+bVLTV9RF0jZcIJFRVh2YfuY9QjvIAo0gvg3LgCBJMNmUCUZQczY3tReqy19HQ
yJL6Usqjb/Xp5cQBYxcq+6XIG2pIDDaxSr3ldixvbMIA6sb06hxdYsXcbC3ceNM6xd9qvd+r5YW0
XjtdGS5zclp23yZbDgh3C8Ssh1jwfVzxrmM+1km2V5u9OcuMdOpdYc/emJEOUw0oAPZL9yglAXRQ
N26awO4NTx362zYfpFCdrPulsrodHizFr9W+CZfmRGmkUwc/go/Ka5/Pq+rrxUEquPPcpLc4aGP1
sTBpCZR2glhgm1/NKaULj2B7yng1+GKYd+C1cCuJkcsC5EerHqXUolZ/glToztGrOVZnVvkk2b5T
Mt2svhbFRT1rRzaVntI/DUpCJZ4wDPFm9X4wNDe1FF8WD9StHqCPxmb5NrXPGrhVvjnWo3UX9qoI
dKWDo9QMl0Y+3Ag+BFt7kSvN4EpKDuyBQ/gSpyv2eQg97ObaZjiYCfvWSN7l9rQbTALNy4HFa9G3
mi9tJoSyPcbtfB4PiDfz2nd0uIyjDdU9Aym1qm6XjaEjolfg75NvT+1JNFK+EUEjaVDRVq+kN8Ov
eHA6RG66bIXjED/0hQyyBnqLA/hqqHaMtXHYM1yZOz6AFEHFUB4roX5B8+2V2gO4xd2stV+ksXpE
CedJ5bjXmNFIQ8awOXuc8vqgOg2JNdrO1IzCbbvS5q6c1wtj6hoGIwabzdiZAnrn7hBbWXYCJ6Tc
xYNqBEmis3hkvh+1PhqU+hcP47/75YBDipP0zycXF2VVvjz9QS7l28/9ejnYpLaQuoJyc9tdcd+8
Xw7mJ/Dcm2+XKOmtReKX3i8HAqYtVPbcHZAzfpmtvs8tSJixuExYkaF0ZmNi/q3L4QcL9SYA44+A
35DZCr8TJPSPl4PQiwL6nZEcBApK5bEg8UmSzbY5z3X4B64jMBbsVH0ia6telrYKJUhdR5McyqGu
riprpG4c5l2VMdwg48isnP2Y1ochZ1QpxXtEiuixH6AZ7+xShGa7ukajhbodn+Vde5QVQmy3EK7e
OR1jAmeMVIX/UJxZTGi3d12fhhPinfx8NM5ApOyFNpzoHbFlA1mNiHgUBct2nt9xOG4g9j3BDedS
R+0sW40fKfVxKpqgc+xLQbyj61iMI5opaNIV3rzBKT2bu6qikRDoiuz4iCnoMKjdedPQeMwZfy58
foNB4Z7XbGNM41Aq+YVW6QetmHYFKqQpG72078JMVM8RktF2WHa0u7M769UV1t8Q8N7FqIgzexwr
Fx3D82zj0i5HHbOto3mxWL8W0vTQkAJnYCMrteoC3tkXxsA3rNuOI+rzSi8uknVtOO20l4r448I0
4LGgLV2T2SfE51AnxdHQZZqXOFCWZCcVOQOUhKzO1li6nR5V1xpK3UOumc9CKFjADHdZckp/UvBG
ptWrH8s541KEstKA/CwamUTP0g3gyDMJVepa9eGwnKz1Yxzzc/w+/kAuTp2ufHnK1ls0bo5ZxWXU
RYxV7zVy46tdal0k+OrdapJ9kG5O0I+6wN9Y1PCz4E07ZqRsdJ2Z65gPTu/U1AWml7L3N5+irBwe
2COzp1vtr0SLEdVRo0OBW3nG1H8vl1nllaWzr6zqQk9HzXOUofTbiTREK+buVfSRsX9qelayhOT1
hQIS17qKiylNYa0sbMskamWXnGrHX3FiB2I1lXAq9V2hW4/lgIIsl6tvUix55lhHXioafNpN6mZG
fz+0g37oVOWram9++1X7tmC+Yo01cpOIbvKrwnmSmMZ7FXWgK2aLD7qphsNErwVSx5BPF4QT18Vb
Kqusr4pbwLujzajNfcOvhNUW5Er834Fwhs097dwmgtDkMaqP7Vv+6zqtw3W6hcIuzDrJh33LioWP
I8nh9JYhW2xxsvHQXixbwCzXyHeMxT+Hv/zTw98fegKKuu7HkRUaNH7u/fDXPrE4ho9vvg2l3899
Js+yjIf1bV6M4cv49dxnxkWakWrzb0F/8DY2ez/3kTps6Qr/ssv8rYiS3w2r2Gc7NB7bJUKuGPq4
j8c+1dUQyW2z7NvSznVoThCEkjpiwrymqj6czXM8jyfRpm+k2J9cuWZs6y6aKh77bCF+JxnmlJjF
ibDToEBep1xNctZ5QK4ogrdgrJY2lWFAWulYd3v5BOKVUZ8VQxefKijaiDLkDF8vV3DB6V4oJYrX
kbO/mu54tAX9rL1nwvwgg3baQJjpNmDuT/RW611DjYFdqvZFlDMkr3mfTmxh7DU5EwyM660Nhp7X
+Lh4I/hrsMmYKC9srMbsqzNLnHWjXOzLVK4OUhbpYTymT8uSvBZZ0TAtyaLDkhfN2aTF5bNaG/U+
qtL+kCVoANjKMSayovJqUbXXCeRk2BjqhKAjeQuPtG+sxtbuJvqwQ5xG9yNO0NCEzuVlY6Xu55YJ
Eblh0i6yuu+JH//2r+KbdfnP67AAssP8u/fw7Yfe30P9E4SdLUZBczR20lso0K8vo8YrxQrI3IgL
H/KD5U9MmxHDb7D4bajMi/3+MsqfTIxwyO2+65j+1vJI21xLH7dHYMQpv8BCGTrREz+615SOnGqV
ZcY+HWTnDk5ZsdNSA9F8lj2wvIwPdh2Fc658ZiAM7nYcoVzRyvMaPAhUehNoB7fspn2iTmdtHH+O
06om7VsEI1mTniKj0MZAQnqp3D11U34nK9Qic8Wu2EFF3kV3i8Tcb5Lp7Uxxl6ooJZujmHCqdfCU
yiQYZc4I2TikscoyyNCZJzLN0i2M7/7cdOLSIlNTqtMHJXlYVK7jqCyUzzYbGx/kXCgU4yAW8ooI
MsqRuJRHOM/PpTIeu6k9l02KydY5Z9HvWtYxl8q9VH9eS/SDw+hr8Tnm0vus+sJ1iOiTn6nUQzI6
3hRJvqmdpKbNRij1JyUNtPqYWzNdz6y6WTG50DT8aLmKmUSkUhGOieM2UnwCnjIESnyGs/k0r097
41uBqLspEhxEAIHL4jzJzzI84e1wmdnNjul7aCpPRQfdzcr8Rth7QtzckhFmRw6zknXuoFy2TP0z
3TztxuJoOv2XeT6ARtmnSOmHcTeky2miGwF0lB4ftqUQpTFcR8oaMkreYVJ0a/zaGTWJShgRDZ5w
IQNTfH5pcGtlZomR4STWOmpnvoIldY3BOtr2npppZwyniOf+D3tn1lS3tW7RXySXei29bmn3wKYH
86LChqhvl/pff4ewibuT1PXDfbh1fKqS1IkNJiCt9TVzjgm1czvGC+RQ8+fUjwaI661D7rBfoKKZ
+GRwedcWTvAl9lTaq1R2zA+7bYiaSRRygwv+kAeXc2p5EacTtAK/EJcOSnc9sDdFXl505J7IntUi
ebT5XKztAl0VdSDepg2DnYuyE+sij33TQX6F18PIR9yOXutiGdKZ25i1P1jcFxr1eYfMKdqGot+b
sA8AjGNPKPalpe/asiILMnvU4iuJcMq07CVvcWcpzhrh3i5xxsu8i87IbgTm9lBqtV+zpa/ImBPa
yFNT6BXyf+o642T3R+TLVYi/JI3PM2S8ELJ8K5t25F37dSzPBPlZkdp5QjCoMsUKEMxBp8OAOcQP
+tEFYTCnDpOoEGlVT2B89gDx25dptp/5PjpB4A0JXHHTBlGkMftRvHT5LtnnNnm/AMbXtV55sbDP
cKL6cnJXXeR6+jIXM9R0q2noJNInxRLHoq/5hs77ulmGyYXnBvNlMwZngEq27mBuc+0+VZ51Ld6O
BOzGho0cIVM/jy65gO54STjOtLGn3D6AQv1Yj+YlwUX7sM4vxtBZafXku3Vw11WIpmV754iD1reP
ak8MwVPcPFVxxGTIXM9DQcm5i/Leg2Mnj009NGtl6MbX0Yz09RxbUOqEs3MIavHaRpZ7G5l51WcB
gBNGKbLfGzZg77C+GOzqUk6K7Smu3fyR2b6Zwt7gbP98113EDByaXxalC8zlW9UpPpg2S1fHZhO5
SLaoL99vO/cDE2eutHe57A8jh2UOvUgi7PdR9fttZ6CiEC63E28XYA8yp35nHq397GddzGg61CFw
dLgrrDdN13eEOBCYcFqUpCOuXsFHGkuvzN3LvlGu8rbx1Sr1DZtjuJ6mc00tHlmR+chRPQyWPqHk
R6MfJr9UXVr4pPODoPJ65zxP5cFu1T3CJmSrSBtEi2cR4c5Kd9vbXtVZvxHuXkzOS9S0e6XIlJWd
ppAk49tSNZhwLDdm6YyHMKialUkYt7EkTAe1+akjpruaUZLmzhFqEOKNmAw4RRnua+agxZLxrVvZ
cVCCjU34d1tIjLNLHriqhNuIgHCQIYcucc5ygsM1TtJ6SRK3lkzxLm8/NzjAhJETV0DqeM9abEX2
hbLS2po8AcLJlWHY9Eby6Cyh5TR8K2HKSxEP0G8INjcm9VASdD736i3RZ3gL9j3cmt4NPyPZx+5u
ZR8rhjf9YJHIuWSnE60BmJU4dX0Uu5F4dTCvQMGbU2mlD5L4dYUY9nSu/JpYdkeddU+awbNBYHvg
lvcdAe4mkdnwojaoWyoYn0PgzcV4VAh9z+zpL3infkoY/EwofDGEV2ET74Fc3swxlTDh8axe/ZQw
+aDXfUG4fEjIfIafdGXIbjVW3UVEDD0r1lUwjduCeHp9DtcdJCqcxeTWE2A/29GZSqC91Y/Po2tt
8w5ia+JcOwTfq408w/rmF63Y5LW4V7r5XETpi1Xiyy2tzSQx4UvdJyjuimwpnpZ5PjBW5lDTkS43
kIWtVVOGB1OdjoFjbgCdEz2TtrRE5nmdpwVXae4qCM4cN9xlRqSetMoOBk8oUHyeRE4E69pq2/Au
ScZ2BQ+12fZo8cQj8bA9w/mh4k+HQHStSF1c1XyXq9zvmzAIjhLncbQxUqMZLkbaejwWFuc5CHbL
m6OwPIZWp5Jpb5CCM1XqLknZAJZpKDCsZcHBNin0wjLk+c3bjkW8TT4ycJy10xbjip5PHFVlynZt
ZFx0as0uEvgAP9631Pb+LcHdXsLcWR6DvFoC3kEmlbydaIbIfs9KMHPlEgdPZlCAnpKI+D8auDcN
3NLj//OpvmmeixQ17i9NzNvY4GsTg8gF8goiF0xk7B/fOpWvx7pgXGwjcrGYJbjLKpFO5X2SrH4A
eUYbw5iZAE2IO383MRAMFmIHq0tYtCo3iPE7x7r1i3eCTSYbRpaafG20VD+Z3AY7TJl19+M+dB/M
OCtuJfh1HrVaZ3+C7GVHS97c8phG1101Oi9KaN+2VQzDGzuUZAWm5xPpII0Cz9Wso+y5C8LsKdSt
+dns3e7OjVN5RymE30sMMkLx4DzAI2eNFTTbaq52dVpA+3S0BzVBCdpG2UPsmGeMNw+VPn7u2iQ4
kpsW0xdF933uejM5UthorTOygXHT2zkic9W8actplw2DuhUSdHyg79NYwDCwDfUvp8qRUdhkJbTD
inQhlGTI9TGF/HkL3lRgizr7X94ChGi/ytERfX4TgQpGZ3Di1DdiJm/Cd2Hf/BI6T8BQzLWW1LJl
n/71HTBo/wWUKd6BL4O4r3UNAjCLORsDMFSbXxb3v1PX/JQii9QdzZdpYS5m2MCb6yw20O/qmjzg
udVSy2Ul276MRn2cwuBkSu0J7ePegVCDAinGUz4gY589k0BZ+gM4HjhgCklEGEOtAkSdNFWyOjIc
eYTLN0RzOP20NspKrbZGI9kspDCrPxlhCbtWjiFdlOb4eljHVworwt2cl4+o3qZNZ6dXkWbesSW0
Mf3UOvFIIai5otnWtqWuFJJZR2yXaBwnywsbdx/q2XUsCP4dEMy4aEj9Ajzgml6A96Pp105evAzE
LJDciLhTRvmi0ulwFGV71c0f07ExDq3Z8xYq7HQis5w3czq1wJ4clsO9c1VDktjXNrfPPAwUc/hF
5EBYRTcgrxR6gI7HjV6cpK+2jMuISyctaZG/jrtcQKBPzFH3rETN/IlThWl59JQIDfe4hb81n3Zl
EjwNEr6In0ondIkPcUDFjiSra1LcwzQ/H+O6RtyQ5yAbY3T3pXMFfzVd1459SNhFpRZzBbUq2cOM
WNqJVFtVIrjI0Z7FLBTUXik9ks2uKR1xFUzm3h2MB9Ghgc/FYJBs3lbbFACANwf2k63NAfsJdS0L
9Zz92wWs3oupLe6k3t0ZdroZ5XiHL3Ub9/W9MWlIywjRDIAdKDFmowChgMbKvJuGDaDMe1e1PKo1
AjqO8NzQUQSMCsL4znCmI/5aSl7Yl71HSyhuOrs8TV1UrKfKORLsrHiIlz5rPVZ+2TT3WdOy7Enr
+SwxMLtG8KE9tmcNQUzqcybsaDu21rNIQyAIppHezhNKBCvqqYZy5cYZfB5+pV/1tjpy/LbjIzgz
YjMYY236WSuP9tg9pUR2YCmebuq8pOzh8vBsoSSeVauqryrzpp6c13FmqR0ZVe8rlQHHIMpp3xNk
bnEQ6WDrBavtRIz7eZoK2tZxvpgjXfqtUmWAb4LHeLQ65iUcxMR7PXQw5dapXm2HvlcvbZGH6yBk
RKI12GVpbTzh9O0xVaglJ7GoLvPuTEFVjYEijzzFIpFbq7plTTgrfu8YO4D0yb4FrLw3o/i+aIZS
24lWaJ6BKYohmMsfoEGer1FtrIZxgiJtKF+Aa//1U12xnI//fBtsm9fX4hfhFec3H/VeERkfbJNy
A44sxhIDce/fjS63AWwBIhEsICcMfL8zJ1H2cFFAH9T0v4ul9wvB/WBxI5DlzK4Uaxmd6e9cCNxT
P051sa2ysqG6otl1Ge/+eB+QMhWQ7ZKp+9ZOA9Z2A/kkGC5lpG7Sou/ZFctqN6I8vBBSAkEp3Nha
WSTkqpuqll4/9/KM4ds8gcVGMhySyrbIUAEPkj5lLMB49TWsteYFSGmZrA2pyWjHhNjPtWp8yFEQ
b3NU/pweoxZxyaTFhPylZ3/8p155q9rNf31CkU4heg9/LdqXD3vfPDiQJKjXcacxXPlSmb/PYhjT
8DQ7kJVxr71V+u81u/5h0RKiG+HhhpC5AMHeRzH6wrPQiKpHtr4A+n7L8Cx+2TsszmkEIHQV7ALf
vobvKxZdHd0+TvJ6b8TaQLRcATRn3dhzo60DDPzTzdBN08qoXRWhsubJgCFojK0qcIazfGxuyFfZ
l6N1bqTpPqu1cGPU4S5Uwj34CvC2gesTQn5NTINYi8YMj7ZZ3SNptSBXBKB9pmPaIwhJUESsdAX7
CJrvGVdIf9kabeHZhW16upSpX9fVBZjLc2i744oRCJK+QAO9AIWHKnyf6/mJvJg7pwhfMrMCiWnY
+kpjfrAaFe0iUl2owp2caYvrx15lEIKZ7doJw09mE1irroOEq8ToK3Atb9KuOnEMHcomeI6NZJ8m
yYu0CX5rBtSKoTlFR7PXag2Sswj+kij3Jy4SFaxRq5+k3j+xx5yksmpR8ZCVgouXWKZkZnTqDOaZ
6MpqXBOmpnSbDjVZ4xWOnjEBzxL/v/Gt/OHtWrye/3ZnHImBfJb/4UO+vo2u+QH7vsOQE/LVwqrk
Rf36Nmoqq3eLhQqgA4DkpsWr8v460sm+XxCgLmmVieqEGQta6/csIwAOfrwhVGaqhCIA2mIKCh3L
/qlnroNWsHgabTIoKqoKnS5l8G1tmIbaw4JVtfXK0ec3JT4JTMFFyQkO2trCLs5MtAVVf5OVtUqm
h5SkSY1rZR4bM9iBtNdsrzN6S7LJy+bqIiXKTTibvOlzc7hoiTFlFcKmbjA95FRLakYrs9w+681a
fk7D4ao1YyfwNF0ByBrZDhEOrjttJL6sSp+nG0UQWnpGZlYM6sPVChWugasn8JS0RqpnxahlFttD
ddHxEo0mdwSvdPVlogTpTVOT7SWz2Yi8RhKC6TUNetajXTQwdsvJfVSYM5T8EZM9r0eGX/G2cgCc
LItDwmzLWJxAWNsfa4dKFKzV8BT3ZnI5W62zKTt6mbhhxrtKep35W2lEioCfp1CYzzQqpJBGT7a0
6kccq3rJ0iJ2P5cu2LxxuhBqwzqPUPtpz9/YD3a2cUKThr6JM37dJobrUWzm/B7DraHiFxFeAsKc
fZRTPQy9ynHzVdkhic3MgLXmoJE3XChzftlpnbwfSWfe6800oEJypitX6tNBAY/QrKZYJ2sxCJR4
F2VJ/MLzsHAE+57cT0JbTlFeiO1o2c1OcpufDUFb3EazQ5gUJ8plOZuO148h4AiTwTcbs15/UMiD
Mld2rRun0sQX7C6zvJxWbE+y8XzMWotGCctEt9YoX9dKhPyCGfaIqMOAdWYmIxaSoJ6flAmNNukT
ypZUy5lSWJ8/q7nu7COpsadVJ+g0Sg0fUgm7fGvOynQau9nuNW0z9mar25y+X//Zpmy5o3PF0quq
IyYud+IahYlrosJNKhkOBQtIOdD6Om1Qk9+tN8q1UDQxMPkdMonZUY0CTf38f3JW/u+8ef/vKKpi
KZz/uRLfPefxf5rMUFTzce+1uPlhMTI4nKF/zxnfp5NMZnQGMoQvvC2WvtM7LRBVUpyYFmKbhVOv
ciC/H7Uudj/AA0vaDL/lN915Ll/Zj7U4eABIrSYNAcwhUIQ/1uII33S7SA11b5UBDpyq7k9qW13q
UFnIPMHhQ7w6kccoeRpH2xd1lq67kF2SEzcXaVWdt7kMN2o03ObLeF3GFWFhfXMsGDH6pPreD0a5
palINqWVnxStfjF7+EfBYL8qgliJuMgJIwM2/wCZI8X0BwC0wIQOJmlxXGAVjhUrGIhnntH+jUl7
hsjR2RDxOr5ohOBh22CbsM+jeTymRUFArhaogK+I23piXuY+uvU8Y7hrHoOkR/G6HO8pSZ0K21pI
8UlxnnFufhKaUuNqmLJPUk+CXQBPw8vwVB0tSBF+ZIwzgso25ewsEWsU5NfyOUmynXN1uHMbnSWH
m2pb284Bhk4ubXupSFQrBMH6hsjTC0wa9l4S5rirZRuebL1o1sRtxhuYJyVqjJmIS4VphOoiixRq
VZx0JA1erUMpIJ9yOjjWED4GQAXYgugYPqwyunIirPmKkZ39n7z0//9e54Uv9y+v82uTxjCRfyiT
3tqd5ePe+xbzA4oomKLfwfHe+5bF7sT7yHv5MxMZuAdtCYwmWCE4jozlLfzWuMDfo95xlkybRWj1
O6018vif32f6FRp/NgpLsBn/+PF95iLorZEKfEdkiH2YSQo3QdaM5dqdMiTmKAjvjazI8r3SGMVd
XGWQ1Ro1OVl170kE5cwzC5XFMTSKDEj+mmwtzgVNu+ktK4flnR8VBQmNpRVr3ZTGSjUquYrH6oy4
zJAPLtdEiF9lqr4naAgt9JSv+QsJFFWAMQSnzE421cCj3c7DHnETkDcHol/a3mK/vevnaE9k1aeR
2MJCKieWloTXp/qpGfGi2+qSXhyNEJSj1yBVWj8zlBd3mM5w+aS+FTs3dqE9qZW7BRTyaNfds5ON
K2JCqfZkrJ9qh93rKrALyfjSIbXzWZFpOB7sOYXJaVs4cTD86GJFAorWfkoq1UhvgG90EJRbDXG3
jAzC1Fz1RkwE4TzmsXCSE8v0Ntn1/JrXCIhtq7bSq4SUUsNgc9llrr1VOR0JbKbU1HxsXFRMkAkK
BWa12a4hRAPtU3oELhUkDfaIm7pVrwer+2t2gmEL0pUdcJYYME6IT44m8eC6xF87OuPaNMkgngTh
R622sTCH6X0cTBikEsrlYFu42alTFIgrtkcSM3+FByq0W6QOfrmohIbG8sopMf0s72+I/YaZRKeZ
RZV2pTVR7g3tTOBHFN1hCr2ZMuNQtvkxUsijWhWGMccnC70SzD5FnNM8fMoigiPDfEO04pnd5zPn
WYiZ1FHpPaNECEzIURYcERfCdgAbwg7V6aTXZIgAaITxLJAK2hGerpGKTbKlmXpJU5rOtiUQutz9
Oec4XIAUs8v853PuyGzmx17w7w/6eshRVoAARXBJ/uKb5oXP994O6iqVCTqZr1ObbxJtA9cO+yJ0
2PBG7S9kg/eSxfqAaRNFlw6KiF2t81uq0Ld10Xc8ARVkMgNu5ODox9kumnSk3w9ntMBop5QM2IuI
IJ3mTieoMi+8AvG1H0VK55DRjF3iXIrUeKxKe6y36pBdqfgbQXRnud/Ei529ddSAB03Yst7n5N/4
k9MbzDwsIt7WUgYH7BmIbcqsnNOrMk8f8NZf21r0NA64OBwDYLBd1L5ZWDETDNYAGKM/lU4ExlEt
EHBoSCgmVfHGttu6aGGIAkmxlRvyhrj4x8otKnjnbGQnP8PFOd6nmC29PF58zlaTVlQdfFbbo29r
Ufopk72bsDvGZhxsdBIB12pbxLDo++oT3eVT2GPTbu2czrQqNpLUYNQJyQ4dzi6O65b9RfFJhY+P
NScw/NnM7why/KyfV8V0XpqpPxoO355sTslbDm4BKF3lpcqd0W+TGTmIfTf08sEW4ZqGpHa/JDX+
t0/yeRP+9UU8ex3iX17ELx/0/iLqGigO0sigdOCMWDCO315EKB2LAY5KZNE8fJfAYNqLfoGp5a9o
D36J8FEwPIvKbFkA/BbFXP9ps8twdDHw6QtMnc0ye4Gfqo08jUPDihN5ZUWlYLJJYnN4E5iiR+hJ
3E5LBEETJ8BGK/lcDwUxUqqBU3dSg01XJHl7aGqx0gWojj2GW5SvQ1uKzVj02FeNXhubvZIX0+yV
hlv4ZqNd6XoCegFV+mUpYhMpXHZpWHLTVPP1mGRLSCkYh8qgaV5ejzbUXoYyRdKqwlOYEDkTXKqS
/hMetHEJkMrTg9P3D+EcoQEL1F0pS2M7Jli3YuUaJf35iEmsD414rQo80aAYx41ZdFAnBLIfdFv8
J1qwz0S2DSrq/yU1lfmBp5dl45Gu8Cqk4myJU30m7H4fp03ihaR8rgODDsfqbqY6yLyhA4Veh/rJ
DuV5Tqa7l4+46xJFLT3ZnzOMAv+NhHqY7H0n5V6PZsi7akwH42bXasP9q5vW0oK0IzjbkIgKVw6s
XG25Iy7hVDZLqnNtv3ZpUpPni7kuRdPogUxeldZwFaupXI2xoZ/RqS5zMSxyojN3dGzFOlcDvzZl
tkZ5eEX59IRlID2SkA12MlG2GeOzdW/1Navx+SLo8XlJbTD3FhLjQspbQBU7iJ9yJcb2QS3h0RNa
1Xhq0JFXGYWpD5gFaG50p4lgXuuT2IihU5uVG0ONWrmZkCoiLYDk+3nsnPNUlDHi/+ATYTUefr5k
U3f5Tp3ySxq6EX6d4ABD+YjcVjMXj6TqW1WGDH5QD06shGf2PK1tnszV3OfRLkkGOPC6+6rzlPlW
74SeKKtD3eJIG1mT8pUFLyLHqwc3Bk+5tYCpw2MQlQ8oxw4hssJkSX4A3B5K99Z0JMTgju9mGNQX
jo5yQML4RZPJz6QKphMv7RPmY/Po2rENU368pL3Mt04ITaMHo7UNVOMo2hEATPDoFOneTooS56By
FLX8JDUbEb+p0peXMyn1FR161gDBTzdlFtbBmWJTz5+X4qVoCqXzjCqhua6SFo/cKFqVn5bbNGCY
CR5gJd/GOdzKrKrbq1BxJ/51Neuq340ImxGC62KjDlb5OE6DfexnxTMbPaKKzAkVJEjNTNYTuNWL
WTif7JTtMPl9rXlRxWQQeqwyyi/BjP/tdwSC339VwJ2a7JXh/a896fJh7z0puzQaSPZh6EV+yrpY
JM8CKx3Y3p8x7yyJsblRP1FJWV9kc+89qfFhEeqwhFuuEdZzv2el5tL7ccRkMUFHdr2kXyNtXkxG
39drQdoOQ5QgmowMq8FzykbwVtdkjyWHLD7NK4PRLXcanEIC+YTiqPSGi1KZsUecHqrGMue/tKpK
P1VBD7tAaJE1+0Xt9NQ1Zo/7E1AAMcvmIi113lSm0sLqSh+4qE/TRYhaNHq4m9QQVdyfHoJ2gEqe
lcw/9xDnzy+x/FWT9uXDvj6WwmbyuYwpsf0vKQLLE/s++VwqFAoaiIA8aEDBmGJ806Rxy7gA8oky
+GLjfx+VIFdDh49eTfA7QGVDIfgNFQKYgZ+fy2VGYpNIwTiH18deRqPfydJKY9IUt4nrfZ0NxVHX
gKToTjavoy4oLlTUBrBfiF2dF9tQafXHGGiG6CAUuwk1gXVlwNhriGGVaSS9uLP3BgqxaHK2rtvf
QRZMGGVAshqybtObPUbnTh5HXJS3QRrvzBguRVG+ZFTm8EHEhd2KeV3lLZerQ/duogcFEzVeU0yt
q7rzqpKogDFWmtVQuS8jm6M5LXF/zWQLcKMEjlEdIwIy615ej3FzFIUD+aqwJfc85vFsGCNPNM25
IdXPpKrdGmP9kdlBJVaMffRmS/zJcC7M8HGOoo81XFdv6MmBQiWowk7S3VVihKdSB7vID31NeBKu
IKXZqeO5HMKFJcUEM4crM/G/FT/8Q6CHW8qxeuPyn7KJZ0YngKoxILnOBItMX5uKvJ7TAQxpsTCm
elADYJ2hIk/AbTBpgw0ZgjNGDZ2XKgFMfKvJfZ6orcnEtszsej1L5NZ1Mh90XcmYJRNqgtawWhtJ
cKGk7bXWo1MTRX83tdqzkzR7kFEvWo2JoG7l0VTThy5qDxh5Iw/22Cady9Cbl7ZQY2TOFyOorsiC
mGIFsnQFCJtVT1By7zYgpyhxDlR252PCVGRAwdLi5lmRDH1ShQKafzbjld5ErnJWp7VxlmGoJ+o2
zrjsV7o+htV9MJe1/rTElY+rXE9iL2/LEX17KlCruTKjngQRMETQSwyXxrUfRQNqnDlPvEx9Gpvv
u67wbGjArPfNJJcU1jjfjrTIl7oWhP5UWWyjNDX3oLH1N9JueRziBMFkadxHDbLdVTaZJflAs8WD
YKGeAck+MscPc+/PSclJudyu/3ZSQqOs0vg/3eDLx73f4ByVBj0bSXu0LhyH345Kx14GzmxImA1/
wTv+fVQSScVhSKXOZslaxL/orN5vcB3hO7/GUBk+9e8elfYvgi1GLosgxuTk5W8/G5MaeNUMLvJw
X5lJAoSqaBsi8uoKZlCI/hQMBVz6ZZT62YmDQ1brr2Iyj/AgWE5W+qUoh63atZs0r5/FZOz1YDjr
q3Qf2fouDbNb1Wy7jVXYLWS+8eOctmIV5uhY4cZmvtPUHt+5eQtGHypFYa8a5K1RIR972/UmZ25R
7mKhHAv3yaq70CsjcUiY0TwhphfD2RibZAAmlozOaiJ08QCnDdIdKiloX+Cc7bK1Lty6CS7i1Jkf
XR1FWGyH0xYcXpKvGuY4qBdFBFMlLTsg747EEQXIsC02QxoxrFRrJTp12nTRpQyavBTGHbbl+WqY
UqBfhNEFZBAKVtG+Lad8O9ilEf95ubhXFikJj+I/lyEXz1I+d78Wx8tHvb9aoCYYoCx2DoaT6ES+
jVAcEKgUzcveE4UJwvhvVYiJxZ26BPmk5Whs/pcn/v3VIjkJRgTqSnQbX3Tzv1GFvO1XvxtmonTD
nMI2lxoZrhEJwj8WIalGMhtbmnbX2KhntYKRoxYboD2TtNNaEodacgxGx/FttI44vWqIvq02HS0n
1/aRqo6J5+BvwSYSsOlwqktHlC5i424CDmGE616fD6FwzINN81qV+VVqx5lXJ3Z4hFjJJgd9tm/l
yBfwNfnKOKo+3KMXZzKeM70TPixlRXLBIPwBCtQXxVU2DmX3SSna9gnUQ/BXPxnV2q6bGPHwgDu+
xXfic+ek6xHINEFyrbx0o464oT4o7mypR5uqCoeN1ZrJQbrBXzon6EpmxEU4CWRRkHHtdav1R7Wq
6xvpwMJDMNauRYVRX2uybZq2iD/QWnRFwbomYuM6aAINBomVUbsNUzB9pS55sxGzIZsBXEZ7NNy7
sxpvB7OHFODke0OpPIkSaCWRqa6SqUTs4vSrP5fe23u54LL++b08tfL1PwQ0Ym799l6ySP0SArvI
Hr6tULmukCxBo3gbd/LavYvN9AU6wZoU5adl0zr8oP1ERYpjyxImjAgCFX+nLzD0X/pV+mKiz+gI
+GQLB+bHV1K3iiBqRCJ2ZBavVDezVwSHhl7SkY2E9DMdp22uk9EiSbqqkjAFm8hgTh13fTRS+qZ1
vQtro/daxbpHKted6awoNzPqLDfuSq8jGWqdYX9dq8P8KbSC3q+qAqAB2R8rJZQ79oOhl1qkPs7y
RhNt6VnucC8jN8GV28JGTfDoxk76EBk5JgEiCnfZ2F2wkrRPnHcWiYNK06xiEbT3bU4tXcEATKIR
GlJpOOTLshM2X/XaGU+NLu/NCZEmCYvXsTUfCtFfEP8GmCGc17Hh7tUaw8Ds7lifRvyhlXHXCXPa
urMFXlW3prtg7nFQ1mbFYjTQ7VXSaXHq96Z4mcq+WiHgZj85h1dVpG4LZlFbu6vLldVLBrU1M9oa
YYSizFdzwb9pDTd5qUSVNgy52l4DO2FnT1Gjhqcw4zo9Fuyt/CKMumuXQBpwr+rUZRfm20bbXpbb
YwjCzKnZQytJM5osPmL70L1tD9O3TeLwtlW002y+nbOptTFEoyX35bKCnBNXP1pKCBBEDqBx6WCS
vFsbwwRFOaAetzF6sBA1I/NIVO0JB8oOD55fC7nPxvAwYKVQ0mCVVtkG8cx5YVn7CBZXYkV+PmQ3
UzlvXXM6jxR5VSe1Z9vTZZW6M4LAmAYhObhheAD+cCYM62PQN4w+rUvAPCBJ5GFglo0grkn7V2Y9
2JAIsaN8L6EE1yNhjtlF2Dqvg4SR0NoHRs60oWcBsUyrDnx16JowMJRDbTuPZl/4nM/PGkC6FU9j
uSo6d10NuImNajcQDGxJ/dYJ6E7zWFs5XXoQMIwdoCMOGZBdDsk3sl6SoADHAArMZX++ohdD/0PS
ZEviZGggb1kiKGfLfAEssiFW9TJbMirhAa5kOtYHnGnQnpmxji6L6JhsS8n8xyTr0gZyreBeMsjA
TKLkTM76o2TEGoXVnUNWZhsFe9WaGVl3dwN7e41MTZ28t0EtzoixvF0MSqiaFzvy8DyOtj+/xXI6
1on/4xL2B6HEWcI7RaetMFEukZ65Ol/w/B8Nsj5NMj9TocS+iMVGJw0UfiiMSJONoHaB1dsrSus4
kx6qWvW5RZpoUZYvE8EjItX3E2mjYnaeA6vhvz7o9jopWMQVkLxHQmnFw5ou8T3Vp6pRz81C3+vk
mSZYh3FPPZtVcmmTdxqU+sZGKBG4zbNLHmqkJq9lPnxkzPZUkpfqRPxAdaVcBZFzKJZIVVxxVy4Z
q6x+8I7Hp4rUkJoMVqPKYQwiBzdarPk5Oa1sGHfd2JxlC8UfZepWXyJddbJdtSXkVVviXln/E2g6
R48dSbAFy5ow6a6CkMWiZd2nEzJzm+xYuANbp5jG9RA8a3WypdCKNkrdmr61BM8Sz3wdkkQbLpG0
9hJO25b960BeMi5vvFyCBNs4nIGJEjVtVMFLsYTcjkq3npVyHROAa7bJutHmTylskD/38pd7mSHW
v9zLxWv88vxrvbyox9/rZZJBliEtu3XNfMsT+f52XipoikXkh+g6FpXj++3MMBktkgEQiskIjed3
9TKmDQRT/H5u2i9+jt+ol/U3c9APBfNSNlDGo3LA7c0n/PF2nmIBcTidgp3ZkAr0yNgPS2ZPzVcQ
WPuYL5oSmljkJRidg2P8JjrBLsmsGEaGvoZ6Oy8hRGcOaXM5chVIQJ9q5Cvt2DOGmaENxidKDAQu
FVKXGcmL3pi8cdGdOXWuBzg98/JFH5MhlAknFDM50plq0dBMi5qmWk4zZD7J4NxqyG0c7HsILxEz
xtclcpwYIZC+yHOU0e+M6F5fdDtCJh/ZbXFIiDr3xrHCVxIED2k/dZ65KH/EogFitjOiDuj+4sS6
VpAJxcsaaaxMgpAWDZFtdesSUZFlNbucLKe1eBMcaW/io/ZNiIS0Ijg2qdHCh1CjG2hVmrZrMhN2
sh+bYUC2LzOn4JJ4oSDeDwakjr1QesEVrxgDNCZhXhlVVU9EHEQKeZNWoRorHXwIcGlx7C0VMVBB
4GiXOXzVRUrhk3DuE5ABvLfWI1yG2sEk36FhTUqpl3kimw9Zk5GTqqQn5oL+gA8S/OVaWm6xQjml
elEBOXkw7vqU8ISIEmICDmwPZLZzf6kaA7cp93OEoKtKFSQX6HcM/TyCUl/rur2cp3DHNPYuCGiF
Ou0hrHK+ZIYAXYgsis0Ac7rO3Faps68JVQ4jZpdVd08ww12bdATedafEWKBbk3mHre3MCZZwTYdV
RMbXA2TiQicsYBTWtu/Ojf5/2DuT5biNbV2/yo07hwN9cyPOpPqGPUVK5ARBUSQSbSb65unvB8q0
KMqWQzvOHuxz7AFtB1VCFQqZuda//obJ69Bceeq+Sx+zaNxjxqWiZRSXF53OoTa126lE6NNbKJuJ
sp/0pdWQhjCqDy2ZDJ15QH6sNBJRwxNltJ/Q4ECgwjDcMj7YY3ScDGJfQpugUrGSpXfaKA2aV7vy
9eEMzdui0JlPTiQefoGMtsyZIQeD2rR8G3J2E8WlQw/u4I+tECwv83qNQNpZGA55BtGX0hIrw7ky
/Cchy4U03RMzLS80/XxI6psW8+7em503orU0ToUZLUNN24hpW1rnmr/rxXmX4OSaIjYwJjBY9NFL
jXQOCsBOPUQoD8IiPXDGgaU+mE68g7a+ilR5YXof3GjiaYkPutKPUQ4Uq3l7g4cKOxdq4hCfa9Kr
/UuR3LQyZY2t4AIvpgwGDTi1f0pMhtF8yRi/Ftw18tRHpOJm1q4QN61QmG8sN1j4QcWng25m5r72
MR9C7mqZxYO/DPCzDjdWNDRq4Unaz39Om6+nzU+hz/Oieahi+SfHzXfIJ3Rai8klarsZZ+HgeG0G
Pc4UukF4g9BVLKZEb48bSLSkU2Ns8CIepIV8hWcQAnpgqERkuZxHs6XhLxw34PocJ98dNw5UMx9s
iKQstEgzEf/tkAj9e+cSkpbtI1KOyDTGCw87s/Rplv05SXH0e2YDXhPpH4LaF3dxF2YHT2rieQRm
X/T64PW3HZJoMkdcdYxWIoiHfZUGG3cYPlQFyEcnGOmjlF5bVRhvm2DCQICaKrewaadnkjK/bkb7
tpjasz5MSdJwAvQzOt7GwC8feg0SaFm5914nsBtqMOTLcz+DuzUP78ew6y4y4WCWNrheccGGZQyY
D6WXady308aHLXxOuYVJqI2nYrUJ0XS7m16Pz2KqMs3vLhwRH2PPvBtxsNPL8Jga5QRtRD8Js/gS
APq0qMINwqTjmI7X+HzDO+jbD2SR0j6JK13A2801/UNpGZ+SCI93276wbHFNkPMJ0nZzKTK6g9r7
bKnyrjE499r0wc2TteloH2JZnjkZ/V2ZrnINZRe+PbAwzrsMvDkZsvAubgciuaOxHp+MxhuOQur+
41ifOiWcF1tpSJw0y1bmTkJcPBVKS288zUo/162jxP6fZc4yn4XfPy0qMemJnt6v8q+v+r2oNAzv
N9uA3I4BDqa6c7jl6yonpxojHmrH3wlpMzvgdRRs/cYSJ9+YdQcQzHP9xyrHoYT1jYgcpSHMAhht
v7TKXwYYb1Y5tSn/IMQB8TVtC3n8u1XuGmPcQwg9ZdQxZ0ZkkAqMNgiP2lACOnj1bGQN1HBvJzQt
4XjnR8a0VF7yiJTQWGm903s7Fx5qty5x290DXar1kMTARqYrSKWvOncEhdTpSgEOFB4jMSBLD1Pt
gUlv/NS0elhtzAKgwKk7WsxBYtCL0bpo42Q2xqzJAskqu9uUVRK4h5G8K6AmBqnQ0ZnIxAoxGYSi
2amieiaaCR+1FCdUJw67hTCDL6FvjAt3zKgiLeRj+IrheDFG40JU0SFrjXM14Zri6KfT1F8a1nSC
kegutLQTWxIYH4n9EIfTEp1dRv4FAbyy7lp8zG1xomz47Uq7SBjZXqnQPwJgJEuXlJ5lFNQG+R1w
4UytT9ejmySMTrVk5ZXt+dDU51o6YCwZsQGOtrGeMDlei8jjrM5crCywchyrZ4rV6zjTr3XXyJ1l
lzXFhVam06lFrh0kqE2kXPFJxjhQ4nUZ1mF+2tkZOaRSPHt1lMB596K1iVlyS5UUjFaOWazTb5RP
S+CVpHxUFU0uWrudAuobQBKIUfGw6DAKKpqoD3cxNsVsuyRtDJq8cnsHxKNf1vrIuDeADKhMYxnH
2qkxWZvOJVJvbJV9UwfGyhPkplZjBpcqo8zMFMV9OxHBpDx154RwIBdwEBiTFWZUL+sRgu6bpXjx
9RH+P0WbX5B91tT/9X/n8cG3Bxs8dGZKz8OFAI0wUTfvsMwEZZaeBnVyZuqCKijrzQcxcp+YTVHR
/rP/fS1zfsqFOa/7Pwe7edW3pprvwOAfG3b+nNH3x/43z3cpcKguzK+GB9/2P3uO6PPopm0MzN41
1TC0GBZDYIFbQ43EhvorVc68k755TBjpuiatIMkac+InxPp3j0lYESmhlC327MT0c0Mwzr0dKvwR
l1xavrKBKLqt/YnVGsdC7DvetSAczJbd0ekQ1cQps9CN1gRmfM2vHLURkU9wdt4kkw2MJ7z6ZqwD
SpGl1pQnluwN1H/BEBV43rRO8ZAk7mmmG115Hvky1Q99HpGhA/F5LdAb6AyMs4WFOztAK+zMvnXJ
bpszBArCBMI5VWCa8wWGOWkgJHJA0/U1e999WtuPLcjEPnWajzkjacwRykdvDi2YSCRKSDHI5zgD
IcO7KDS32Rx0MM6RB9EcfhDC2oBljPlwhEsXXk3yPCMrgSaB9NJxIwJCjBS4pWgnpmoR/U84Ry04
c+iCbZXnkhQGY45jyAxnlxTRWTkHNdSk7i1HshtGKaC/zHEOWKY8qDngwZqjHug/x22b0rANPcEf
7hwJEc/hEPUcExHPgREFyRHN6JKUN4dJjEO1Crt22ZIywXgAxBgb6on8CRI9hk3bg96STKFpQ7q0
vE+md9TJrSArDtmEOC3Is4g976T1gM57GS8mvzhx3J0yxbOwr4duN4X3w3T01MINIQqZswHzMnBO
owcTa4fiWdecRYH8Qq+CzyLl/dcDJsIW4RrlnLJBPQsneU7egIONfZzGNjxD+wmTyXkQN2CZzCkV
hjhZjSXxHEzcnTY8a4wY0DCBk2yYk0AnZR8tg2+wF/mprP1iAVyfQLP2HkbduxqcfINOYz924tlo
RUpauqdTtwCX/cNC/XmJd9E2xUP+vsSDu/rdnJ2dg20MlfNMGZ1t5l4bOeo4aK5onBmmv9D9/ijx
bOM37IQM0hvwbqGlm3u810YO6QPo3jxYNkClZoPGX9jiXCrM73e4l5k9s8VZnITt+7wDviX7dWPo
SNsddlbihflK+SOpJ7lA3wyME8UH0sY/it7eNOUQBoSWePm0+fqTZE/8oyu3Bx5K62HpmPmwZ3dq
COWhKMChoIG4ZrbBqRUJer4m/QhBvPqYmGO1bp2ODcc9ragnZFxSfYWRfdeMLez2guga7FUDuRrb
3rnOjSAsmTLG2t2UU7pZWpl8YWZy0VRY+oZppXZVn+YLrXQSG1eCQR4xeCLqrMeprG3SLZUmoH2/
CgbzzrWzm86kUGnYJs3kuq3tvd67G9uVJFQwpSz0h8RrtWXlmjdweA512hA36tChEfJ9LQelXY4e
/uqhlj3Ssx7/N66jtwsCrMGi+Ppr7P3sqXv4Hnv//SV/9EiIhME/WAQ+ADwssD8WEJXbtxWDHQvt
Cs8xmg76qpnP8vuKsYDuAeBZMrPEBw3yL9G2DfMd9EE97c2XwaHLYuJLAfP9khGNDd+jUtapF9be
7djbzp7zGAKqM5HiNhIQyFhMyQNxXKWBhr3s1voU1eveRQ7TmnV54oR6a35yxJSeSS+rxLEcOgvr
IlUOzqqt7PHWghn7qUlxVGyiEVt+MA3kvZ2POEc1SbMaXFEQEdCPxlVr1fKu6MLufKqCkPmRVmDP
n04Vp1YZVv0mzu1051VJvmwZkrYLT43N1gX9lAs6Ek6+KJJ2stJGa7iwx5GEEmbifbRDBjm1qyFN
9M+YoNRk4I1p+qWEawNY73T5ou/z4ZzTieatjAiMXSGDHmm3BhhjezlWNnaOBkDEth5NfmvVjjIP
rR+NF6VwynEfaYWTrPIcDP3g8wbl0Q4n7PNlSWb5pemTFxbYSXQ14WtyDhl5oXBHa4igzX0w1loi
wusrb4fap2CDwD0y2gExDxeV36bFSrMrcEuspsybRqnGw6C6Dzney11oOHG7zSHiWt7Wd4o02nhV
rE/6akjyWeadFv5wZnlTjj9/M3ZM3GpDtkTIoGV0l4lr+2QsM4rLtGz4WCvShq2rDvRrUcFkImNw
7i6Hs7Ts7CBc51k8m3JiA5HTXCnmqy3yA9RMjgb7/zw0Rm3ThdKo+6VTN8zWF2Xbec1JrWudWEUl
Z4vc6XVvhEdos9mL7KibHxxv2k1D4rAfDwkJYWnOMLE7NE3bKv3MGPOkYfJc1QgKpnyR9mZfG58i
bBLN6W6Is7GovjR92eQ5HfE0ZeHlv2Ur+59qkTIbDPz1pkeU+tOfcV/nV732RnOXQ3cTmBYKp++D
ANkRqSRRDEPe+/1XrwNH/Tciyw0Ll7iv3s5vCged+EAmyNgwvMJGv1A40E/9UDlgp4B1Ay2YwZ77
4lX1pnKoCsdue7g0Oyv2nAW4S3Ee+03TLSJRn4qCpSXC1jxM3Q4XkepLCcaIA6oWb9suP7hKc9Zl
+QGtPsOL4GYQ8U0dngE3NytVWfeB3jxVIr2sbBOKPMl5QbyK027dT8SoEmhzPUTdmT4Za5h3e2TN
j8yuVplB7SEyoFP3aGaHVE7XJry4yMPftTQf8CP4ZAjoOuhkyI0aH43Ev0rNgJzXSZww7IPAEgcX
E0y7tooPlXORonUY25tybDaZgOPQPiiVbIYoOAE7WFYC76eeMFuzyWYGe7sQmnMdyBm7TjeRiQkB
rVGeGXuv+eRH1z4uUYK+gpXa464Ik8MnOQqbmXw7Jlm+rM3q6E4w7zQ4jgtZ4UuQZeR3xjNnsNEi
+zYZs/Gi8upsNcEohM0Dt9Cwc9x62/rc6dwrrYtW3aT2vAfiOjLvPkDmt2pAg/Le0Q8EH5rYU1Tx
2ki6dZLgp9ViZuqV7Pg0bR5WN5MfnzoY3uWVTg5BOZxngbmpXQ39dErT+qmkGurm1jGhe7rOhvBT
7VVXo2hXXu4wooMtj1NvRFiN3RmrkozAQBv2SVOuNa+AgZ8vSmOOp3GaR/JgqhPNVodO77jPJMA0
zpHOmTz7mkwaInejmtgVZtAqDxiZOWicWuN6EurE8iPMX1V+gfqDhlw5a5cHsZb1ihC1ZZQgdUgJ
nfTIJC4gq3lj/bk1EYLT+Pn0mQbI+7LynU1Vk1zjaxet/Vzo9YkRXpSachbSzs/p+nd6ZTCTftIi
fUcE2U53MbzQPXlrlzA5m/5jI72ll2qMZok00Sg8w+aG/2Ue2CRb6UssY/05AF6eWkjIF7ZfOuvc
Nh5MSSZKAuinVDldERxeHxJn3MaTS0YFTDYsGGFZ4WO8MKIknr0IRbXymURsyLt1lgP5y0SVF054
EilHX9W6kLTWeB33fRIuYY4x78MYuVgEaGgXrbJ6gpraKT9p3Na6tFM8bP/BuL4SrWdb+r/ex6/Y
xWsyv5+qtzXvt1d+28tNBFVAjTaWfEzO3uBcM9mabQ0eNngXCBjb7OteDrXT4XdzHCwGs+Y8HXht
Ak30i/xdOvJyYPl5BPALe/mPZGveHBpEE29zgve45vcVbTIleIaHjgE7wgq7ZyOJhNoVsraTE8fu
y6e6DgbwctMvhuUoPBKtp64sl0MALFMYcAAtPMnLrChI1R6etazNSQp1A4ZylHjEcGNHsbY6sY+b
TiyT0Hn0x+neNKPPfTxCj4KSHGpIIhziLuhQL7JRHCLkWrFE5zQiDSNeBZ9zCxRtOO1EWmzQVDzI
GQFKJcwEcEQf/sO09MK0vjTtjtzpbkxXVU50VCvdJfvyM3EuN9S5zY69yCLYBN52HtT6g8bmsAxT
4qQnXZ1IOJ9+gAGXbTMim+R4E7F4TmSDUtml0GZnJ6Sg6Ih2dmXfn05NRxDhwEBwaYfxsFPkF1w2
Oei8npqnvYio/PJ401RsRTUNxaZROCLCL6yIQQojVGFWcEgqv7iUpicuC0ElWzd0Af+WYuw/z7rK
Yrn8ZHnKxzR7KL78yeLkdd8W50zfIuseUhVj9dn6+RWhwaSO1tN1gZSZwVNRfVucMwzDFD2w9a+O
0d/6zVkkgW3VLNd8SdD4Nd71y4zt26gCDNqzZvEyKBE+oyz194szJxCmGtJ+pzt6u+iQCcTNxOFf
amv0qvVigsm/cJWlL6HZZutAs8/Y4EEwu9zaki1JbLlnj9eyyz72Y3bvdFWCjQBYB0/tc1nW5Wmc
2auulM1yirCPlyZeS7jeLVo3QVM/9Ouod+xNFdpYrXiyXieDba5MJ/+Er+JGN4pu3bkObFejOlh9
egxnW4Oq75JlIqLqqgyTgzRofMtq79sNpm6ihirQW1+mPL3ui/x61MT1ZKZiUeXtRUstidzwDOra
MfFk8uhW85htOaBwSM6SYGpyMjWHSsf2IXUeQB/OxvZT5VlgP5NtZB8Ny+8hjhlecW2CyMYSptSm
5ibiBuHZH83uoh/ITF5iawqrEimUvaEqXVfjGK0KaGvcCeuLrpeA4t79P6vwZRBk/ZTvck0AWSP/
LPd8ft23VYgOnrPsdzfd+Rz8tgpnM0gm5xhG/g6hvh6RzLsDgnHxZ0Z8NKup3x6Rs5sLs+uvv0A7
+AtHpBHMy+y7ZYjhpDtLCueAT1bhu2XYMi5VurTMXQiVHIo/+VNVmu6KQb/BrjlY6BkmIjhWotCt
TsyRJiLyOVmK+Yzp5tMmnc8dO9SaXcpRhH0jAxbOpppDitWQrszUQL7f9DUJE9MSk0VCrTRizKI8
N0kNzB+SIfpiRBxEZOJQWeoCl6XJsj+RqzTbEV33VNYbYwzSvc5MemWLGbQsRmboSqxxYjo4HGxw
usyLMjSale/Iu84t+gWppeO6jOS0gsF4H7pSbZs82tptWGPX6B+DqjcPfaHdaBqaoqAzTnMTOqNs
OLvLoFiiMWsZ7+A/M8nqPDTjWUZ821qojie744N10FlsZWjLuIPwOVTaus6ZPDVJfqPGftr043Dt
SmcNFv7B7eLrMIYSFI7mDWXJRtcwmDGJ+VnXU1vth7Ahv61uW/K3InMpDe+8lCb53dx9VU073zEF
rpjMhZykjJZ1HGxGUKOzNnZBeWv8yKfYNRZWR8SZHYgKX7fhGIY95u1Ih/VWC5dEnOFgiUXxepCG
v8Snv9jpfKxzvPq0BZFFV3FYbpRHagf6acKLObQ3elBfKc2Ae5pM2mYom52mt08lhrtaSVhRJ68M
I31M29YnAgWap1KzRsXKn0hc5bnJu4CY0vQsbohgK3rDWwutOB+sjCQMa06J190HZj0XfpGdJlV7
ikgs3SPFh83nld6mMPWrWZu9IFNGX2tdfAVjq8H+p41tExkYieknja7XKwdQyKG5RB+OtRIouZ+F
/ZPwU5EsUg3XF+ixxHrEbuKc+lXhMRqTGi39pNJ13xfMxzzkBwtMbzS48e1J4DRyG7meIi5zQp0S
9v6NmMrpkHvdZyTYxTIcHOImo84FPTM8mhOHD2hIDxcaFClR2RBIFmOCPBboPXD4mlZBMUQ3lqjI
ZFPeR/YMHN+T2dGT9nfhQt+142TXy3pYhbrf4E/URCsPOOwrReB/2Uzrbeljzs4SP6uXTmfd6KNo
66emqf/klb/v1W7wGxEAoE+eg0iTMI035MQ5IolgMQec/Ws/861igvDORs3+Dj0RR4x5SPbazhjU
WWio4c5DOH3B+H9hr/6e20HBxBXgP1oOTRMPccBJ8nakFVgjmlClqR0W1M9CRsFW8ylnYl/vF2/u
zsXX3f+vWSRfrwR5C7MYDyo/RK7vr5QVdmFPg8GVzAk1i67uVSEJHAhFu/z1K3EN3N9t7LVsf/7M
b8C2qNHCqVKp2jV9SgZvq5/XXZ7gXjXd/vKFoIiaxJlwOY5Ovtq3F+q8zAhw/VO7sU6f0yx9xmH8
OeHf/8plECYaHN3Yjby7c40rphrOA0npWh+sA7/EgEu4iMQRL/36reNZxefHw84H2v67g5s89dyG
TqB2XZhXJ4MOjo+OyD+piuRvPtT8N31XIsDGm+dCJt8TAsbZ5e7tvfM6+NNN0Kud6MHjyWG6GjEw
NLTxVnWdv/r5HWS1/HgxsldnHxnakPdtgWY4iBYNqXZBWfsrr86rHcnT4UJq8YPuY1MR25W1MMaw
+Vfu50y9wYab1uj9V+dWsjUzUaidKmN53VZUNRQW6a2W8F8//4zzDfvhhlLYsSuAhX91qnnz1E8o
oMYYI4mdRvewy1s1rhNTD69/fpU/2S/m2fcfV3lHcvT9wO60NuMqweAwYxluuxxfefi7/9Kte3Ol
d089U2ohCQvnAcnaceUOycMktWz598trHrF+f+fQAQHPU6eiGp7p4t8/imqIqdzsNt2JPLcPbVfn
z5KslQRksq91pK52OKxBl8EgRWI0Z52b8bCkQp0royArusof8kEWB98s/dVo8s1iYV7ky2xsnaNt
xsFJUSXVSerWwbqBPcR4vw2dXRTKeIuDDiJAEr3Dawju9gPhDNBYAn5sceb3LqE4+0S+jUN2q8dx
ch/XPoL+AtOBZT+l4PN/8/XqP9wMn/EJPT5dORGSpvfuZsgwd/xcqnynOhNPF0LZcEJXDArx+xzX
AUPBlRFUxqYMHAfMF4ppklnB2irt4tCVtALLnqDftT9E7bKSRf/oiTgn2Bt1BcmbBiKS9HnED2Uf
TUZ3qrw6hM051TieBrNcRPFHRhHma50h3LLl9Nx5Q5lfjlVgfkw9U+6dkCC6Lu/wQc0HZxd6gMWS
gmjbJ6xtAuqZFtZjy2g0LQafDjWiem5Ia2vTrFg3Jr1uQzrfgYzj/rEMOfGwJuW9wwy9RIAlj71f
048LzxdyPdoZA92UqjqueT9kANoPlI1ylXaN2sggUueROclV4yA4X3YW5uqQzzNsBEurCYDqKrUp
dR6fpMQHQauUhpqGTzcx917kiYcJbMMjFCKPXYgoJvPd5TgsvAEjJKFAGTping9UvPE2qSDXGjpW
8n5exls/yLUl+Vfmx0h0znFginAP6S27dfs03pa1pe5KNzc/hnx2BCkw5e5UbuMM64bICxbCU0Gz
tODGwtRzbS1eMALObmviE4++VueXmhY397Q+7lEkJaE9bfKsG3ynbeKaH3M/fh7qPrxu3Enu+/mY
EHUtj2NmynRTZTowJF1qJi6gKA9XDLntPadbswy7nPjkiPVDSUQwEPYQBQJOi2fcbqP4LLJUcI6v
RPHsaoFxZsiEm9hmTrGC/OvPICNbQEZQ0AGLJf9EuNyyNOYm4AWZLCdbjC+ehh/8yeQjRV6c3gfT
QLlR9tg6OSLJV1nT4Xwop8rNtjG9gDo12k4FK1eE3ScRKi1Ym0ZX+yh0U4puV58HLzKePsIVcD4M
RZo/gz7KA59xXBdzjjRcinJnJ0Zwi9oJU6xC8vw4le7Ey8p2YH0HQnRy0w55cFINylrgtcNX0IQD
it4BO22JPCnFtz9xg9sa2flK2TpmiZ3NcQ9i5W8bQvxaQq17JW7JkaKFRY2YPAS9qW2CgnXE2Bto
OQ66bFt34XDVV0H3aaqmdOuotsk2vYZ/1yZRljOtJwwuS2bdEcwHd0iNz1Og6i/mxNqytXA0yP5z
6hum6uouSmymTGPGeTJI3mzVaoBeuh2PKzoS5lwp34SDBec91qPFYUDeu66G2kQ2lzybvghOQlLc
DrwRY2NE+Qhvoi57/EJccRalwUAMRBZsE41vqAUO4wdfr/Arf+WIILxOuqrFXQS241OBq/muSF18
AlzhTic2qjZVYy1s5TLH6rPlQZh6vzj0dvxch3PwidboyxowLagi2vrKW4l6uC5KYnNl97kVY3zI
C9dct6Fyj5QF3qVoWZRGwdvSjaw77eBMQeBknRP7Ei7ANNKPvqGmox4Mm3wiMDyaBtUs8z6tYRTE
DDitJuOhZlccLkSmxlXRJgFQfMomoLHq0zYbVx20UdK4k3E9Vexued90W2OuQZTN5zbz5CGuNf8c
YM55yIbav7S6xjiTUW98SOwQu7CWJyplQ71HW5At9WzE8Lzg4zv1xDLK/TI4b4q2f6y1KqsYC7Ln
CDv1Lw23onnWswfHYaOsKvYPV2je5RQPBLlD012FXlmEC8dq/ctQptWJ0bfsZC9VZxtU5TbT8xZ2
ZcImZrZy5fZcusKldvdyKpE00j8Kp9irApclaPtEANi6ua5ixhGqkRvRWz5fQq7O63LuMaQpj5mh
eJj6EonCIienNPW4O3EY9KvcbQnkm3ddYuTvmtQ3nvSe3aqbnxGHcfZZGjbxGXqFaNPh4soeR1VF
cjxWTEnkbBjITMtOVoSa4jG/hX08kPrnyhuk6sE5pvjFatC9aomDXL9s+YYTjCCqahdxGnzoVBQu
fbcoDuHU5pd1y96jRewePfBPkXY59zyQ7cZKnBLrqC4+s0JT/wy40xw7DUEqNk/nflpnu5oB/DYR
MsDyL9JOmyo+t2Kr+6QlSQ3jVjSnYTJ9jHWr/4gi2V/5I1UBAmJnNwXxtC5EyXhVq0JkV3cMsfNV
bIlnGTEOQTp/w3q+rTodNbAvNWQPeblsdEud2xBsM47FaMvm/hmEmyBPj0MvDTgNNeb+tySjFwec
sIJbPfeND7FuMEKf+Eqh/M6brGvXajPxHWzoQ/tF6g4euZ42KNmIUcguNx272ha4IZuGUP2iqWEg
L8YsYzNLaHhLHpGEQbQR6em+6Esd6aTysPtLK3haY1ciYMiUBTfXAtYg4C3sZ6AnN2+Au/JDX1r5
QXqNrpaSaKuDldXoMI0cbtQqLAfpIRXrzSGfOHyyiv0v93rMCsw+7ld6mghta8eY8x76JLBQZJt5
2PkHu2tlQXJDa+FTTl9S4bs1BZX3XI+J8Bc+qVRPynEjzJMibz/4njLQOARVTXXj6OsS66KEe+Cl
I87vVdNcFK6HjV9iIwoh5z1K1qhWKns1Wa3RQVEw6nuf0VZD+mt23SfWkC2U4VJX0mjg66e8sTsU
WZKuYqV/tv12p+YxN9SyfGHDd9qYLuuLjaO7dJwEZYhVoHppPKz1NNsct6xTkFKZQDZrM7/ZmWXb
kJYaPqTCSddeb6ZrE7fklfRK41PemMNZyxmNRDqqdLKHTYibQWZNZyzX6DHKPIDJ1Ki1Rebhvjvz
v/cEwOr+xoty9jfbZfu2MU2Bs+3Z/aK3g8xZKT7wLsX+g0HD6HR/IzyZcez3lTmOW7QzKApmA653
3UY9TZHd1nq2KzlAV67Zd6dN1Oq481fUCQ2l5dloaUIszIm6Ig0qeWTBO8fGylHKGMHfNa0/EIBR
NZBxh5e6jZ4MbOH7TsGLzIg1wPupcuO21UdU8OypvRc/FFl7FY4ccz+vx3/okmlNoCFxJYKc5nS8
7y9Y252TR73KdoyQ1XmBOw4HFMdxUQh51OxR7n9+vRersO+6yPmC6GjnaASL1Mp3Io6iosCxMbZh
Qyl7sGmieFdxTULAKqHNaTQZrNOazgfFXX/xcuz0cjLcrTB7YyOMTGM8nDkPciq77VBzrv/N+5uv
//79MXuENcCgkYn/uxsS4eaZsGOnu8YFnnY0pszNgEKuB9svY0/baZRKhDcIc+NUwZy83Xw1kX4c
/l/0RJhbNkayeItj/dBnM1WfHZe5USZJlzMy9xa4QC7Ruyo24l1Av73F6Eceld3/3aP/A2LBVQAq
mLIiTMRH8F0b1sZtR8QMRuWuTcHoRizWQmFuWJoBtbWbSmsxJhTMIqXQ+/k9Nn+8xxzLKCKJlzBe
klW//4SjkdpdRW7FzsaVNSSsTgYnWhgG93lLOVjL3hnPA7zSbwvIt2kwls/wgPo15E8Sr0ihZ/DB
HoNUv8xa31pHMEo3tp1WO2rO4CSRRf2FoUrY7LWwpll7eff/3Uj0/1Qq5c/549ePQgr09E9v8erf
GTgAAa/jRfKdXXseH+p4ggIHsAS+jRexVHaJ1OQHGO48gH8dLwJZmzh7Mnl8jYX4A7I2SaBAZk/O
BGRdLF5+SYbhwxb4fg/gzbEjYu78kt7ivUOGTB0yXjel9g5Tk+6uhNTHHlwMn4jy9E/cMb5wEDoQ
zg7HeFAc7M0QaIvAZ5SfOniaEb1IHkPgOWsOWMKn2kSxTZSzAylMMqPwmxXZEVsm+sOzNas75OR4
yKSM8vPA6Od2mqyjZk0jLip0daFJKj1R5sMWX6PxIGb5pZcMJlEw2d7qkoikKqntjZK4USqSbBl4
UiboOZCcT8TvfujcQduEwi0PZie1TRxH4noIKJKt4K6w+2nfEW2wN5wIzp+VGZtYV/5t2iePjSmf
RDLiKToOsOlG39xaJLJDzoyf2rK5Katm2gT4Vi8CoqvrwWvWZovNvwPXjXiKg4UgLh+NM/7ESUuW
3KPmVcZdTUqSfSLqBpsYes+a9BotV9VWMGOjAcyN5iqf/dNwksRKjVIiIvarzu6ZwxI2GigrqRai
a5MvbljGxo2sPPCtZAiCB+G5jvb1vPrvXu3/gVwdNvy/5uqwjtsx+1MiHa97XcaoQjFB94DyIcR8
tSZ9Xcbeb5zyX01JvyPqYHxB9hzrlFe6yKxY3q9jJ9yAiUx6ExbzKxSBH8WiDmcL+8Ucj+0BjL+r
M8bGblsDl/B9I8Z1pnwyIvrcPysGegQzqrT98GJ8m+vNdKk3+aKYirKHOzcEiwaXXGO2y2U1UsE7
GSDCovQSHNn82VaXKUp/Q9xY5q1jrDNw1osbllUxffBF+1wMpDZqdSPWndEa+6RTzyNGxBD6XJip
HHxLL/avsOqF3xaF8TFT8cbMMLpaR9Bdz1GQylvNxGJoMTRB+RBhXB9tUlFsoZm2ZC+xmfjBcCdw
k2UPatB/NA5OTH2X46LOWWnW4DykgSg6R0STloPMUpn21s9keB706UkQFmWykGUI7YYMp88MzsS/
54z8j1s1+C78dNU8FU+PDz8cfS+v+n3N/H/2zqQ3biXt0n+l0XtecB4WvaicByk1S5Y3hCTLnIdg
kAySv74fpq/rWnbXLRjob9FfF1CLQpWlTGWSjIjznvMc/7yIge008ZjOtwyr4p/3jD9DgNnyAYug
4XpmWf+19DGSnfspdIZLZ8zMD7fN7G+jgN5n+SO9OM+5fmNa+8vWDPsOA1uYosBuGBnjlvuw+awm
VU4gDp29Szwn3mZVHXifQ9+b5CVebQxjiTngmqiEt8u7xDl2bmf3C5ccFRfpFA7mgWqVMDwIw2CJ
A3w0pLd+ENEln1qxq20Mb8xQXey0elI5YaZj4Bji2x7+P89sm4fY3zyzu69fqzz75fLjvPjXI9v4
A90bKB1f8fft1fdHNpffPCDhUenS6Pth54W9EsMKmyH2V+ca4L+e2vof8Gc5Jn3jGEFx+J3L71df
l8f+DnQrJ1GG65RofLz8kkj6oZ8O1Eb40+isIZolxEBieaxFi1lZTtW6SprLMRlbNJMSJEc2Wito
lA+Joy0nIwQ44o5tnG4ZoUXUXA1WjC/KKKNLrTAn/15E2hxNb4pjUXmXzeg8YxQIW7CwU6ev64w+
z0t7cvNNYZRU8IZyK4bgsnRKuKX1og+9w5C81nNKDQK14U8nw5Sjt/bzxMchBdxTh2jNUBq4ul1k
OzsTBVAWlxxvOtIwPjdu1Z0ZXcEYuDTS1FwYMWMNnXakNOqQs2Ldy6JDUvYRPqJ+mK5hmY4V066B
Xr9wJgo5el9v+sQGwr2qItn0B8ZHLWZUXy+ylds31CfhxAZSf4XVaxJXZmI1GMKR6dW2ndBWjaqq
5rc5wcxGZ50lQetlyKsv0QhYuwIV686o7WSGbkdi4JdmQ3RMZyQ3nKcb2JxgQoF1d1C7pxnfzWcH
tsUH6T169fU4t2W5M+47iFhyF70+jRfQ+OGB93l9cmZE+AgrvHBmavh/yeHs/7WFhyPR3976MKZ+
dXR++6G/9mogMSk9wTE5B3J/9FWDMOPo9E8j0MfQA5N+xv0+KgFH9vmg9n27Riie5QqrNiNSJAQi
vr+x7tjzkeqD7MLM3wvwT5y1LzaGH29807Ei32mLZN9HiavoHilime8nTUdaXzAT8R66clibPsRX
FxJxED7R8pLDLGzBXxjMwt225tTh9Grle1CDGBJhg2QHuu7pCqbkm7FyM0mq56L0PW8SYhBxUGuf
OKE+evRWPFsFF+aDKRrkyH6pD9M0LiMZgc/wBrB+5WQ6UHrstKseXVHnBHdtay2G2Mx3yDQhPAhd
BOvYJ8x0ozFReuE8CFAwzNGt/nORf5MI5svrX69vD7kkZvh/WN74qe9XORCHWc5EXbDQ736Mp3s2
0R6D+sfvfQg/yAqcU9jv8B6+gfo+XOM+3iv4NdjqOLP8ZlZ9PnN8uMhZPvGAOLxFbHUkFT5e5AyP
SaWk5bQbWsPNdqJ339tKVDdZZ3ufs1gMy466sL1VO/XO7vvydcpycZlHBBOLFBusENm7HeUvU5A5
myrRmYzHfr6rw0xfeVnxNhZjQFFZZpQ4cLkmnRBQSeqiYlNHYhXTIgChB+Y9P2qZqRbC9Ol4jzL8
J247i9ndUUZ0OvpgS7CfDJ+yPNwJX+9fGuzFt6XQoLQbSrZHQ/MxUJQ8/9PB0C99jloWiOaqmMDH
gORmCj0M0yePiVm/Cqx0vDZpIhELKw7gP+CyxuNveSO3dlbaIcI2JD59Zpi63W4wkjwD4c0NuR5U
m7trK9dZ97AByeEmcqi3ZIAkn+uY3KYwQNxHTfbZKL1syZd8gYcaWmsqHg2bmb4qnlKLrD2nvG2f
jc9jXlIrIbRVPpg0Q7nLgMY3GWhAW1WyNDRz0xmZR4kijmt7PDIpZoRZrHQ7TpaeiN6Yv3/2verB
l8Nng9ddYD0jpo+FRW+HCxthmhHOLh17qsNDhlhw8zH85jsjRlQty4lhR14qJi3mnLQYKlZqzb+b
xPCGZC4w3ggdqICnJs6iRja+DoV52TvNE2aC9Fi4Qbweh0jtqjK4/c/COachmDH83TPl6aVp3stf
ninnn/p+YuOZgj7O0AmPHZGBH/y1vv3HrDaSJUS4+KkhLvgDZRNxHSLF95jEnyunFcyVc8gjeCBn
OCDy4m+snD8DMAghzQhs3huJCx5TzvzQ+cGWF1sRLZheo+/1Majao50rdWX6uSUe6sGgJogGpFRt
SBT11cNE/pnyTL0Mq4WVhScvS5rPROoIGCRQb52JKjb8FYga6z5rzR1RvZBB+UA/PS7+VdF4oDCx
J5G4IP9HmVlu9Zv/XIjnWM78xfzrxe35pX2Xv1yHHOr/WttcHNtQPrC9YXJjaWML9f3o5nEdsknj
UuCi+mYB/0s0n8/x4Iv4XXM38w87OGKriGQc9LlIERDQ4n7jOjxfZx8WNwZWkFTJrHJtY0j/aaBU
JIDLPaLW+9FvSQO4mVrqSdpf4xEY6QrI5Jex7KhliN03CExgDRGfitsMk86qhKOVbOJcd4+N7ahb
PATphevDoHXdzKmPzWQtorZ01CPAfVKfCngWTUX5ISaL/az503SfIRnTy1AedZC3so/fkzMEN4YF
vcmy+slrCz34hH0mPqR1ijEXs8oqMwdtWdXCXRE30teZM5KQmIBP9+6Y4hlJwLUM1fMAzXUxZOT8
ChG40R7my6acpbtsNOoLFzXv/8db4OeL+e+u/n/kL68vxS/K2T+vfR6085jIQAUFe/phX+dTHguw
axaO0ZS/HWz+vPbPqCEC3pTOWnijz0DX789g/Q9m3kxAuZXcmen1W9c+99CHfR2/hbo53gVHJFOH
PvjxEZwa6KvSsrVdoGlUeyfpSHtFYMv7Hz6T62/30o+D4Xl7+OMdNr8MUDBWDR+F8JfB8GTIZuyn
XqODxDbuswq/hNXp/hUAC8yof/9a893602vNs1mLWjLg1ZgRPv5JfBepDLCb7kajCq50d7bAOLNT
dNKH69otcKH9/QtavzgDzissgXc6E+CYoER9fMkhk44wvAaS6diE0SIkA3tRNR1+HwZElYPqrfAS
zTUOG5oke4v65zwdKdBSZrkVDtZRp8fRuOiGMtnWadLsgmrApInBRn8taRu9EIEMtmdHrpqaZFu4
o7mEX1sexgZvbp5hFcy1pn04+3WDHmstprrkFI7YwOwoxSRqRWW8HQVca6QqcnotRlZTs6f3gC69
xzizm0evji51joRrxVZv2dW5vptMK7vkIe36yzi1uhtTdsXXyZqqq8lS6YPJc3JBgUm+cQQxNniC
/RIjERnjCtigmIS59Xu9WjRiVGtjxhTmrSWPntFWp6YmXNfmmfUCu1Xb5a4Sq6nR1I7SebxDNmKs
C4TKrN6kXxQ0ixfDTVBNcbfQhYJ+1JC41WGdPCeZxnBgNcQQTQSMDhUp+YziDBrxgnxBuvFKj3ih
CrnOlyAu9HqhW0X5iu+xfk67yH9Kg8zk0a0H8VLpMviS+nKm6ON/AmBijhU6WJoMm6b3dfD+vhW/
ZnHuO8uktPMrPe/9Gk9YVF14neqOsOfUI2ACjG5h0qxMk4oL/HaRXJA3c64Sy7iNh0Qn0JaOtzGP
5bU09OaZDoJ+Uw16u/F7F97jULnFlwaE3jYu4zdGp/UqsnAgR4FPyasxOXGxlnw4dDfklyIvpifb
MrUbZMfpQp9CAt1yMLK9C2NAW+HADPUFEbw7202cfYidfterEvcWFdAXOgLel0i67WtmQJBZTxG7
qbXWJsGBj0Cu4tB9E+BElKGaU5nrPYV5+RcdWihuC6pxNZC+WRY9BBIqjwjrfKtR6LgAwTUs8bmU
y4qcEOeVxIUZ1h5TrbFxVgMkW0KsSF/QMEL+sffZCjtrFVfuuB48V9yGKjcv3FheO4NCicAMZR+C
nrtncMweHpdtrlOjfx8KT8PQorWXoF6m13aoxiXfrPNaD1l2lQQ0XmRT294Kp8Uo0vq3QgTAapzp
k9Y11ok0JCybcZInzZumtQpcdVdS+LCMjKDfgJW/KTmKwbOozF1CHrS3F23Ux+Nb6SaZuQAKOts9
u2xI88Xo1yYYGZkCCoqKDJqM2Y2AMnOBLddX+Tjs80CPRsTSSOiQAzUtmh4zqWyOToPZ4Snhg6jE
quMYlt7bTepH7FWNdPB7de+hDpNtlV60csa4yZYaRcf0AAndhUMISmyrMHF6nwbNjjitjZnp7BFC
pb5Kcm30N5IWLEGxRdG6m4he4AjWmMO/pFa5j06uaDoG2nDL1HXkajALF7UrZHwMQqisIEdD5Tyb
ddzhFWAXrsVr1QyB+Zh2SnM2SM2O98UbYr6ouI1b7ZCNddQ1d1kRloXYGoHMnjWnzu6C2ebe6CWP
4arwnF2vt/mjF45aswwtMwS9T7Lh4Aw9Qq+aeozY+P2CrdNa1kGZobgwBqINJmKVx84GOR24aWDc
mwT05saz+X/2Qje8G4E+vrlmGfrEREtcNpll7at84HU7uxxXGI7tfS11PPYDXvK26KYSg3wYcrP7
qjoK25Zi6fUe9mxXViuUN3zEczKglLqPzxBAH98A1p+h4b+JVivvJqljlXVKravxMqviZrDs+h0C
i3/BG0mYM5mEKOoxKKZV59IwAi5AVXtfz4Or3Encl5z4QoyVoTc2MAFJGqgMcSDzQRwtNaxVMR9G
i8neJ49gcW7H+Zq608qfiuouKmLiM9gYIW7iSHepmQr/i+rY/1s4iD7sAimx/GFTsHppX/7Hewkk
aTy9FO//63/+o0mmqvy4Czz/yJ8ncQ42oNZ0x2JOxaH3vCn58wRkGOwQ2R7+E97K4ej7LtADOMlP
cTr6dkbnPXzfBc7YkNmIyLwLqAEtTb9xACJa+HHPhIaORgAm1jd13g9GpI8bmEJ4Ug6Zqy6MpM4H
QWmfaguc6kzkKv1Y1b0PhSwVXku7TmYWeaE/tYTtDKo66kLem4XdYlomjoWnnZ69plbUpvac3/27
xC1rlhbCMWViULOuBpvEvAWwg6xWMO5STSktpojVNIt+33R5IZmtTG1XAl0s8zEtuZUSlrPAr6Em
h7hz2FT1+p74zHg52mF4n1qiPiCJfcLy2G9V1XsRMniwCpy0vkgLyX4pHbgrHCcz78nFcDMlMY8t
REWFuIXaHayVJUhf5M3Eps3NCeZMWe+86LXJ8wAyfH+Z6HHYrE1wXd2i6TviL4EV6fm2HAiWDJgC
CWYEVbJ3i0h4dDy2GKLlSCOqIPrO75xhme2Zm6mBe0SLAKZZz1jN9EzY9M60zdJOIW8WM4TTdMLy
uVWAOdWZ0VnNuE6SRKwU0ZniKWegp5zRntglgHzOuE8azz0qlyJRD/uh8gkvhI3DH2qfQaEhaIkL
5ZD7kKbbrG0DEJ4b1YLGQKO5UFVl1CvP9tSaZDbBqCRTDNNnNmmQjsOF2apAbpPUFu0mlo2eEzeg
K0mzulG/ES6Oah6BxZaDariEwjDQMZ+23iIBUKaxvwWDsvBdmwSPjlWStaUvdkQd4hUEvo4eQKXU
mjM4zo7I7CMQ4fNgsInqmnZZmauvXpjoL5Nj8BB1uBs38+YKIdceXwD7wpYLoDRtO8C6d0YJCTVz
2/wTUDd3Eeq9oZa1Rgdw3seRvjIb7wpYaLPqzDhcNzEm8GUd55SC6sZg9OsoygWkhWhYx14TXMEd
qNnVNOS7hB0dCN8MHuADoDMMap164cQdm6FUq/bkJMx9W4BoYmQUfuZuYHpZEn56DYt+ri2QbZ9t
o1aY95S7dHvVFB4Gmt6L4QWH8s63+zddOdqqH/1pFfrNiLknH5N95dUWFfPR0AfLCPngonDpIsTL
7j/Ph4ptT+aZcIqcDGPl9JA/JeujtZKhuHfsvDmhhE+veVuEq05E42OXkGEMJxZm+qP0AHycNtH4
W2ukLqqhPAknTdmaVymxHbNPQniiSGhGHFYPLomEhYLRuC+DJHpq2XgymGrD/DajBWYpp6ze9m2x
bSuf69ALbZZvO9NvnFh0UC4GK9hU+OsVTxZsrse69tNF57T1VVOEAXxAPX8vUY/3nHcwHca4ffqB
dsIybN9SPbFX1khvKJ2Q9i7NAyYGtvkyqPHJyWmGY7KNIhP0ptdkK/gQfI+gXkVcd+61koChednM
IU7dfDsA/t92bfw3XBUdTrr/Whn8R5O9lPLlozjIEPcvcSSgnMFxKUSkB5jJ6Q9M5oD+YgwdLm5W
6BDf1L/vy6I7syFw74EhZbB7dht9XxatP1jA+Nf+LDawnP3Wuuj8DLRjds1/aF1kIO04vNNZPvlB
oRaJMLmsO3vv5L6/7BytPzVl22+nMB4OeSRIImlVOi5BuI1fnEp6F05mUzbHOE/dVlVH6zAZs5ec
MOpl5tjBaSpD656algSjeu2Wq0ja3inOe3k7pn1yX0iH/u2uT/ZF5BqfK+pe1hTnpuSnXUzkUrxy
Lkh3ELeaBLFG0Ucju3p6w4VBDDeMXPKyQ2beNTLJDgFZs2PoWTCzLEm3Q1teVo6ZkGwB0K6lRIDI
cqp9mRREVArNtQiSRh5KISd/6gSGq6oGNF3nfnAxyqgnReYO5g0FosGJ8Kh+SaePfjlaI1yXnlD4
BiU33xqVGX0ygiQ4GVp2bQxudxmaxv2kk9cx3BCcurCxHOuitr5a4xgvVDFyzDd6or7En9prqgts
TjyetbaoWoYAxpNy6+R6/UWxRm+sBrCNSMCxEr/IHoSdAqkccjvd1sWQ7gLZAna2FYMvjw6E1jC7
p8pPwqu2i9VNS1b1LRjV+KlsOusmyvxxZ41pc3KtdLjB8pYsGagmGxE63VEfXPFaWN1AhBBLS93n
/dYzMv6MaKBINytJnpRU24rM7r5ogUUvojMuraA+mmW0B9BEhJNenUWmV+VKOuFlkdXFXqN3NWdT
jz2l4sjeEx0Uone+RgHdFjJtk2Pr2mrLMAekaxEX18bkTaxusFwxUMuQ6ePEtLO2x/QxGpOA4Jtb
rNkL1ZQqcnSteyXuAzJUl5Pu6pec/oZ+wTk3Ie1sy4u00/M7u7LrbUHJcbBQotJ3zpB7GMBzy7qZ
Ri+5jCKI2/hcoNFykPduy6Q2WMhaIvyJtPoLVyX6NdFR71CRCAyXNJDkbx2tmqfQdfPdOHTWEVND
vi1qN3nufC/5JGq4tyWU0RvK05gix+NwgkttHU1q1HZNV0VXrV3J+3SyguVQYKAotI60ZKhC1kbH
P5miNp/LwHAvCa2DLDKgH6RpbheLgijhRlGJcpXX6mhSMsDlCOZB09t1F0ftS9z5+ogRHPeeWYfe
i7DUuyOGYh+N5GGKsXD2WEptwnz0Ho5eaT5SffQ2KotaSWi55rPnl/dVb02PUtbjdsIpdVPFrotp
Iw61A0EbnQWcvNAp7oEpLJXmihcZNum1F2Uix5lrBW9J6MfbEk4WDKQkf/ATvSATr7GFIVp3TCO+
RGVZbB+73AXRmhd3niXbV8tHzKPywLgnPLJnBXMPlRLbsmR55axflAyy0uzGMoz81gnzHc2d7cFl
ErC3M4KYsiZ+3vGwfG6rINl7ThFuxsQSKw84JHWRWBw5Atvv04DH3yIcuJzimbxeOxn+Em148EqK
CmqzqGaXiqfTmJeZK+Ea9bXWDBuVu+IokMXSZRBsHEBc21Aqpup+kG9FftOH5Ma1kHx55lrGTapH
1q6kk0Iuc6X3p1LvmzerHXkntr5SzO62laGGdZ8bHYlNjj6fWm8U9aLWpxxEsoedrKRt9GoCcbXV
hpYp/Dg63rLpKZ5GK1TVIgrHdYcRdIaIAclaUdL9EE0j2jadYzUb/IgyZk0m+SKgIfrI7re+HMtQ
XxuG9ik1s8ZfRBG7oSQP0BdcgW5FEnSZa8kT4o++z3Wpr9lXioWZZtVrDoDmGFZxcOMUvruX0hmK
xRRp7U1CWGDleeXS4fzz4qbesE056l3r0i3aJZhp/dT7dK/6YTHlIFFxCxRWFTwSndVPpPXjJwTO
5ILmFmL6rQs0GK7VmMr+RMSfTuxe0dyduuWyHbXggvhRc92mobhMdSUetTDJT5wNappEZbQBxROt
JlpU144U1lOmCnPntvyVTeiTPR5S833you5SOUH9Qq3OvLh0k/0phjn/0BL5h5eV0KlIs1m07aY4
WzMaU0uNjtprw0CVUByGKTgVw51OkJLmDWdajWNbr+Vg+kdqtODzY9OLrywvhUicsSGHL+mAWtPB
LoyR1W1LkPt7utrrh7wLYVXX6ZoW4uk66y17DfcG1XZs9SlddqBgF040bFwGwyejj8xDYBCzV8LM
VgqletEbLLcJt/hRhma9Y/JCyVAmmuA5c91kVVDt8ykPket5MsX7sCWQwmjwGkyM9lYzTjvUrU/N
Y+TJKyMp871D9n+DwCtv8hEuWQStfGPoQr+L+4Q+3N4LNQCsmruxODCcmlG8lnIa3/Sp4/HfETWR
i3ywyRtbCjrsDHQwpXZ0St3s20XZELpedCTHCo0AYwfUugDbcDOfHlj70zS672hbFIu0E/m4LK2g
vRGRyHcVwWnSZETv53L4BueZF/riawDead/nMSVCg9IuErNYj35ZXGPKIRnodM9O46CuV5KyFB+9
+jVr3WcniV/0sPvq5dOzXw23pTFxNphUzeuJYg/AbVw3Irk3RVQf6tjzSIFn5mOWqvKNSODw1IT8
YF+6Gpc6DtcmO9QRf0V3qAGD9u2WE7WY3Eu2WmVEstjMdGedmFVrr90qiS8GkxhRp/BnXxMGGt1P
0g2/dslo+ZzZADY8o7aZzDSYIS3DSt92NMBN2wIMyGVSC616rnmAsvcK+pUxhNlGZGNUHHwta1ZS
peaKTV52NKKxPEBk956d0RGfdXqG0+twiPOjFztGc9/FUxxSUJXlCAQgPLDqMLt10i9wQqX24AgQ
dAwx+rCc4UhZtYfKZ61Kegu3TVCVm96VT4izCgdflK90zv4oxfbToJlq5yY1GfGi7U78y2ET5JCG
Oya6SWNfdARBGCto1FNnEauM5jEoYy/yUE5xTjuX6R1YQbS7WEuiC5R3YxmV5Dw4y4pTw7d5mFpO
a3GiXmwSh4cmcLWFtLVua5TDuCi7ebtlTWa3IEncHJNkn4WbzHPBLVTAzvFbgBYQfrKVjBuXxK9v
iimWK6xG0X6yo3bfhbjim8JMDq0eXbhGDlnBY3zMWKBdYZkVn2E04lwaHNDjooelQeJ9Deycw3WS
V9TX2zWYxzhjIQtruXT4mncd0grTH7PYOnqofwUSyTYaMFkygIbELfDF9UvXf5J6RzvkGy4zkTkP
obDZcSxp6kqK/D+HuG8K5f1Yo1C+fCmSku0ZEIW39kdp0wE283eHuOVLnnytmjL5oG5++6nv6iYS
JjhcuvfI/J4Pa//0dxim/QcKpg6U/FvtDoe/v/wdOqYP+nRwhgRUUTF7/n6MI2tFwBrc9uwM+V1/
h8Fr/DgR1p2ZmG5QTOWB8bUxMn48xbHQ4ZTouuFUKnBMPVg92Kf0VKGse6q/Ydo24gbk+bjWQRKw
VbL7h8yWPJZlUIqnHz69619H4cZPQfn53RAUIHuGL5k9tju/2x/OlMwe6iyIu54tbWmAeuFIuOi8
CnPh0LNLwyNid88U6DH/bQq/Fbj+GlTKcJKezSTZK78Ebatf8TsoSzDz3HiYHM03tqPrhO/GqBnD
N1/Tv0x1n1l9P0zUz+8Yt7SP/xRHKRrxT+848WKgWGN7sgZEFXhjE+VXBIWgkLMlY+EfB3oaEpaf
BcWehAXIp1nbom8A5jR91X7h+Smp8CQKTVF9AuO9LWKmiF7jZNE6qtL4OuuCQ0F9oVzNxINHGYtj
BmtngHKiuZdJE/fFvwEo/Po1YHPW8dRSwQRo5/xH//A1eKMWKWjw8lS2YfBYRdShcKhjj7Soy24A
7twEd3Vo5J/+/uv/yQlxThaSebKA++HdwPzx8bN09CGyaxmVp9IH0wIprTuVslkmfhg//v0rzdaN
H7+1OcOIQKJ7tE9CSPB/us5qpNFJoG6e/Bp4GpAnzsxh64/A7uH46qLLp6Wlj361TC1HFf/uopkv
io8vz4VC3tmeDSw8HX56edzyCeBgPAjzk/ulSDvnJcvn9+BMhVxD/6PKXuer36pcnE/RlffeUse2
ByNj06ZtNTpN1ylt9KlXFg9WU5sMh/1xfK81kAu6NhUkSoLKbnaO5U7dvzF1/Ozp4IvyKcYBxonS
ROjI/snWD9PWKR0nhC3SwUxOmpZ2KiSNls0nukUZHUDvZK+RH9QXwyTijVvZQ7Jkr+x9pSNqqig4
iLylXaX9e9JY3peeQmzv3/EWnF++ZPQvLiIENOxwsw3l4+VEcWWiN3FrXSLL12Hgr9ognraUVyG0
toyml80g9Ju+GIH1xpSELhujRP1vyGXPei0m7eK2zh1EXC9X0ZNKi2qPTN0ualTvB3fWfUPAR5g6
ZjEYqjDCcJjK8qRmtRhbNQwDBuWgWc5ystnHxc5Ber810+ia/ZY1LHJ6YU4tUnR7FqXdWZ82ktHk
2QBzbVroyk8v6FD3nxlS2AfaSI2L6Sx1Kz2mjZOLLkE2mcVwNevixqyQT+nwVkvR3nW6hnyuitZj
Yio6dBfTvBexobJt6GmI7pxWwld4qEjxCT7wz92sz9e1NPdZVdaEz4P8S9LXLvf9rOknZ3m/n5X+
Ztb82SnWW2yswZWAqbe2VSM2xnlMkKMaRsteRQB9oOlT0CUtZgrAV1AFGDMYRtXuWGpMtSznOYTf
evmnodBj0JBBfedYLfOKIMW4zYlwevHdqlmj1qTTps/8aKMNg/5izpMPeR6CTOeBSHkejgzznMSa
JybjeXjSzHMUnDXFjpbZuT15HrMwYGHkkp7HL144N7echzL2PJ+xzqOahqENEBnGN2qe5CTnoU56
HvBY52HPYHnDhfut1atT546vMTk3fsXf+r+koh20QP1oeJRXb+afZWFde+4Oa7O2yIZDkAgs7EHX
kgVoEmbUqZlXdzo98ft0tKx5roIkucCbBFFropTNp5o7ZD3EHKTEGjtmRMtO3hrhVYzXgRazbPSI
kAF+DNoLV7Zz15n61nzWsRZu3HMhGufGuR1NnKvSDCuTxaY8V6jlgsUrXA994jLAp33BWYwhkyQ6
t0OU0DgApIK04eUYbEJ2BRvOLMW09CeHJ2ZpIvcti7jRmH9R8C2vZaIVxbqKEv+r1vVeoq/0ymy3
CdQin8hYGIUHSqxajxBOOUgxjTvJfK2J13UUe8U6lP0kmF7JMtmMOSQhOtrggFGDOeY499lU59sm
ERDl+FrNJ60uJmNlWW7GlCkrdO0qT3VNUlBZlk9pQcHR3mqCNl+TrHNvpw7bxIbZlGkcYxVL/Ewe
zVXtNmz6urxjMbYOacRxbNPVvIN11ebRtPYNcA8kEcZaXRY+yMm1xq1CAa5hdAfAbE6+ikIroqoJ
uhdzQk/OEYEptaZ37FwB+hVvoGBWU8RiT0uTvYsSL3OXZpYJa5VU5DumLoSZpylYRddpqFJ7aSUi
hYFegz0/YiizN0YdRvSBxQFQcAOEQrWPE0NF6yyw47nCb+K4jM6MUU1EFiUyQPcmeBaJ9rkpx2rU
Fgn3kXkyJhxRJEN6W7PuRwq6u5NbB6jRJamFS6crWZIiCbhqHgeD/dmESWyUz5ORl/FBjOQwN1I5
U3I02qi9t1PTeXGGsJi551y8G7JdSNXSnRgIF50xQxQtakyXvgrXkHDEM6Z2dhZplPZ30nHVa93E
1q73oMes/YyugkXph/weJ6/SYVM2vXGCnGfZN7J1jHuj1fgXimO1j5Y9Ag/toeAlu2YwTZR7L5Lm
VaJ5wWOpi/niTFMht14uMU0No00POVY5vptYlbyxivpE48gKFjwiVnJ1Fzwl6YMygoHZpQxC8xok
fJbd0s8T2PvBTlV32VLPyuYTvfbayTR3WFeIR2pfVRMs1sEsSKfomTf/8fNbVzyfeF91YZxsp+Sv
6ASS4yLOqowe5qzn1qlzhIGbsvG45ZuOXUHE/8cz1WypgxeGPTblwqpjEkIxBqPusiCSJhdICWLY
AKXTrTWENHN+aHAzLfmLeIAMgTHvk9uyeAxxhR78PkmAlsH64roYI/dFlRZvY2hw3FntoMtjxDY3
xdhQZumdz2qxlaVunEQQiWfShIwUYnIz5qHyo6A7Ujcb9aux8Yi2TN5obWuTj5VDsBjpjcmc66GT
erUT+thnTwoDgNwVoVZ8HadgfoZwXI1XnAPg/SQUX8sNJtTgSYN1SpsaVZDk8XjMjY2Kb5Oqlceg
yFJn5ZiNGfHYc2xv0cdm8NiktLKtc7PkNpm00Ar2dkkp6HvBA3k8EJLk3lDzE3udOhqf6IBYsmaR
UeJoNB2tZWEA35OV1up1tt4i/QwIM7jXRrbphyloG+NLK0s6VwpSmP0+USa/aigMSiRsFc3mcb4W
RL8scDdT1fft5QDH5S7tMV36ntzZxdAzD1N43pYZrXQTo6Osqi5Ld7AvAE7a1ToWZdEfoxFW59J3
ZBHfsxORX/SACQMyWiJ7ahSkwuuhel+wCozijimbkXwyKnSznsZtIrgPdWtBIo0FGjsqsUbqWAtr
9cpsX+uXuSdd5gMgqm5QbcJp23RCJutkmi0bidmm1vWAwuOcCrdmwCHqXncvbSO2qaRid0O9alzz
rcHLZEbXTF7Bs0P+b/bOZCtuZF3bt7JvQLUkhbqYppQdJBgwxtgTLWyM+r7X1Z9H6fL5IWHDX2dc
g2KVsTMlhaL5mrdp0rU2CjzAexgr9XZ2KmZ/YoyB7U3+RD2buoZVfR3MSbuNQ3rZLIdI3jHXs+Yq
R4aUDVYvZbxxIBEM+LB906m9ORqwyd7+YuoIeHiDGbTGheGnTo/ZTbNIZMAcyNZlJHibJA5gMCKB
WfLBrstQXOmjmlp7BHclzzWOSnCR1EoJ56Xx2TNo7nftRUqrjzQSXaxNs5gzeMOoqvupQnHKm8Cd
w+v2Q/vimHj82w7/oJKC0D24qf/eDidSLeqHx+J59eX3Z/7UUVTMhxGuANsPdkocdQz+oMQWABn9
Z5DqBnk4AmT/r46i/bXIrS1FDnIASjDPUGLWorChSyoffzss/BOY2CK+8CKlg2kDih/1a4fLGdJY
kpFnKbNKvVX1Fc5nAB9VLGkrSGy+7+teGnl9FquZTZk6oS2PiAENJpDGB8EOiPFTRn/AbldmMRll
cEb05STiIlfIka1ppbSsXIy9HSCWzbZL4nb0t4kTmVF0MIOhp1A981tIiT7LThpfVLjS1QwOqsu6
MTxofWZOKF0Pjq2scGFkj8IfJs/OYIZzOCRiSHE+AdnZq9/QckKNvbDaupw+xxWAGbF2jGCwryny
dqH8FEUtMCTJMkQuVkdxgQhB5CQx9axMgMvB3LqBWRBV/lt//P+qP+pMdWoD/33ZXBZ1G/7Hhamb
Ri8hln9/9O/VY5uQwrBFpNyBND4NGxbj36tnYTsuzGoUARaw7VEb5hmYBN0YkPNQbTCnXchff6qQ
4i/+qcZyE3ATSQPEP1k9tnpS+sG+CEoKnBRwBNiJiNNc3U4Qa6/TBvhG61Bm0mQS2t7cBOz9el8j
rdz2OEMhhmGH7OtYPxn7XM9Rs7fmBgMcer9EiGIeM9pvZhFUOyWlXVqvyj7HbVANRUMN2HQOkx+C
bC4WZWQTjDNyUgSgkx4Ti5aW2PeRxuQeUDFN6fmD4Qc/7Rwk6K5veeMghQ57oF73gMVLpOM054DX
rfFwjEzJLhTQ/LRwLDpWulNu9dQOSVsTZfmIWNKnJI7gTFetvOvoShO8liqVzLZxxptgNOVdFmnj
TR3rYu8nGQelKEe7Rik+T4qzwqwL5wwhoeaxcVTtNs0zgk8tzFH+yAPSIWAP4xUiu8uyXiSeV6U0
avTxkcXaqZrQbqk1mw+2jsh0USjdDrNI8WUenPEKq7Z61wiVno6VNdRd9YrnL+3Av4utlK+uMB9o
VraMm2Zbyrl5jI+5am4U+m3UpOU34cNwXo0UomByjFqBDItpPkzBYlrQBdyASThNIppyNVUE+m1M
3IhXuqBFvMImnafGMTVdsfWV30jaeHZkYokjugHzOcuIsvM8tMNLgVvXwel9bVUP0XgR+1G/pzGM
VHCEFQIGyct4WqOPxmc2AtvxmNf85vcLTdWAoz1AJfpO75Y33E8UM3mlTXOPZC4hxFAuOuaAhMgI
1CYlFkdehkco0K5GeLeny0TAk5JNoB7GuAyxwj2GmFn51F8MxXRtxQ6AtbaZ2e9KrCjUr7XVGGID
B+VIcZyfMGxmJNSeTIOM64YGqLmZ8tAy3NSP/LtZb+JrmyTcoC9aKW6pZfotbHr4ivAHmLXAdTfJ
SE9oA4mAb5p9nZ82dZWIO2ESIeSMjLg18Ge77ZkNeo1pLyCMlmRMTqbYQwPrjIvUtkkMyqBh8im4
jXg+lZpF8r9sHyn5ETGrbaldhsMC/rXlyAsG9ET4hPATvgtJXBJa59CDIjeRKWFhzxS1VhrL8lCU
JOS7o3uDEve6cEGMcN+/A80sQWleqAG1fegjzBhf65rHcSSSBsKg8O76ZZ5Mciy/0cwcrxzRin1m
duU3R2v4srYCOgyJSa5tA1LY1INRLg2t/FbDAb07TuFj4jcliPAUy2KPl0nqW/14M4iOIRkQ5L0a
wSpdZejXnxthTCljsZe9E7pk4NqiFIJ0zGHCdLaK3jjt20V6mSWBi0m0XRq5ZFjIj28puwgwN6Sz
s40OeGWWWQjpxdJujaHwsWzBC2NVNmh5r3BLw94D6CeYgWJCpF+ntUh5D8mDIcp4HOoB+wi0Of70
6qKI4KgqE0xBwdltEsppa7+GI9jrLU+NlDlVeV0Ve2wFJBDlVB7myuIVttHENxSlRjaUUh2knWo3
RMVxhf4QbhLNxH4azNJT09LeWVgObHDWkwdQAYonsB2rF5IEz0tUHwybGVsMyDUsCtTsa0AXK/KN
8SbTC7KyqRnLiyDu5DqasJcQE2v5qBbu5FDPSKNBhywi0MaecN7x4pYtQ1V9MDs4DDCCmTHelEx0
0LRhUn1LVL/aweMJKMeH+i2SfNolssIUnQic6vlzQ3xo7EYUrPdi5oGhMZG6KBJwipfqinbrq/Nc
ngWFTX9E5Blt5MyPccFQ0XLvDJ1Uux94S2nkGw9NpLM1a7jgCddHb2sxCZh5rXWD4oM6SFb4mGva
bdUtqYsJNs5DhpyIJwO2lmy0ppVrOtblt0H2rIjMqrTLqIBwk2Ua94NWJ4WMnpYzK1FLiwmqW83X
64HfPAYJeu1RaDK7YWzeimXu1ZGpxedG2dW7TrPVanOc8zTt+JDa8syuXi3zv6M4f9lFvbxDkIBE
VKjLttcP0K+v8VJJxo1Kayhd1U3reOS0y3yUCH66ZeXIOzRIeZG/t7S4gZbolfZShjEBVXd76H0V
+s0wLut1qSnalWGxulIAQqBLBoZXUPQ5rrisd4y7IW9HzR0rsw43x521KEJknREwqe60SOT53RAE
U/LVxH0xclOQf+j+9ANS9WFrPsgUdhHYjexaCzvddYL8MQ9Hua/LcjkMKmJ7yo8BO7BM6QgNMzDS
FVoHrGCncEq4PGGYa+EnKgfTju1HZAMIxI4QYoVac6GBtZ/leZYj24iOvT+StGJWmF7PcfoLyPQC
NEhbJbjjKEUbuzUzXhH16HmVdCN7LWsSD3K2GIw2hkUoCPSP9VhQSSkCjFiphnfqALFtGIlDRH2r
G86+kMtB1Fh5ehtNQXnOGeNcIWNCw5+6otjUlYhWyOi1l/CXi/OmS6mTO0H4JbIrE5Zc7n+vWn0N
tbM6NOhCuHVrU02JWQOrLsNUfdi17bRvwq48t2OA/f4VnYACjFn7Na+6DdX7aqNYtrwqUfBDMRIV
FprTXycrLRXOiSKz/D3l94xdla7F0qACdqN2Op49ZUYpRgfgQYICDsYCQOqWhZ7tNK3CijMySsdV
jERsklzv5YrKFpTdcTgz4zCBcWcPE/7VeYm40mTBU91JpmWN3FJnLr6woURf3Zg/OWNrnzWx5JgD
3bOLRqVENWDQsPjsiwtFtfJP0Zw4Z7buM3s1g6AkdIp14MQlHhnlSMEwsbvzeuzVCxuaCbZJijk+
IDcdf5ns7IsR21V6SKvGuK4Q2ISr2QyOa8y1hD0q+qdmquWP0IE72GDmu5qZZOvKtCOPNkq9mZRY
7tS+oqY1tpQBHVxEXMOIF5ORJsavEelcoDqd9RhDK9zM1MM5xyN1HUTDFynjcpNEdr2lqfAdQxXX
jGL7B9gv2KzIEHhaWukbgQvHSm/N+rpRGVZLos4BNG78GXf6rRLbaLUPDcKMUTgDN5lMt7C7bEPV
1tj6srcPpYwMVEWb20p2SryqLSIj3D6r4qKdfbaohIK8SaVmHRA3nHVZrZ3pTa3saAg2oMg641CI
WXUZtBw9kMr8PFo0HMeqctaKJFeMF5AMMyS5MqoY10fnTJkT7ROHAIgZo883gaNY+7QW03VQCNzJ
8e4ENlhvneWEEABH4a3IbmfSS8XSalK+Nf6IYlFZy4s5Nq+7KNM9SvLqDXYvzqGY0vaLPurKYcrK
FCcOx+ZzA7Hrj7ZPJXGJjiJRO+bVNo7a4j4mfCe86zA3Yn7rCXUy39nZg1Au1QWTyMlrewkEaGyO
pw1N0gyzB9t+UJLsflSqBM4o7Qu3r+tmo9hMmxUdE3U1Qavaqn4SuiY+NwDBI2CBZspBFITtvs/N
xzIMDIg84PO0UgXTA9JoD0BaPPi1Wlaej1vmPRHxmugaxgXNjtyj2Z+s28qwbnGf0C7Z+etsHRW0
3pRIt3dqM4IFCHF3afRp4qWl2nAIO8XWVqXAAwYDVsuhS+m1pnrTD0mKmix0DuqQdrVIcEa+NnYA
wjMj3aHl2QePbP7BJox16OIOjCXoqTkq1SHGhqsiEP4WU0CFjamOrJ2TdMOdkjQ6QtCWr1vAGrXQ
q8uWDCSs1jZt6IuoYV1QWBvuSstBuM0ClC7rKdnMczuDIF7AvbEdbSw9Vb8MwegwxXHWMZSzyFwC
PzZSFER+Suhgh6DKAAG3zVcoq915VjsXFrqMtNkxm8s6Xb2XQ2PVq47cpT1LqmqKvjZW2an7LLFk
e6ZUGjitHbsWWEspumqA4awQOQUkbv4nH1NAotkeAMVoRgUN0yplU/dh66CYrQwToPEVSLZZILMd
I83t6qmhqPjcKOoQULZQO/HNCTNOXb2LF9h95Ihggz2ImZ1Xas3vE3RPNU81M3oHfa1ThDQ7YtAQ
3C8tnqEhELH6paoSoSQ3nanaPN5M+qDd0oRIoc8OhOWSiv1H3Xj9ZemJ3BmRPf4DMqHSmreXv39W
euplEClCQTEsxyYLTyMw5o0bWknJcYcXQoUDQIZDGC2BB4h1003VkmVWIVlYVIz1TZZX7rMaxFsw
nqWz/gzfwB0t6hsGrr2GjcToIj34/I4Uk+Z3x46/oy7PgW/RG7lpKSbcNSTnzcrBtopkUNebRwPV
5T0IVtqaRxCGVrOZumDJl+iZkPT9G1tUol7dmGVQDqRRDqv01B7BBikLkaIKd6UVEFsEBVEz2L9h
qBG3BLHY5J9huznGHqdi3vUoiiY56w29v0EPVzYolA+IVagTeY5xjGi0lgREiQh/4QUQeEUB8L7U
xwlnVS9Zei7xmfGUzCfPTeylZzNR0nn8nU5E2TDedHQYmT5TOd6E0KAhdcXzeLWcwA+IN+EBODcO
KFbTLold3x8O/QTns7wnG6oQ7ZVFhOVV0TLUlCqaelvZitBk9urFTF/PAZXLnBm5e5Ys/Bbd6ZXP
qMKR9o5ZyG1NAKA/j9JitAKhEVeaM6xNCAf8L4PFT5CYU7A+JvZCL5eXTXtpPACpDaJdEVC7cCO7
pGUT9LAR5inj6qaekHZbCfR+GHAie3z/YU/QIEuFyaT+pVNngmxjnPpvdBC+o7LF1dgvJK8kKwox
fp2NuWvuAQPRRTAySdBe5GaaWKsB4bgPQFXHWf9yVRxVvbgRrI+4ixPC1BBadGr0NoBTIgG1+nkT
RF4nNZ9GrNKEATmZX26jBRt03pbwFNal1fiXARqrt47a0TakG9h/sHu8MSzQL4RJ447yn326eeSi
A6EfG8EuVxa3q5Egeb0YW4IFXGzC2kgnQeiymRyCFlv57f2XclxwJ2PC5dFzc1A5A0hxAp/LJzvp
8n5mTOjvQ1zUqgmCVVM5WcwLCSdkzhFTccRtApB8ry1ZKroiRnzeg+nRPxkWbUVgMkkbhLt2KTSV
VZDHOLmZpPrHxubxhv/t33zUv4Ex+OzVviL5U9hEJL2NfnYvALSg7PjYnyK0hlYnvUX2HE4G6rwc
C38XoW3xl03jRqXyy1aEFBKIsmdQWFygkR6DzfibtvinCG0gko4an8n0BU8ER/KfyT0tuqQvTgeg
h8sZSpq2qOYCD3x5bIEqgXRZRD1CjIHm6WEEwnzOpWu27f1kJT8cFaJfWcztGhSkpJprNatxnBIa
zElJhu7cOr2TnClpm1yMXXogQSZSUyzQrLXAJU5ZBDyhKU+dATEYJg5c/0z14A0IejOV3JTUnoCy
dNIFm3ld0pTxYNbnq9hwkrVWcUYFGtcEQdW7McIdrgrTwouT5p5AGSoEiWpFwuZaZvzDUkrVS3EP
wJ0LZgDE/5qDtr7XqK+7s9mLVQweaJ359p0yqDex0H70NZe3zPI+LYA9By1CNIUNzsbSyc9RGdDz
JRkrx3at1tW9pcWYKiwyQLhEilUO3oLzIVe9XrH3de3s2bhaIDwMDVsJdj6ZWM1x8qQnCkLSFkNZ
OHXjqRVfmvYMgYFMDo/AMKjOPouaxiNj5jxUuYe+NGA9+TpgnlAvdrGBilORQiWwKou/TYzrwcHG
bPkkbocOlpYdYjP6QimbGIIyFe3abLWZjCW9llPar9OGS4LoMc9No+L2B4GnY8UNidJKPHUOviTN
4mJoL0SpIn+a8goYg1h8Af0JMk0ygaySWKD5qaIxDvIWEzDky/O0dBusZlAxAK4GzsRZFWoPgTOW
za3v+Al6VfACKXDMm3JW593gMHqCxjxdbnvvaMrtcZJEFa5+k1E1lGeYBwBqrqm4YA2qylu64z2I
IX5kqnndR9xUECfGHs4cnce4a5AQz8YzW1JJ6Gnie2rLv0Uw4zJqNPjfRaOv7R7nU8u3gJUBZsAK
DlxVZpqXzOenUSbwcNDYWKVD9IMgj3c/86eYbXXVa0ruDa3ToGJR8JmMUWo06IG6Xc4XatVICmj1
/fF9Z4GTU81lWrUDzxuETBlbopJTVHQuO3IKwuTgiUXOrKYvCS6F2enYTJViWQtB1U5f0pA/Wk78
A51E3j+H5wqGTXTZMVxIMtxOILnWQ8U6QZnWPxucbL4IIee59ErubfyWXcvmDTsdk4nM9fI4GHnJ
ohgU/ill+h8ZamNrH9DKWao35trwmbRp0vhnE7TKm6zBnUNHt4MwZupd0WJMNWc6FpWkBF5G68Kj
/cE9BGFz7jTKuA3AVR9E5dM6aWd9ndgsSkrgh2jA7RByLrMMzRtwWXly4egsVKGyETg9nBbYOela
ZZ2gnRVd96F5eVxeIp5n2jidvh4N5DQ6BCxWRQcvFm/NxjNCmZwFoZpvR9g8615blmECfPn4bpWM
x1f8/GBRkmALYQrkZSVBSTI2x1k+28m8KUjQtxDokjXILrlB5yL1BoXpfJwAywxniV9HxpxT5mUb
kz3r25jlvDu+5rYbBOuAaUQDpaVJpvkPJWngziSudWcSHzfvNGXnS8HuZUY/oDDxCrTkCSYo5raC
1aMqrOZMtNLVc80/U+suP5BIj5fmaG6xNv2hBLSrqTTlBz/BqJAKXuR2s6rsApN1SlqnHSYqTRuy
V8TXqNUelEZy9Zzty44zKPlsDsDeQIUYWxmmDdyikS/Tht5F7M9y8Y4UmJyazaqiaLIfLDxPgfI5
3hhlKtJtplgracCmGGhsbjTwPMVO5Nbv9OtQYLk7a/m0BYSj05HoexfptxL3Ym5h6DRWkV0WO3rn
/LAxMz7uTboc9fVx0QK67GHVKrd8d3hl1kyJ2jSu9WnRw/MVZ2XCgeDYwdt0qsZy08CcwjE0VT2w
nzm4cAOvRnyyARQwNBMr4DjWljQTL8n4yk7jvRo50FZjbBtPIcxepQvV0E4V/0qH2OZZRZVuHb96
qmx+nXXxmkVfroKI/cRQ0mij1fVPR1XMda4A8cUx5I58v1gnSnilDN2ljRbLiogtOJuikWxGSZtU
ox0yqWs9GdCtykcF+SWSie+JmWaYjBARWGuE7LGQnOc6/qHHxehBcaT2iUPzrRkkqdc4QxlfTJQS
z6IBB+eVUMGOrvxAM7p1rCKFERZRe0WBxkJjEBoWpPT6t+9m0qprZDJw44Q4ijOnVVXKWel3D0pb
FI+oIf40kNzuVoEYkyenEsoMHFmZ58Zl+6fYmtfFBtTZKMtVrVQ0hWJsMLPY6BUv4CjyIO/4FxI3
Q2WTCqoAl/AkHHsPSrDJdi1VJeWebnXvhogbpgc/pA+3qutUs9xqSqro0uwtfVrT4/WVm7wjfAht
6/ZZKHb1O5x+rjB5GuMT1xgWQT6gJRWmijhJx1Op6LOB5uLOjib4eHP4FC2WsSJ3brsaR0ATOAp+
HMz0968LPOA0niKngLMMsVS1KeS8jKfgKuiTbMtupw3HzY41KKLkMR8Q1h7L5On9q51CCI5PSecD
VQwM3lAHfXm1eQgUA/mibpdOTJAlEpAJkgABFPTfz/VvEvBBEgDf7F00ivcrfRge6l/PQVy/P/Mn
AzDBcEmoRdDXSAOOYf6fDMAkOcDJjVzwD1DrDwpF/sXUJTuQiFqAYV3Shj8oFFRiDeRHVNRedXJq
9R+hUDT5qjwEjAyJlEXEn8QCDYiXUyiJiYm0WVY7+hfhPaJSeelZpUDVakRFjqpGnbWbspqu0kKf
BzcNCaqgUaE2qpYbNEpyYk4xa/d+hCAywvDgugFbDr/G1lKW0z2G0Y5ERxrgAewoChjf9LuhYN8t
kB1CfFg224nG+BrxQLBfDGK084nJPsctB94Ip/8yjU0IrU5H3GiD8TRcP87qM0tTE0ICDncK2iF8
V9xlwZrX52PFMWhlArGK0Yy3Azenr0RtlXt7jvw9her2JpeYsdMX+07fRLmP0ozzp8opcFVjDglD
DwDjEyqXTlN+mkc2iWxsrmlZPeKswUP6PCkomGvWerKR4HY8IAYKoO683QK4eCrR1xhWqmxBlauk
TmZJ2wgMDN7mM1cPe/3aEqMKUr69wDZBrDqdIENzblGPvNB8mYNqyD+DadMOI4cAUgU5XSa0JvmR
0TzIDoZT3vsYFbuz1o5oKwbfCbD3CwN+tch2YDj4vTKJ/TBQ/DyC2PiWpIRHpQhD2gQl4tVgk12M
3lym4O0oaNTZUFISn6J931Ury+SrZUWl3p5t9RMQFAX6UIKoYCPTu4Jk7g78KzHREvlXgP831NtG
JEFwbgzV7KmZyysooPPOpyzeGlP1UBhafYtaItCRCEy2K8oUTK1eXsHq2/nODDzbbKtPUx/W9ziw
31pNVGwp1UZbDVbFwfITez3bUtvJynLWqKt9SedSwaRdDF8CwwdEmCG3Q4iyyNhKv/upqFVNV69S
xXWL5OplFsEC8gY9HElOwmpep2H+WcCOXIsagTBPL8RNk7aITjnYnQsRApBm5aziqI+8MAVJ3Ge4
oW9pZkKoD0pNI0CYwDdoJraZaLQWlzqdifMAsYduM9SK+QUcd3RuZJb63eDBvQbx3cX1To8Q5QIJ
vdEcKEUADib1fJiQI90XKEKgShe30xMOkrOydaDF+U+TtIeLVK8FLd6cUDWlaou6Hl3UMou1z8cj
5d+N/oONXuJV9+zwfVXtge505Er/p3j6D8jdLvvxkgH9+/N/Nn2AtipbvQP48Fj14eD+s+njJ6lR
E2JXh0q47Pv/W/YRDvBcA5CsBGXITvcce+j8tbhMYwL5N5rxH/q3nEQppOUmyGLNpA9OXWp58ufN
iglHMA0Kh7pLxkVg7wnB5U/j5IOEWJoS+S6L1LOG9j0L6V5L2NlE80GctNTEXgRKyy0QnSHMzTNj
Ibj8/bMOToGceek4gbor6km99I37CeZk0yfrPEONVkeTua06T5ZBvjJS/6IsA0DEupGvB/2bQW1h
DknoALmr8H7ofW1amYBVgrOxSN8ZZr8inF7Kt0v//KeBCktUkH3n4UpJvsfUApb/nQyU9qPpC2Zs
2yhDIVlZT6bcGUVLph4k1oEUN8d7Vm0JlsEQCeGpCRxAkd9NTgKOXhO7EYGRTKCgoYvzoINWF8Xz
tdE2C36ZmoyjXLCgCd7RuQYXeUCH4Zqdp1uPiPPrCuIdlvymCWXdBPYDqDyqU7EGY0+4mI/SQJMA
OcN1V6ReP2YudJybUUHhsgKqAoNt3bfld84rdRul3VXQ2OeUyH7MCIi3ceJW1pBurZnbGFpa/yBT
fmajoW6T2EH/SB1+5kbgBVbXHHIoTRTrSpfqOxebN1EiPgUZZuH/bi5H2dcPNpdFNY4Q7r+DmjdQ
AaLHh+dR5N+f+XtHcdS/+Arad8gmYJJypG//QTPjeibANy/QfoRlj/p3f+JIuAAglQ02FFWoOjnR
/8aRuvEX7tJsUQ4USQs3zn9kd/hqNVswAARgWpMYS7zqfgbwSGanLLqdrncocgCdAvpr6KE8GJ2g
iWibdX5AgxhNChlSWXg2Vm8keydpEI2cpVgOQ0LFtfG1z3xVAezr57HdDp3er+0ps9ZapKeId0XZ
7v9wKeRxiXENg6E72bZqEfeaht/flngGHKOuDdQxwZ1AeK/+D0/FUEoMUbSlE7Ckms92yFkbk5Id
CrGccYwQC5orr27bxG1Hu9u//1QLef1ZS+o4gPTDVEMVTAoEhl9eCqGJLklNBlCCFAYjrEPI66yn
sbc8IKto9xaEt4sWtot2QPFBS5Y5+MbFKagtsxhY/clztqim+aJs261SGGBp4zFc55pRfdAHfz1H
TMSM8eGktKIL0q6Xj9ggYN70ld9ta7Qna+YmCLmVOVZ2v47BCmQfPNRJm5kRxcKWtaWTuzFNjn2X
Zy8PBV5dhBrwGupdLYTH+pct9CcnKDICt+zc8iG4vP8OXw8jksj4cdI40gztVSLnhxTJHFF04D5N
xE9h9/GyZLF+/yrLML2cKVyF8xqDevyjTLEM87PnAoNN7FAl3VZE/bQSinKg2PBp0nQaIWpmfvBM
b43i86udvDQYHEEF+qfbOiA9Vz6y80GfIUYQJwDUgf+t6iT58f4D6osQxekTOujQmEuPlgnJvv38
CacwsZxhYNlpoWV8QhsxvQvUjuSqmJEpKgKyzurGRpLXrej+P1qt6pyVpth1QV1s+072625EWbYe
7PLnOAplP4FzXel+W32e62kFQSJwtaSaP9iYtDfeP0azNr1GLJDobC9//+zNOA0F+KJlGUVDZyQr
Y9GKp1Vn9mtFEeSajQZWyCkGTzB6ax0Fsu/qbI8USJ3yEiVv4QZlID9BS/371P+vgjHmm7fG/rys
cEzETlEAsUwRDTDTFiGKcK37oemh4DJCxbfaNXbLzZcxErGrDpZMPUAo+dmYx/UB9n2fkHmTM/Zq
Dr2yiVfVhC2tgAru+blDYRVMO1GXXl/q1qzsZ6qtHvJiSH7aJokp9fu7Dh74Xds7viuhlLu1odgb
IXSww6J2iHXGszapG/p5WJK3PobnY2qeh0byBT4mhU1jEqtJzMmmpl5Ba6D9BNp13lWRPRM+Us8e
/dQ/qOGkflXqqt8CqldIHKcn3HxvWqdNVhLVxx0YtPYT35xv3p+trxeIYwI7QmbJwLvtFZRhbOgB
mER326gJL5WkC1GOUfdaNN52s1+uO+Cz/3hJckVIxqCdFlqVPFkeEgyqA2Ky3dY+oNrGWCOU/VPm
xqEWSCZABr5//wlf79to0bPbQGbETRls/8tp3QSyz3k37Tae0hL5aWPYA2GCpafXk/f+pV5PU1hf
i/Xc0bQZ+PnLSwUdFZMBfaKtdHrzvAB9ty+Gzv5gAN+8imE59BKRD2AMX14lgzKZtQMDqFi1Wq8q
Wyo7JAucq/cfRnu9j/E0CAs7RIsA5MyT6yTIH2hWSXlthJzkofsYb6wxQ66pyQtovo1NSMHEp4iN
tInzFXb5tjCS6KNtSfA4L7dTBwd4zJDwJYDgZZy8v6oqjDnq7WZroCpLy1KmG/Qd2o0xtJFDm202
9ujSyXWtFr/SYrBvkjYetmAT+4tsnnH+SAr/gzdwajTI4cw9oThExRO/LPM04ggMRVH8UDTbPOjy
vVqba6l2cPmRtL300Uh1QxviTYrAgZtWyvSpKyO8aejMeNLJC3pj6a9UG/vLxBm9eR6+IxSpu1XU
lp8xhoMy00bmzgzC4Syf0kt0Zz8KLt5+ADgSAtYgSPalRP18r/e1WmZg8BnUcLoJcLfZdIMRfAnZ
xSA82LHn4yHkZrbVcmLV2RlyGQ9OZN82tSX3Xen77ojLwRpVBXldzHZx62D8NOMwcCYcOomoEEx0
+2OYMXGbbpAbKT8Ij7Tltb+aFs+e4GR24obKDRcTxV/IT2f+LPOzFnC2Fyuq10Y1m3xHOTiOVbhu
lCqbEmXf9xfIKTDy9yygZ0IB3NE1rMFeDqIzsZegg9RsYyXEEb3DwekHYdWVbTQQfKX6WKT9+BWf
wPAnilxt1wduXOgUUEVIgz9oNrqKD0wNwgwmkzZkWEl2pRtywS2F59g14kD7NUGmYau0P9v0qE01
RodHkV+Rua93Wm+qB8XU0t1cFA8AHj5bExcKYKphiyEb84Mxfx26OdbCeDWIECzYjydDTjfBTnwQ
GdsqTr/m/tbu49RTZvDM9JDFB3HiG9u2RQxM5onbMLHiSUYBkdCii6jBnQzyJ4mcGac29WgDJZkP
rrR808lM4kqLGJ1BSUQ9DewxQetK2zeZSXVwm2gi+BqnMzyybCKbMKcEUQfVUpwz39I+cnp74/S1
VAOOsRAcTATeL2dQG6AH78cqJHV7+oaW2tVoVzeq4T+ldvuDlNfy3p+yx9jz1bOaEPg1nYSbBtDL
C8peacYoYsqShuc3nSDumXzhwaUEotHPv9AQuS2idPSCqSS4MUAK9E1QI34+f7B63pxMCBBwshwN
1U+29ahrezPsWb+DU7SeWto0TxCBAuNfBK4Zxk/vP/kbhya2AJRSKRSaKkn+ywe3ZIyBVjfykqca
qEmp+e7cOeEHOeKb46tRyWAmMbwww19eBmpYUGhG2WzJkWvX6ccQsfdYghlCpn1Az8sN0KzxlKmi
e+FDbKQakKIcpZzPs/XhHvnWGiIe4XGJnJHTPHnb2IrRKcnVejtpRvijtOkpgMYJ2k9NpJmon1mF
ZblFxxfgPrVQOHurSk0P7QSMyPDwCRPQPtNwAekZ4IDetp3mmoHZPL7/bt64TfxSTSrZS/Xn1QIs
gRW1pWNUW8wE6msJAh3iju2fQ/yj4PW/NbGr3xP9eVP/dZnCgchC/gDQ3gaocTIgw4RLW9gkvJ4e
hAN6esiY1PPF1E+wGTIN5nCT5dvQbvVVkXTqBxvNG88JKAsYPZsMEdUpkD5UnGgyc6vaQrauN52B
nI7RVHJN1hD980sBGjXQa8QD13FOq0xRrDVlVdvVFnZT9mSIyb4Gpg7RQbHUj17fG5sYr4+yCCEi
uoaneaM+I3tcdLy+iDas59P//YxlER54agPKeMwokRewoN5/k2+MpVwEYMHhYyAPOeHlQgsCNUeZ
0Ky2CDaB6DORHYggNnm1qjcfXEoeHT5Pdk0iDRWhEqRKAMydTBsnMYoumDVenLFwWqwJQWocn4xh
9lCjylPXqhvds4jJU7cS/aBsyBy7cT2PtsgwKDCZSpGgxrj3mym907F+gDSUJ07nIRlkQZ32q/AB
xW7lIkFYogHzh9P9qskXKfScRxLgSQtaK7I3B20zoAQ6nZuLix2sJHteo1kZxvQbQu3W6nQ4GKkx
mvom1rLRWmMgEerwhCCt/rJiiiXBqiSD+R/2zmQ5ciRN0u/Sd5RgX0Sm5+C7OxcnnXtcIMEgiR0G
wAADYE8/H5i1ZGZ3V0/d61KSlZLh4QtgMNNf9dP0ako7J950WdGlTxLyw3wsa9S1PVS0yt0aZmOd
Kg0HaC+HQslbr8Jpc+P2wxzf+xKa2Y7/b4wgpzpZ4IV0o6Le1IVyk5swqBf8tueIfDd4bfmgDKbL
p642xMHqCjLsc9LZpG7S7LmSBGIAGJFEPMK6TnAyDkIUu7kgCrqtmrnurnPFcRKXbdQwj5AkECnn
VN48bYQCtHdVGRCK0B2qhkBm5S2bq4wql58BPKcZiHk/rXWIl+eh8Yi470Fi5fPdGAfqoc7crt/O
RhsFF1NUYbKlKDEZjmxip10bTlGG8ysB5QhlRmsiNnm0rzH8CuIqi/xnGjZTo1Z64RPxr3I9lRXh
Pummirlv03jY1oZ7dN7doLzmJW7s8pVsuXnpax/sJVSCg7H0YzptdB7KeVe3cjfhwrzEASKqS7oB
mG+2t91i3BRRwVxrUCdHzSPGSvkzL3y49YNNCVM+OTtYcx+uY4xbJk74sNwu2Pt0J2wjN/P3bqQF
vlRXr3KsC1cSgPZ70MMocIcZz1+gfpKCpzvRWVq2pnnlZSWRHX9LCqm986KKxDcNi3egb/Qaorx1
FZISv3FGfg9OC5Q5QmGYtOPtPcO6zzLyWkwH42McucV6youBTQXDdUJCAHtloO/hhBzb3u1XGVlN
/qc4F6hL0+h2p2Ka7I02i3Y79V25ytNYgVWm02J00g2z9PCO2PkFitu0tcYwJVXX0WPAzJzM42zv
NVvXS5yUzQ/si+Y1BAwcwT291pPZd1++0VJ8CBdlEyJY73E3eMeujPQqoPz26JiZfZRzgD9gUiem
8bvMayz6webXCl7ca53Fh8BzH7JhfoXZxyjRjBDqhvi1ouCy4w6swqMaAtDtRguT0DMeoRfFJxk7
2cZPRIhH1TX4HVq9cvNIb1LODZesM9Rdm3ThRQ6MGUdHXvdzHICyADM4G/WnbMfmAM8hO2SyAslZ
herLlf2wmjMKLbEpqqzXM0jVtoZMzSDR7MjQiyzqaUYOCVHZXDwvFU6gaRO0nCN4lLNIUNI6vmEs
KW7bkassnzEDh4V1pFF4BtDYCzwZOrziH8R24obYxr9V4Ia/FeLSGBrIFg5M7FKWq6XdvRmWs6P7
lZyOAdCu2QdL2e4U0OF1cIrSHjZV2AUAAwTz7WvD8HE9FkHYJatyVp5xQp41AVuIFh5hxzdFTUld
ksms1GOKqn9nlzlFZ1VdZMcxp2/OAwR6a412uCN/MGrSuIhxaSbNd9+M2U+i7zbbQJvlVcOj71cv
w8TH4pkAKB69zMEcJP0HVxXxV4S4T2dyTZnz6jtBoOdwemLOVH11TYchfgbx8gMyI/W7Q+Odo9pu
3kBFjhvIiPO+Z7/0GNIJ8qYkrzMbJVjD3m5PmkzbOptq92i7jnxBhVtcPjLVC0uXKwH3a/uaAnz9
1TZuAaLEaF+D1s4OOVSp8kjFUrHLwMG9eAJyJGaccdz4hCv7zaAlNwf0Bg82Hl7qxPe9dc527wgh
kZ4QJOQtp9Ko2xWcm6pD1YBKBnKRqOc2Hhcmp4dfaBUli8tQmC7O5orRIA05ablcg8Z4okEofYDR
Va5E0A1QZfk6jWc8mnxEgnVRepXYmrfqF+pZ2dMw3iRxnJyzkFofOpH1jcDHf+2mLq9KJezeNTP/
QfW2pwEpBO3Jb9L0DCCv+YF0Z28RzrxzQozO39ai0qTEp2I3ismt9kEQJOeybFSwbrzUO3MTtdxU
/LqI8O2pgAZ2DjDBv3cq6e5JrVuPMuP7zvKCeh1ohvsw5Us1One+Mrg07xuva9695YS5rn1N9rpo
4V3wzWYHb6LkxDcgqFid257ggUAIUbJ57+eme1Up36sOgvaXsBIMY3pI+VqhEManBDUC61cvP8jk
emdXt8ZIcVCUnCfIY6CPfDoCP4CauhidGnt0XCbqIyCNa4vHcrMZI6blBpGWFpMObBVWqCHGUS1M
67GxZoqePRE/NX5Kta43iB9+QvqhXzomsAFo6D4qZGvnDbiokz5sKfI2400CQfZqqVo4UCQ6PYVG
zrqYxNnhO7ABSSk5DxiiNFEaj/1/jQnx7DpteeyKBUlKPrgAxF6QEEirnv8AV3ZIn81Y9ptcN5ga
NPc5MlYtXyjOmb/CQMmPIHG9dRzP5dHq+uUqH6jMY+Ziew9Zlapn7BFDsB4Fb7L0zOIS9l3z08lT
/4EoPf1GTT2m59mvanokAcG9luS270JfDs8mFcwXoC/uecmvX3vY5S+tq/iLCmPeodhB2mGTkZ5d
ybcW5ul8ZybG/GVqwCHGBEIUI18YX2CeusfWTHH3OyOvKHRxYSM9PUUmExk9wnY9aeBx6dYgT/cV
0Dxcr2PikEAtPEt2K8g21FD7hiDJQxd3RVma4ccXN+WAsWoG2c7HSik/5bNzJWmj7Vh6fZcrjTUr
PdOyC2ijsrS4M5wcEVfNJb+1KcNUHX1HhPU6kv2XwO8IDd+s8nVbje0X1XDWs5vAZFSjtD6JAwHk
5tZr71kt9JewwQWsqSimIrrLveETJqT2+M2wRBpNw9fi8ySXe3MsrA6EAggVbZfGJepNVrPAp/q6
Cdv7Pq4R/lu7ue3V3LxNlADdW32YnGMfWE0fkRnA9gxrWaYLUxLk2bGmDPOlxQ5o3ndGKFnjIQjQ
gjULvrzQCW44E8e7ZiDJT+mbHaCb9s7AQNgJfxDV7W9jsC97VZbq8I29aXlsXjtkRGh7hA1157uy
2QGgl09do8C84sbuE8G/kk1DYF81zrsXJd7ObcjbwvTCYe5MeBOV4+8tvq8VE013U+DPAvTjVPPF
qrrp7htWtjSkPttlAkrKEA+A+m6o3yFlYpoZZ5mu24wwtW9b9B9zSNUJPk3HX1v4Z3MESgtwmXXD
IQU6mZlxMxEgO9ezFz8ABxDHaMqGhEW30hTxMGxsceUevaw/qXkuNxn35o2ZjN01dXA1SRScQmz1
2QJGjP+QUH9GHrzjIqihA1EX9qHo6Gwz02JJo55BO7Ld1r5FdKR3r6Ypd1/Yb8NkMCfxHo3LnElQ
rIqyfGxjETAtS9mQqlzML+E0JhezTsddMDUHX5TtJgJ9lawy4lrhqH+i/1VvRYV3k2cORyvbIOya
+5xw1sE8u+k6LwqwGIbprFRs0B1RuSQrgO9epdZSVU2p5h3xO3Pv5Ll8GFrDZ6mLkssg+UsGLw7u
BhitK4RpfESUev6Mssh/hrxdHrIseJ6Ame2RS1P2gWzlVtXikxTZmN5kIcKNsOxjjCv3PTXjcadC
w9zTKUVrdUbd+6i4GWWT0ipaIBUm8+xfsblwX3LX29feJHbcTizAIud0mvgYMiOKP79UMdgvE0Cs
26iKNK6Fyn1sKLJaT+xhdx5r11UVy/J5wQrcz4pfyVNyancB+8JV13eksumr+9SMmmz4YH122+Zc
BrQ9JXArppqAbtMAgnCrXK4n8hCQwuFAaGyyQ+CzoXeT/CdxbxJJ2Od6at7o/XYNvLoUCWrTfumh
gu+4FXfQW8lDMWNjQxYMt5XrxU9wcdlmuIoansAkbhn22SU0O02CxQmv5IxPNzbTbUpMe1U4nXeu
Gk+IdTpGFkOLUh/nWagbH/xEzR7NKLjh/JrGpSmHBu4A4QKlveCVu5pjaWnk3EbM0NQN1In8tbJd
f+9ZCPBIa4Inlm4QGobMmO6i2GmvZ8TsJZ+mMngwHbWD0ZiZF3Lnpy4PpkOsemA+srgBqgnbp8YB
J10B1YcBz0KI6OFx5vPKh3NoTUb0GjEz5ZwD3rFeuOmeXrd0/y6lDikZN9Vbr5Cqu6Owg3dL+59x
J9of7FjLH6WkiyDHIfcUlEDdHTWQHocScz/77FjKubMYeke9XicTlH22Q9MBOLbKToYjRnejAlMG
h6BYGIS164uzMS5EBtLY4oyoQkrHDnPKnodyYd0Jy8t/VFVe39vksu9Bn8FQ+aZ95ekIy0DaJqVe
efrRAt8iKGfwgi0ugJPX5eKBEEg4vnbsePjdMg45UH5LnhIG1LSygfOmF84bT0uUO11aAJIJ8ThH
EWf2I/tjTqZg9NxTUkwgHAsKU+SwMLBgklVfBWwmEDO6j3+YMrfei2+8sFhAiJIo+w+oYBzC3Tgz
onWjoW4ZXmNUZBlVhIO68OqHsp1YGGQ6jWIXJL0SOzcaUTRgp3J5pPbABkfUIPlTfwDKHiUi/uFZ
Hn8maiYwAiCYCm8DNIrLqHbmvtgoybsEM41dalPj0go4xEz8pXnm1vIq017PudGslZWux2ak957N
K6+sDYrYju6I+AlyKpqNvTEvW4CeCSkdOBMghjw13XrjQyAbYAVSPk6xBI+6dTkN8Q/VqRSf5pAt
mdXEq77sYeBvHVoHouHoOtGP375MTxnJsHIYT5KKkybOtABOCWTNxBd7WJ8JkCuqLdZoQXz1JPbr
Bw//WL0vsxy5B2dBxgGzmCjotlCBznbrTdau97R3NXe9ePBGHBX8hMxb12Pc8vmKwEMP6RqzyK8k
Lga1r4BDpTfEB9WX8lFmsfxTAHLjG1b6CP7Bpr4UYD/V1cF9EUQtYVm4g4+EFeWMxdSl68Ad+NAH
W5m8R3blvOsM+AmnvHmqDeZ/wD3X/Cbcu2j/6bxBl+FbVKCgehYJuCMZp5dsxZuFbyGV/Mzogij3
0dDBiB8ijOmQ2zN7Wpcm9w/8SI/ARY3+dxohq9FbKnp2dF7qNvnR9DtElI7ZCmnMNvM6bnWXAzcP
YZ5f62oAKrSqiXtXa1tTD3ROlWNSXMQWsqRQsyeBZ6dPVk49fFsK88RMujuM1UDeNwknEmNF9qx1
Oj6NNjGyb+nx3wb3/82DCimHecbf9fb/4nDff4ou+aOp3frtz/zDg7rkhCJMRjbY6W9s7t88qN5f
qKBFmgjw+Cx+RUZhf/Ogov3+Lbtk/gXDA9QVSsGg91Cv/H//zx9cRPJP///3wwD874jEv9N1OfJg
sefFTCRk1Gt/EZl/53iKbEFXggAC5ITJ21ik06qXrEMMCV9rw3/oqM2rF90nrKxXtjQWdKx5R0Ly
1C8aEbt6++hQN3yUi4JU0yNzjBZVCT86vfeL0tSrqPuaY1yQYtGhxKJIGYs2xUjZvBjfetWiXDkl
uloTZtkuNuppOyTBhWRUeDfqjLhND8h1zEZebViOjG27lYZNx+SiliFqrVtVnWdpe/gGUNRypLVu
0dg8gB4bEYzB2prH4dHOIkjTiyqXLvqci1A3Loqd7JMX361gSS5qXrDoev2i8OWL1mcuqp/lS8SW
RQlkK791kQYHJMJh0QrnRTWskA/FYEEdQPumhAdtMVtUxmLRG51FeQRRxhZhUSO7RZccF4VydFFJ
yBp99It66S46ZrYommxqftrsIBeZ7sSTglKDDKEyX5RQ3dfJll91NS4qaYVc2iOborKc40VHHYx2
OjQOmtwUCOsSLXprvyiv+HJ2VTTeE3aqLgWul+usDLthlTPRLjjYlTdd4yTjFmoPq0zdFq8DJ8Z7
BvXwAaTRrx2nZhvcJKp7aB0jfiBO6V25xcwzzai87kBtccuq02S3UKfH1zhiucSoGj1PlVNQ7ygG
hBuB6pWqiAaHEe4AfVnhfTCOrHOlw0aitGk76B2AyQH8O58NjSqf66KGtVCi9Jt2Ccym/n7iw8Us
donZdNeIReEGoL/FlxfZg8V5E/1A2k1NOi2OidYJsz4tZKl21YZ10FLvW4zfpLqMTL8QVzMDj509
BvmPwGZ/sZnipN4yiANjvLTqhDCYt1OViQeaqq1bx58gvy5PALa7+Y+mWdiUkRXwyMoKbe2qnJbq
HqHxbvYUtAG6Pmpgxu5Ea4Xk9xur7uD0I9N1D/vnpmtDmsTAYz7PyFzv3QDYyqDBJweA2POtdoL/
JlULfHkw1gjTII/IhUBzFR4mv56XxDMxDxuzhk1rJ1ya3gBp4uBJxYdv52S+UJXOe6yEySnKH9hh
khwp1s7M70AdOS9IAA50G6z4miaQat5MfdW8pdx/+8xnvoYFkhNvPGXQSoO0L58bq85uqTzggdhq
tbcGp/n0Js6T8SCa8/c7y3Hnhjs1WLx8advBfaJTJAKv8/y1E6fhvTst0pjRV1/lslGrvXp4lLk7
QpKnRmGdLR/8+6DKxLJ/CqaK/7CMc/voKRaRDTbdeWtGErvg6OY/vq80Qo78bRq7G3S7mfNKNgEK
Dd1InMeGbr8VmzM0TgSWZ7Zr9stYL3OMvnKDewpc3aNYCMMWezqS/JxK7GQI3EOj+FGHwa1PUB/4
1WzS+7uSdqyPPkiz29oU/hlq2HzVxpZ9ic08vIytUW1TrkhaZCMv/hHZ6GSjV6XIS/HEC6mQvzGY
gcGWSWo8CI3rUfvsemmhjfaCCN32+9eqxko8ZMkMGksWcd2vLVyYa0HECFyB611brXRjGBckShHX
eflhZIwblBNXPaA/ojPhW4jkt7ZbAR4t17eyTm8VSdTBkI+qZa+uPPGjptklqfx5HYU3dj9wrk/u
UmWSOO3TQ5V3X94YXUUOJ5KeHXFtB5dJOpweUriA+jnppL/xzCm89hH4EY89YjXGym5msQ7tWlx6
nmPDyl581VZm+Rd2P0/SyiH0KtbwwgqTjR80ztoKcD9m1XybTdFmnPKNjMXJqYP4zuqN6WxNNmUf
ImFaM4Z+uvdFAZgjUu6W9kdEFaa9B6UIU/aAGMFOUb5SJ9OaZpvPtlbiqk2z5irXg9zWdmUdsdn+
6qz+UIfePY/Jcl2owWFfmsRvRmK/SiP8NQ9YzXVNy1WpSmCjc40RuHLmDQdnjpG0yah14/viYXBc
d01OV39UCkKgZv62TNl3TT891PnQnKKgQAjogUR6mh84863d1A7xKh/ngkyH9eTPbNrZtB6Laa6O
NOk4h5FFeGOGQ0POqYiJwtL8m+hmZwjx1poDE8NamNegIoNTx4XP9MI3N56K30yratfAO1aDNX/B
1bw0WRh8Ao5EAh1b80eAaLexiuKxx9D4k5ZlZ8u9TiGQ09JuNNQMIBC6T1RKuO1Kac164KjykFAk
z+Y1NN21Rl2K4oe2kh/p3Mdbsw7nW4apIyGOhFHMuu5t+uFr3Q1brez6Wlj+bcmaf89lRT+7H1t3
Dg3i29EeatJz8EgPRV00G1caCiqM3XxKuG5baCnHuRIFRPvm50B6etOGMtrklno1Y0AspuBpH3GW
wAg6/CKa8damzt6c2/hptOA3Ok6hVh765lq4TJY7l75b3M9rn9uQk1WdvNLIJde1dDY9JoJrYEDJ
lk1C+OEGnroEnLGeCmKl7CGImTNR9OfT2McEvRSU2QknS/6UB/TBu9KtPiUB4E/0svIEXzdYyEYx
41kDScJ3x10h+bNJRdeS7s3bIM7FPShEbEZpy87KWXwpTRfeNqoZf9TmXP4Y6WG69XuyIh47rFXn
ZxpWtYOBv+oz1OO0htEYM2+LVv6UJ9eKUYl1kjZwz1UqNfioCLBvmLSVyS2RPPf+ZJx9C6x34SCY
8iNSlR53iQHNNR+u8Vq5XDE1IAwBjBxGuB55DE6DuBWAr04uc/5tTPcUbKY2fo7wal7Ql7J8q2Vb
1wjltXHbJ6F3ZKdQ7C1TtNtsohiPdLJwwV1OXzXwm7NVJf3T2GXjgfLG9sVve8ayrIUbjoWcbYMR
wIjbZMCL9bGg2eAKFdk4mYIFrLHs9iDwqa2brs+Z9cwxcy8r5G2V2CDc8j2QJPVkF4/nwjfMmy6u
O/Aaotu3NvauYSziNXuGm4mpPAbWfWInnIND/ZZ3nWg2ea0YYI9tRyS8sFZZKstd5ZqUm3SFu9dC
30xZCgljwTTaA4ltr5TqThfs8QolJE8uFZ7nkWl/m8uReWVhvDl9dAtyS36OS5NL68/9LoIiuRvK
uIHQ3gLbpBRhQxcKtzim+mWGceEJKs51AKS1iYZ5Jc3Re3aaaT+NU7KRjn6YfSe4nTIbglQY5nsc
knufI+a6tLqtUCL5BB28d3oeeaoV5VZlOWlJc5pOmbLkeshlfIR8dJ0l7cWNPW9Dz2x+nLU/XcU5
7lVGG0ZaWFtk3UtUsLpaV8EAY2fJ+aSl1eyLasyTe8fPW+LggxwTRnqjqyBbGUbCIyFpTU67kZnM
CAVjOU/Hif2vvvbYqtA+mlSFt51lDvE3bGxkvqGY8nLFc3sQm8rP8F7JRKXzr7Qgse+uILUK+8DT
8IWz9L1hRmpX1dEi+QzjQ0w16NaatbxNck/AU/DcG4SF11Y72VY3/iWLhLHOdQ81gKnlpoy8/NwG
jfcuJzGvc7vW75a0+puxCoxdZqnPLpkZxnm2ugmVcjYAKNwTze/jcnSXdwg99jWCS3tJ2Kps7RjJ
dTaCH0Td4lUL+ubn2Ccz05DOhQ9Gz3dlZP4qyU2TTnBZr5XKJsqtgI03cVOS53CzvRlGj5HRTyuv
cK+0w0YbWeAjsMEVuDSc3PpWsS6F+yuFM4Umn0WnOdF+Dcp22fQnSCjvJmLhR1B4+fU41pJ9vHQP
Dn1BRwhiDyahGhPIm9IGs/K+OGodg1XR2p2vXabv9/Rz6ZeyM8sbmVa/OIAm9C/a7YCI0S8aTR2L
TVanv9qq4qlvtNVHoCh5piOy7ynsy9Sus8zuje2Lv7WZPFxoANZr9kAXJ8u9MxiqRNLxUDon043a
TTBr7rShHp994J5XbQNxSZcqJHAy9+W5qNvAw7HipO8YQkygl3k27ehN41FgRgs7jqOhYB9QRuEH
AWgWDpV41oVZQ/gCW655005FiDdlCIs877gGS36w9BqaY/1YL+N8bxnsx8uIX7Iw0s+oj9ky/m8W
I4BYLAHZYg6wFpuA/+0Y8OoUjBpgYIHMKbiEEjYl+be7oF6MBoh2i+kAGMW3B4Hd82JJmH4zKDiL
WQGVSH2li4EhWKwM3WJqmHA3FIvNQS6GB1T166IbKs5ZmCH8ylR3YKSbC/RilOzFNKEX+4S3GCm6
xVKRL+YK3tgTB7+Yuo1U7IwcC0b57cb4t+rz/5U8dr6Lj/5n1ecAvibL/hA8/u2P/FX0sTwX9AC0
ggCBFJnXxz33V9HH8s2/MByAows/xlswNX8XfWz7LyQfAwrCl5wsBUdoN38VgSwoB0D8l2gk7sbF
0fuvqEB/ajxeWsVDXOa8LR+jJJHcP4lAZHlKAOuJ/SAZJvLMoU16hteHOLXWJQpy4+IpAGvZ/WoC
bB5pWhgXNhfzvnaNGeJdFnrrUk6YRGgZHTeGb637yGjYPKjmTZomr8PliOvOUCK7yzsgTiuKy1Hr
UwwO1GtAPVtMBrZhLqxrPCXftgUBGuayVKAeogSCH9jh4ZOiF5jk+A7ds8HD+DzRP1uy3enHn1HS
zD8DJ50z9lR8bes0URx7u6LTO07A7cmbjeZ9sNP8Z5+M8x21h9A62QC+zZ3u1mASioBDse4/VZdY
nF8oekrIw94nqc/018iylWBo8bSoPsXmdyrhf+PKdRb/5D90uO+fYHHF8quaMKisP1d7V5quACPG
jKM7Wig9Z/C2jT3Bi47EBPbKsdseLIJdRXciaOzrerT5aI0fCmhnhcnpMc3nbYBkfoz0oG507KW3
No7CDysrDBoePHlJZ4QJigXyGw7U+PjD5STPkTrcJylYzEE64hyG3VNfOkRvmvEaL6L9aKf2HjLe
R9767fs//9DRH22zfGjXBO+1KJ3Iqu5/8f43mHaT2KQ01xVV/GYtv34ihPVq2e50ZwRmdxxypztW
+QgwMGX3uKqMXu8kTxNAqZP53hTWIr5443ROoLqcRuF4D/HMP7Xk/T7tRlhXlBSN53TwAStSqHDn
hfEzYoxNTBuppKgB+FEUYx4ymB17KmyMfcHIfLPgtrfarLimnd5UV6Z2Pmp/uB472zr0Q+wdZiik
TBGIDmTTXGwnDxSkicrAYOatpJfy5Lpi/JWlgNKokR5/NazXx2Auu0MHVZP6VzakjRp2fQbNm5uy
uA2Uwc0kyY8VzofJMAGHQtz5clOAXL2iUg/6NaeOYZNluM4EM6S9qWF42hnqTFAzI6fsgJ5V2OL5
TZUuc8ewtF9m7MifIa3keDYwqhLo8EBVMb+ydnUq5YE5WnZV9r15811JG9aWuvHYqfQc2cF7bttU
54cZe2201m5iX4ysn86yt/hC7UX00iEwUm+5N42C5gl8GS9uKtv3iNngtet20dpEKbv959fOn9Ys
cvahTTsjO2ILar9tfzO5fidc2xj74wQG+SXtTX2PJaPeG5ZERZvGcNMFsHDJ1XDtdEL/wh+HcxWe
yLwmrpR+UAUx3Ta+HZ/a3mxfgtZt6LspzX0LEmrCsLlpB796qlpepVAd/Sq5gtRU8ttfi5ihtUkN
0lZ6yQTyUtiXyeR8QJEhH3UejPmGFEe2Zrmad4pEwrKgioIzetNbW6837G2Gos5rTmq6BQWq778v
2ybHgJZl/nzTteAorQZqkShD8zU0KvkSYWd/gbXdgmLNgHNV+PlSEEt19l6bxb4VnUEv2hQNKamv
AbfrrKE9FWEankOzRSr751//d2T0H+vV8vUvoXwyST6INSYRy639u69/bOEuJrrDR9Q1QMp6vP6r
uWuNh1xHfAIrtzllt9J4zOdMpUACmqi5mTpqevYhLUMczbkHEYXKNj6FhWp+FsrHqRyxJQLJZHXx
G7IVH2bRfI9tNhi7f/0DuMvjFe4fz2Vch3/8ALUuZGcRf7iUdDdtp9yabtsmSXatHzNmljXrTNxS
vUA9IktMncI8BjTb/DRj07uyRj/GUbUAeO1Z/HSmwLr2R5wLqY3DZ9eWYfxYBi2zw5SOvXD1z9/7
9/P4T1++C6GWMbsN0BmCwB/fOwpy1ml39C5i8PBz0foSf3E1U2fSYYl8tijOvsknOZ3LQNX7HjsD
o4269o9hk6kTJm+womiSx9IbcQmAb3vs/QoXyOhC1+raoT7rUGbXHD+mu7GKSsbJcpRfcMXQVGiR
eZfxOBxpzArxJS/OtAH/a00YLujgXGL/mhbBs8e892JjWz0YId4hOpth5QKV2JWShoymTKc3fKWU
CY8qZu9N56Gug5pSbtuePi0gZN3KrlygYbKxra12Ggo8RPGOb+lAK1kNqq5ommPponjVAbc6e4Lp
7vvWiyMj+ehiI1U03fMvB/Szk546+8LxCam8yiHIIhulH2Yj9S4Hlv3Glac+3bJaVpDlq6FP5wRq
Rd+40JGoIqtY+ZolVDnbVfFoNjZlqS4Q6degyn85Al8FXUfTsRhtue4WYdBwOSZiEJAbD0H2FkAg
z5J/fiGwSfzDtoHbkGwgewYCXTRysB38U4iVtRqMb6HaC6dyCp9mHE1QlZe1uRwnJBFCFeu/dvzp
NNmxFWt++lifGQOxJlEiK4+p0QbA2fISYxUSHT5fMyvWCodLhc2x3vVUr3O7Uiz2Po9m+cTy37/b
HPY/hyxwjQ2g9SrABBziL6zZjt0oGrG2VWDOXAduDUOwdMq43JVWjPUg0hVlLJycNrNugiPW1if0
dot0By7icm3YNPS1vnGPEjJjLR7M4QMzL0tkUZMXEZizJkuT2eWuPQRltmw5l98VR0T/QgHeAbgg
Q5XJzvQ2cuYXq2kA0YnQWfF+0mqF5FDvARdysea2dNc+7by/COdVm06p4iQYpx90VFJcj/TR7jWy
kbixp9jFCDIU6TPPgexZGjmBSN2MDhi8rMpfJCMGphxF6yeHlH0L03uH1QB/SJN+GFFgXQw1Lhsc
zEEnM4SPaMjK33Q415OVk4KhZv4CtZeUCUteKRYnjRw7/jnuh8WMkJIwWmP/dN0N/SL1Y5L08hhj
enZX2sqd99SJSVcnZNWLKwO+DdufiJalnkKGrUaLea9KwbratxVJAFZ2WpxqwIiJNxanmQsB+X9k
EGa4c4raSGR6KQcnWj6bg74nLhEzTwly2jbZWx56g8nmSkqtv2y/CI84LI0tsDfqL0KEXUoqOz1u
oRhH6xDUcEo0iJMtND9uo6xll7maiFP20IU5yDaxSVGQLr9gcF84OtPi4rFtpRcT0x/SYVHdBkGV
3tlVMK55GKBiyGjW99830r/9DI9z8/mf//HzowIKlTEvzH71fzim8hDh4fE/n2yPHz/TP5RrE6hb
/sTfDrYWcCyYVVCroLP6HGP/cbC1Ao6v4PEA3XCw4UjJcbFP//M/XFq3WbfMhe6L5ZQ77O/HWtcC
3keQjWPtsp5xGv5XjrXQ/v60Oi6vQEQHQBeGI/qI/xSwLay4Hbwg9m9x3BjHJK6n9qrGvUkuIMRO
HiQ8qKrCYYwKiLB80FnjRe/wjz5T0twPblA43toSziMIvumlCIzsipTphPPGDrECNrUfVixoMhIb
yhHn/oLxMQHemYxj+2TWbWysapWVTnVVRJncM5vK89sAoBfDQLYIO8zV9bGKZxa/nE7LaraSDdWT
7gYghbcjg8a5mDKv+wLmZ7fKzTG+LhmEXMvB7vezr9qTHXXjh7agwVIu9eFG0nwrRxHszSZrfnRV
Ya5R7X3s1PKn0+XcmoRYGJ8Fdpde6TmdDmYj3B0/lHFbc/zEoB2oXWqG7L/WHQhX1RFzGKxK/T/2
zmS5cSTLoj/USMPswJbgTIqiqNC4gSmkCEyO0TF/fR+oqqyzstuqrPe1qMEsUyEFhcHfffeeu3Xg
enJcA0R/r8Wx+dJTywOWrFrDSaG4IIl1Kj2XXV9XF2uSpS/SSfyn0RknRnQYqJXpv4yj5256fQpC
q88fmHfrvd015qXJcyY91uyBntJPnvflcHDcOLnzNfnhtzXLQwKyG4eChVOdQ02Xpdb/VFS7HKbQ
WWoFDfkrlwkHiNQzfi0H15pHT1PufTP51XVms8FvOb46hjdQ7JDQFFtXXhTUufTeTbMDKiDSmM+m
fMmT/KXW+NZFXZHcjIeeTDrQcg7a5QayhwicSuQ0BgwFCzM45I4Bm9rPH8U8EpXHYVodlivyqe6V
u8Wpi88Qb0W2Z0dfU7QrBCgyOjXWhYayvNMZNScCkOPQrdzMiG52ZmTXaVLzfTjEehDPdn2OLVry
VtDsHb6LVWL+EPbOTulzYxy2ksfBVfLsEBM8x6wF7sDNQCmJw+E6NHWzLZQaP1vPlsWKaaoNukyr
fvvE+ECXD7axy0U6nFk+JPvRKdS5hSPLA9odoq8YY3wgKxzTQLggLU5dJU4GE265SlqhX7Cw6Cu3
8Wc6qwpTL2Al0u4YeYQU4LHCAsFDaJK9yWpUUMo41mYU99s+NsnraDkNhGVu+qc+z1lUt5VNvIBd
RbP1h/Gc1PxQonaro5on9RSh+OarHkL67xJXysbzpA+UHLhk42hf7uyAuojjFGp8GGGzbmjdhLzM
uGyRutmKVPdfsFpkq74RpyrEzpN7GEolgJSfPdD3rclW+jOrw5lDYt7zwupjd7fgZ1csiIdXv7Qt
1KJQwADwwm0HTT8KimyYTuWg2W3g4aA6em42VOucQ+dmIoB6JSRXbuYazdl1YXK0o0WuDmPpTWLE
33ly6J7J8ZQkBQuSwWnIy1DQyHbSKgzhTu57eeD5/JXckr0Cc5KvYJEMxG2aftrQzJKyOAinTTJ4
81M/1vRrMJNtY0fHB0pRCYZsO7yLvaK5um69Nihp/YES5N58q9s3hTXfD2jhQTmKo9NxW+OZMsdD
EuasrQa3vBIk1ggXGorGmcqbHjMlq7tc9QhCZp2+Y8Gv0flYS3dDMxy8KYnDQ0FTCKTkGuwxyzBr
rPQ7Niosh8vhIbLr5jylVRrw8NQvquPXjYElDoo8sXgo1P46sgb9MNfGFy4y91LZdXEg2GwectVR
MmionFbdykQ5DKNdAwFrHSYVHXnVRJbWtNpH1ofTr1yvqKnRxLSfqDd8EFOdIwEa+CM4UcaBkTjZ
TnRjtU5CHuS6ObenJO7Gp0Lq9rauiogjYe/e6fhBsSzxIPJh0KxDwhhvVqnH+4n8baCNEtiO3U4a
TgDHfeMlOO+B0mq/jJQW3HGIaa527e53Gmrlxaac5qZqRNEKAAtnHP0jmvNoUxtSgkzue8hsSmNy
4rD+xljRnptc3hR+n2Psu0VgNU11Ip7RXueC/dYwevNVNxL/XsVNtoxZ4byxI7fZ5TY7UnYv3lpl
Xk8BdWz/ihbPwiDGz26hjmc8M+UqzIY4aLC6n2ONDX9ZOcNLRdA3sI1qvkFu8zHelO4bcAjuDcut
iHF6BIySbLwrqJnkgRWRznAS+z2TPUZ8QR+BERbFbtZL42PIIxsH0fzEYiwMzGEy907vVjlR4dB5
TBJjXFOeTlWPL2+zbhw4PTAXNJbhbjJ94hdcmI6/Fkn/MFAB9wKBHEZEB1p2cov4mko1FSutjoZn
PXLro2/V4hhRTuTxBA39Pc9Nwg+tflZCs27z3F3pjiN3IslAklTLAodrD1XCzJew5YpbgrHFN4hB
zVF88D3tluGLYgvclBBnrTAKiD971M26HQWmrdwQb8wD3QvPGJazXUkmi5N46mF2IC4zVDRWc0PF
2y5nHopa6oTMURLk9cKc83bD43sIh4840aud1uvuae6V+KRZVP5sVKVdHNU8KCt3HolrP+mTDT7N
D2tWehblSK0277xOdJvaEf2TyuPu6Lj5Rzqn7SFOITnUGcTvnhXrvpsl8c9Ri9SRtuoOy2Jk31RU
lNd5CUcSKHWo+U0fiAaZbwS5hjNBBYQaTEv9i5Ek2l7OvXPOqyQ9momzLa2UMmmTnItrP4/aYK90
8s+bpLDClaCh4gfVdNWuI3V3T/SCamdVEYStw18e9rcAb1K8w7nBNpGd+l4BqDvHtj2cKieLXmlI
xByu+nJdzeRwbNeZfxOZ/xHnRUFdUSoes5AfoTUyXIikBVduat31PFU3VWy8h4qFGF0iBCmrkrEX
/W10x/MUGvaTrDOsf+QNN+Dy+x3EPH+bjFn43nTTuLPHpHln/8Zy1qeJsezN/iCGtNtKV70PBs8V
X8+NbcQSNlv2obKLP7TOwY8HbX8lvHQ++j7p+iySp7E9iRL0GqCHvL/YEoILFCPyJbqQT6nmFo8c
qrJTUXu86h2DgSgZMi+9X2rmd+Dtqgv5q23uWtXOQ068IxsJSmB0tF2c2vlWj83oLJjENo2ZdvuI
fSgeFCLAV6wa4yG2JYYiGhjXU5o6+EqHd6qVUhqAUR13LK7n+wp/Y5A5lPqWc1NsHW8YPzov9JbW
PPKTYaZcZ5VJEP4rF2ff2inn8bOgBemdrrxA55j7kUd+uOYH+U2Jbr1N2cCXwVRozWFSuhfkaUad
ztxQXiDqLE9Xhp0Vd/Qu4zTMqGoZ+hwxghTVF5kyk+zDPPBKc7G9O/5iTMzSe869QZvocjsQGNjq
YcUbdAiN48xzAAcPp82YVcI+tDT9twfcZNXSyLXqWgx7pdtGG/gOVNBPXbOBnfTgkLqm5FmfMDWE
ajG1mrju+VW/w1SK9kz14UYUXaVWGOzQZxX1p7jx1LoeJO6qWoTitY71pRqLSmAS+vqDqHghrfDY
pYSuW+NzrISk3ACqtN6bEl9jZm7DYgYi8eiNYZeCWOy9uPyk16HH15sX0s9/iJHaa/sYOl6SndrR
88sfNGDzqRFSGTUNha3gpLxKG7LnQLGlIfqgIEqwJuydifUUR8Vaa8O0BaA1jb8qQsRfg89PyBnB
eeVryneNTPN2MvvqgEVmhHPfQ1kjWpkcu96r7+qKf7tUbvlmcedZGf3VfEfIGz6r+Q7zwy6B/VhS
kTsW6Gi6cVcmo3egnGrmDmZHeRGd+2Mmbryq8XN+2bJS4WoWc3WC/jhs8Lg1t2Zpj0pdaia0vMof
9IHeBHKdE/aieOj2tmxhaiP6rDn1meuS2gjs12rRnJJs7zbS3pBRMk96oUhJ6WzCErJyG6yO49px
J6q9hMb307OqBH3Z2y80lNEyppIK65UyNHNV6zILdD65G0INazLZTm+DE95HKXjOlS798RF7aLTu
Uxrog7ab9bupiswgbamQa+irx0VM70hHLqZCRectjL0b1x4BKsSzlaqK/Djmafoj8mT71nL0ZGZS
/WUq5ugxd2ZFbzgfNkUX6Q5IOdOXY+YQJsN+oFW5GBEnu0qnClrVj2GY6+0avHq667CMHhCni1sb
+QAVaqN+buKGrRjJ1NeijJ5DxLWzTbFYgjmRDivLXLa2VMYCYOv1k/Dz6pGUtirWYVgV4o5Qkv1Q
xPWHmBtsi9U8QnTXYn0OPOgNSZDMkU0+lGzQfSYn+ZLqGDS9dAh37GAoa5o6w9wxCrVPWBOGrx7G
QVCR1iOWE1VrfqJimzbYItbo+zM+tdbBrVaTc21rNN81rNLh58ypjxO/RkFWU47TtRYelR+FL5Nb
E5EL1Wn1wGyYUlSmPM3YmAJUDB7x5BDPc3qGk5UccosmOnJrDLCjy8Wkaz+lV85P1DeFzso1XP5y
2B3Lje5k00vGo8Lkyh/0YE7FfK9NJf45wH271uzlrVjOSdbMdYWU3q6MWgehZ2aYzDj5sofxy32R
hgYxT3hWzJ/LQdZwmrNjcbhOCn1Jb8048ad6EGTJIO/Ur2U7ePm9kaXKArLgMozVBm8BIvDIo0EX
uxi5iDS685eGC3G4Gj6+RzfGZJoUvTa9tMVYjT/mQcPSvNJaBt722umK9cWm62jkrWg7a8bhxEfS
eCAfIkD9gaWMEgfif+V2r2Ibo+xljsZdqIn6h5T5+Pwn+ef/WFR/dwr8effg0XqgO/BEOZWh7vyV
IlbV45BKyxguMIudteab1LiYPb+R/KCB5wmjdzO3dn1qHq3M2Wp2s3ViY+MJ6gc6dmYlJZi9tvPn
FODAv6vKXXwK/+tnY59jALGDP/pXRm5u9HWhh+ZwqarmIirOiuE+6f/d5vH/+CZkZYBn4VTSxV8/
AJpFRobefrgkJkRg/uNqcluI8m8Lqv9Ikv9WkvQW0OG/kCSlTApYOf+sY35/0d9VSU/8gWHbBBfv
kLtAfeTP+7vdxjf+cBZW5YIt9YG6Lj6Lf+iSJv+INANFsq5gpl7UxL/bbSyqSFwB9pyoFGYbHf/O
X0JW/yp0BWH7ny8h4OLUCGDrIe0lUAy/fRF/Wp4mboJ8Y6j4ONbkRvD9llTWYN8+VbVA6plGw4ZK
hG2vos8e0z1QDrSx3nNwCysGyH1j5PBHvVK6x3kWdriRfTkPq1bXxwe86Lm9M1IxaQ+ZnzYvNVFd
JwAQEKXBFEpQTr2pek7KuVevZMi0supyfSZ2BAfv7Keu4OU2NPOBHVFrr4q09DdME1az6UHQxIE1
lPB8VFjhTfQ09vzpJD6/Iwit5xMCn3WL8qVKtiqYPMd01gZCk3n2zTZeKz937wZsIau87+gKMrWt
UPAmVxzkKFCkLCh5rNJ0ehhjvb00kZnfljxNsRFjqZG598bIWRWOHjHtpdVNOhXpk2ioUUTKaR9B
vz6aVZOceOzusMc2kDfKpNw6BakTU8UEkNuBAtT16BAjt1thvkgfs2liNfLRMEGF+bH9HsF8uHfK
yV9j5LOunZk2h76c7HVsmNfYndnoFa7YaBO2zpFC1qslNHmxiuHm6JxpHSkBolSjiD9BIFQ7WwDE
QsHKTkaewzxwx/rWNzzU6aRNojuOnfZliJdFGWeQ7qwPm9osy0tYNfnvtHf9bQ9Be6sc9jEIYepm
uv6nE+LHNEJIAK4W0zWl+C9y4C8+mbZVg0IZVNI59kOJ/RZIz2PaKOtmjf54sioxXBOlQ4DJ4p8p
hP0Pp3SHNS+NE9LUtHYIqK/YJtu8ySvtoS/H/FE2WY7iJdXFtLKYDS3h/dDPHhqZthdtpM8l4Y59
wsdIb4wyx8sEpmldQWDbGA4/qQZtYa33YfRj9gTxYunVBLbTomTSLtKUREBVGScrrvUjK6cvyb9/
H3W2fGB/TaqaxJ5/E4CoHuhp75HAwhT5HRzZxdaQNNOKN0oG82E3a11x002uaOF27dnMbPs0sb6u
GsvecnRXdyUdEG/ogOAGWZTFRzul0QrwkGSdbPX2us6yYcfBPdpqdXdy6d046rF71/eqJmfuFpBu
So8+tnTk3FXIniUf1yBkrYnQdEhMDjfBs8YbAQf+Ddihvg3Fye6Xrtu6wOffpdfYau41rFcGfpG1
L+0bZw+5KbzqU1VC4HYqn6cFj8uu+j0XjdySKG4nWq9MKodRnwi1nOT0pdH6vioNqLtzp7/YnU/U
ZfLDfTX02t3g+f4m7Kponer2Gw9DdW9W+bjVUMVpFomcw0R06NmG4QKcTCiES1bbGvZzN9WOgiPb
iiD9GxyQetOJvNnhZjA5+B7nNjm3eRuvKKhdTaTAipARgrgq3T5sUdFy880wVMk2G9IxsDkK3eiu
kw+V50QHYLnQspjKDmDKx4d8lPOuaDOQdbywd3M2und208NQsIZDM9Gmu0aAHB6wJTwTZdH2Wj05
F0TruOAGK5U96KRr2LP769pgLr5O4WDlZ1Lcl7zxfrIsdjauO/s/Uk6FW9oqMhg/SXidLC+5x8n9
UdgVak1NUmZOjA+36h1qJhq9fVcNf2W4T9W6qaR5iiSFSpB6uaT1SFJiZkvOd7G8Tjx2VzEtbixt
qRkLRDG9z50PRTTk+YybvT0n0zi9+9MI9YNGqPqxbogE6bi0qDjO70uib3DufM6l18gJSSVVzERs
S2wOe9Lp2XbOaXmosh7uTlK0sP2rwr+1qfhdlei3kUmKfog9iajgGQQMIIpRYukWeRlSzZl3I4Nz
5yD2V4mrbY0Z7pZntvl2igEd8HBHzhy751hOyrD3E6v7I1Xccce7Ras/Mw1UCmbLFHjjGDOU32eN
V5IZLUdvn3UIIOfRbtyHkRf2o9WE3CLZwKWHUtU7r8pImmM855Na0Yzg/Gy5+pPAgNOODquFwoYH
VYlbDQ6QIQH3+LE06YGop5CiPD8ton1Yt4cJauR9LDv5CLnJEquGmvBdTEPnEPjzEL9Vnq02vWnn
eyOJ4g+PU7+/ArIGPDqaWvscWY2BumRXyGHzQAdFXzHpDlbf9yuMnDjfebT/LjKbozmE4uGu7ZW6
4gGhIV3ABWjYsBcV+QYH3+cK9nL3ooP0+KgbPXnjnUy4k9D9HaGM/D7sHf+3PsYdWDsZWmz9s/5F
y+R8yXU6pxlQfuW55X45he+wC8eh14GC6THwQyg8OGV/yHnaBorzw7TGKbisF0M+RYS62Hvu+sk5
I03JLy3VU2IFnQno062S4SGsbfeZ94i/qdh7bDtWnBrij6hCajJwOR2aZBw/M6Yam4dRRHqHNsTr
KBh6SLXF2jVJXdq2TCtv3oDgZRdL4oXiKm5tEZh+PpPqrrMvGy8IVgvwF0pSJkxranhgYZUTJou5
WSs6v+7nmv7qALuQN61MmIj5ZjJ9/Q67z/DmDNPwK/Ti+h0Xcr8ttJQBV4v8iMaIetKO2Mb6K9xM
VBxLNdqnrU/qfoK4AvkaptK+EwDI9kIbqnc/GrEKTXPYHSoDe+U6TdIa6QQ3zkvtJba98kqrvVHq
TmBcG62aJFUlD9xzMBo6U8cKONlM+Pzk/sYSjf4W+m1ob4pEz6gR7jVn10k7uYV+hS0QeCwl1B09
naR1idtYMYKvY/RsmDJTnKehrY9G3Lq0ftr6euqp1pYmF5yQ1RyAibc3tU5YC8gZRZYx/LiVoaoH
o1PtWrEJP1ONiOdfEEdYjyKtDkrYTbHKZdG8ZU26OH+jThn4+1T5SoF8VWxaWB81QLF6/gWJ1LoL
dbZPlun+tKPYfxKYZT/KSJVbyrh7ueYRH+aricZEDedXxhORxax+SIQu7vzZFu+900jyWBXpUTNy
6LmerMn6KQb2xG1oWM8+UaJk5eXWiDDWsPosSsqo4Uzwf7O5y7w9jJzp5mVh3Qcjpq+P3qdgriqc
6p3pvH1wfPJhQTqa+ls3c4DcRPrQcS3pqlsRyja+/Jq90ibM3Ug7kq4IX4lUFE+4sV21tXA1nTrV
TcyVmgYSqVGsy6E4HtIou+pzl7zWhbhEUw9kIKdl0tM2RPlYLk2tT5Gcr9NvvfS0+TlrSIdQ/D0s
GW3lGZHY4eGiqNppevsnrSQmDG6sMs+FPQnWcvmAuGxoljEFhkp0QElRdFGtOW8GLDkHM5VYr22n
Xc+VJbedrndngw2g2zX5rzg1Oxi5nSuAziI9r3rCt+vMbZunCFfCTxeby7YvKV5f8dukOLpq7O4u
NkeqMTlmkcIMHSSdpIlSG66mnX5VBJ+KFcMnMRUtljxarOGuZG30IsNR/kAgi3f6Up3eGGF3btjp
oMJSxXPKmtwPIp0zYj5ER28GF7stMPrtvcSnpo8KmOxVeQIkGntjtgBx4pDqrCrT3bAVnU+ZZlTH
AfvHmb+hPJt2knyGc9LCJWhbwIp1v418qzjUMrLWZja/VNhwu8AwjeYjYkFzteqa5ZieNIfv0e8/
U/K/n5Ihf/yrKbn4Sj6Kj78MycvX/GNItv8QWAbxtuG2sS2BlvIPDon3B3EzTmA0Y3wPu3/y7hh/
CFo/KG4TDiIL/JL/mZHFH4C1AERzJv7baP3/mZGRU/7XjEyBJ3+aD6Lc9UyTGf7PBuOOaS2Z41Fb
MGfjGh6j/HBSLN9QtXSaLWNixWBU1YSxu8NdF2QR5mw3bvK72Q3tMTDo2NpAjuq/BAaW+5nc/buv
p1DUIj8DSMZX5euxDLmGi7l4zx3c+UBSzHuSqS4IESa0O5w1GMezNGf5Q2mvCw3BexQge27N2PX3
ev+Rlw33DIPlc0uw+a3Mkl4L5l5ia830avzANZOP9EZpmCE1KwLwMfooj2QKaDTaVG6d/Yy5i3EB
NjngqAmmI7G7KSEGXo88AaTf3S3AEotnSzizlWlMj7qg0hOMlBamcPgdqbWr/YWBSQlcfLZS0Xsb
XlgJXI5CUoKZaVn5uWAC30qs8pdOTXrQWVKd6I0ePtkEFm/4fiEfcZiZTqyl6oepSqMPkh9MxqlZ
rjDCQ3LIqwC0tk6izRsuMxi5K1poCYjEoy4a2+ggdnJMsotn5eMDtU7ztpra9aTKgxADEEAaz4K+
6Ag12NNuMBNxBV/gmxSj5p+jkhhpxty7uo7B1qJN20drwjubKKU2mPatfThXhgRtyUbPaSOxTqe5
O3njQB/1rIz62M8SJJQeQUFkVVCLs6fnZhE02iSfrbzqHmn04iTVGWByoXkbrwlVHq+txvqsGhw4
goWvnYeZNCr5CZc+j8kOhjGcz3NkdC8ym6o6WDDQ5yFs6hOLqP63j/kF6PjUatlaSTaQvV3ITYXp
I6UC1meVZrC8uWOcbZY+0i77qL/jmlDznF2U5Ai/JvTX9xQ/qVywV3W1ymorouXbL4w90mdyi6vM
ejGjPHnwZ4fvRp6meTQIzW67OrZPhpkyJMRdGe8ZhclYTuSYzbav98Nk9LcozkGzQ/t704qoOVp6
7v/CsCGarauzpl8Z1uAlG3g6/g3hh25yUDil9ppGlnuN7YSJidYvrVj5as4+7aq0fEQLgvmRPudr
nxgRJir8qPweMxL3Kr6KMVV3ypjio8AE7W+McsDBFBY2bpEpytdcrjTlWLW+cG5Lot41/9woI/uu
7u2u3CCGV5cUOTWhTyznLn8dCyO1Qe5FdODy8YwsEuAp9InO/5SFEbXtavT7KXWxTPijLs8FKlhB
eAVozUxmGCNS2ANRvE1Db03HmGKNfT24V8NLObLaYg4si+EMYJ7/OGL77jdq7ORbGLLaNWTI6Ul0
OOuCrDJL3CrKeQTySC52Sow2aOnlJoif6Beb8frcYlvb2WAPV6pUECUoFaf/l0Je2Mpcitwvt1Dh
hVolmAGfxu9xFaFCT68iASnhr+2KYf7RnhUef4mIUTg0YtfafuiaZ5sj9IOWeQv6fZmQLUblPirc
u3KZnvNljpbLRF11+fSASmGSnmLeLpfJ25uUfBgaC/vR3+dyOEuWLzeCsN+aitMVaMeELUh8yVPu
j2XC1xn1+/TImok/ydLqXbeoAT6ygLvoAw5CQZoiYoHnXRFoU/wxi5qw6AoxjlFA/2gNxqI6iEV/
SBAi/EWRALnEsn1RKdLZCNll87SekDCKRcsIF1Ujm74a1Z/amc8wbPVT+i2AGH6mb3UVP43f6ggy
iScm9BKEEygFVIgk5k1fNJUQcYWx794d0vTaIruwHmK5OJ3EosfkevnYJ1a+ykfRBsMi3ECD7dfm
t5qDNcjbi5i4NW4TyT5NLboPClCNA+nYWOrULuLQRL3ZzlwEI0NNmHBsUzAu0mJ/bCJhJ/z1qvmN
FZy688fB3rpEx00uo5O7yFJ61JiYYRapCl73TnMKbcnrcDWxorpM3+qWKsmIeYvkVU+Tf2NRxboM
I4t8yBZxzPWbL1HG+jFLIuM053690RTLJ+DQI9VHfQGBBpL5FP0QhJLXZFIp9VvkuHkR5iI3mi6w
1TFO9UbzNGeUHWsOXhPTTx6cRqu5JZD5sMQrlBSkPwxJ+WMvw/DBWYRBXJtk9kt9Wlv8mnxmj3W2
CIlyDD/iRVo0F5HRXOTGZBEe3UWChK6XB63lHtUiT44dlw5FVS/OIl1S5MDZNB0pGHT5Sc1MfA6M
FjcP8zwlNeO0JZfpA+gT8rerwuKCwVwtYunQ2uimzSKh8ozRzmmboKvWcV7fQEbJdb3IrtYiwDqL
FOuPKv60v/VZv1QqEFl34yKUF7/U5RVaKWvERdpNFpHXMPQrPVb2epE7D/kiBUvP8tdat8jDg/Hu
9A3nY0PLHvNFRHYWObllkb1V3xozj8NFb8bkE+CqLrbTtx5NoffOWCRqDWn36KhhgkCTjAe35RU5
ZrN70CR9H3/Ll/7nnPxvz8nUHv7Lc3I5/OWQ/P0Ffz8k+/ofhiOEwUH3zydk3/0DKw8LZZNKRWF+
p8P/sUWyli2SARGCFdNyQP6fE7INuc9dztwgPPGqL1/1/9gigdr85xMy0R8KgyyX07uvs0/67mb7
0xZpytu2L0QClbnOx5OWKgDqmZndRsvJvvKinw/AGdBvsFGg5WTfss63wPOt9YRCaVfmXxQgxv7+
altt+JzN3N6nehGL4haf9KH8VnPCgud/APIUackIEZapIXyenHZ46IDGsdGfcgkePfXkV7+IVH3d
ec8xkBXEs28Vq/1WtIpF3EKrOcSL3IUBTW7Sbw3M/dbDikUag6QlfxWoZREI2Uvqj/1Lm9T2DcEP
Va3rq/B3u0htkdbfZRiyUCpIu77NiyRnEwh9GaMaYOak4t9Q1NDtYGKDg2tGca2wJ3PknyzFnR6N
d7NoaJ72yRn+FrmmPZQFzZUr0efRpddMymq/NcMINY4VXWnZZ5LjGRWrPDDQqwbMYDPFbHvphmoD
dil+MyYL3pTl5d5OLXu/Fcsu+TgZMP45MaDv0Xy7TwYZ7UDdeEeHXcZOL8fKWs957j7mcQREm44i
KVYTkR8IsmBt0ZfxtxMMsEv/azJ03PYkjwXecNmzoPCbNjDDrD52YZZucKYAsmd7BNWmHv3TkjD6
3iwSk/Ir72JzXufF34vu1ou83kfkffYwrBVTSOi1gZ8QFApsergeazm0R0N46IhwaB9KX0LA0qpC
3hsYo3TAr3N6T1q1hMKCG/FVdgCf3M5uPZZvJZaIeJ7GhSkrfI6dbtjCkx7SjYRSeo+JFGFkTBDs
cJfi+BtGTOXEQttjm+ZWvHLjMbp6bfWbnoip2+vtXCdrDeTbb4DD0l7BZZTDKrHn9rNoOHbsyT7K
57Ab0wNB3XpDBjVdihzc/qMyfIaKoUEaQo3a+prVCEaO2toapc/gNVI7eD+3Kkqfax3+W/8AUjeB
mWPMLIh2wuiT2zCJ+IpZfTLkF79dwm8BbRoJny0BNxxjZ6KgUwlN0BV5eIkUZubcKDGf2G2P5Wgg
eDkZ5lPk8T2AJ60p13u01RhthgKLRdAaRl/sw8JY2F7odGzE3KD3TXFEwM62gIFzbm+K0wilA9bO
hpUokGpsH4e50qs8qFsj3KZxNq000RIvJga8aiIrX8vMOJmtj39LN8RqLO0bnoa9HHTnPFd2SL6r
QdnXi2nPUpLPvQPgjdHensJ14TVcgXZR6xeNXai7Vqqz8CKHOCjTuT2aeZNvEla/VHT4w7kDAL8e
SGfsaoe1B97+uT65qu6O+BXz22QUdrFKStfZuWlBUsZXD3PMjZmV6W84L0+wHVau9LIvryntNZx1
GhWTVP3QOlNeyDKKQBUoVcnoGI9A8XlqebjpmEtYn+guqyasdzE4tcgLWAZgjeuyKxbKZ99uZBBR
Z7DSSmufttHNxUUMXc9IgxBsVZAmeu+smD8Jz84uxt/MXT7tcvhB9jxe6+zUDoL+VdqeXZzaZmre
XNoN1jyesg1Dg3PA6Z/TwuFzxoxs1d05nFM39ZjiQcUF9mJJ234VuZOu44wz/Ujlx1F0rfiBxtKd
qsGVIw8pxTOFYwqKf+KE2qcOWxmRI4vme52ODlY/UXqde56NGWa0fQkuYt9pPqwfQ/PHTaSicRua
M/XLhZ4HlG9Q5pZk9SXvYDiKJl8kQPNDd5lpsEP32zEEyA8GoN3g6Qf0Z/GhPACwRjKZWWti2JV8
2qaVcqNyCPM/E6qo+Mytnh1TMrZjEDMWnhO2aPep8jCF6QSk+yKbGURMfaN75C5TW3TbRnn5K9OI
d43bCNU94tf/mpJvMp0Ou3M2FvdGTy30JCP9B9kV+VtNdvsmjMh+FPVYPNQ1JVATO9KtJCRy18+t
d2CpqaATomxsIORKHrpx0j0mtkUOI1bWh6W4pC2rHs7scYo7z6gUoB3HuFfKoY2pRc9Q+TA9Rkbu
eqRojISiB5+TOcPaWTnYhvTYSYM+VRnORI9HpozuDR/+egLtkyxIJzyQX55gx2RFS8MrUknYxvNR
l1W8zZGMsAfJ8CnG5RoT1nfU+3+zdybNcSNpEv1FaMMWEcA195WbSG0XGElJ2LfAjl8/D6zqGRWr
RjU15760WVu3EgQSCUR87v6c5R/099no44vdp80BUFsNgckaX/K2S9ezU82PTu8wNA8SpeE/xW24
UnXzhNXdvswMZi8MzkFsZdJMuN/q6EHIzvpASsuG/5pU0HBrdGIIY9Gnqq4aCHsSnEpTMjTjwVQf
eKOPzxFc/UcncgGqwMQYEWsdXJK2O0Nb7doTGOr7tgPNxf7csdr2s1nLZXE7sYVJzc8T6N7iQGpE
x59AGyxIyraUHW+i1MTNPJcR/tgCh/y2s4idTE4/whg1x/mb1/ZyG6QT22DS64reH5cdjtZDsAqj
qdsPZv44jGSW43SggwxL5pGvMtuA9M7unWWSJAp16kKj2tSQs9f/mSP/n9BGLFFxJ/3vbqvz96Lt
XtPpD4Pk3/7RvwfJhDaVb5HJWJa09k9zZP9fgqWzy4uKzkC2mBQU/r5Kdvx/WS7eUYKgDgAJegX/
Z44sMW95PvYoCyMWlsp/tEq2WG7/bAl0PdyAeLYEi2VwIfYbx+KnRbIjnUh71DOeeovfJ/taS90P
EOh3zlDQ+F6zOunNl8QYmALWJBLQtj0f/l7fHrDR9Huntuo9kxDgbT9dxr8wUgr73fqdP42TI49l
2hJWsvl+wj02YhKp7cmjgs9c3vq8Nm69GR4a++JApCurg/1quYa7jTU9RCGzN6Pq8czzeg++eUVh
3TcAwmu9rSaVq09zZYQ36PpDu4a/Yn3JqVajIizrK5qkgLVR8CDActwywvIag5hFa3gHiIjzxjXT
AnOWRTse4mdJ8FU/RbQA8kM3gO+sfZHV2DiabNrw3GB0whDWP0GPtpZhdbIdtf9Yo7dB+/QHz7kD
4t89+SWFH0QQ834FQSJjcD8k9UsOXgDkIDUtLDNwVNMhyRyBUQVzix1drVF2InuU0flFHxCMFNxs
9yDgYJ+FA5IVFXtBaOx1POtTHSbWvuuc5jU2I33r04C5kUlzxq97qsjlPKoipsLKh4Somq4lBEB5
zWj0xiZWMxPrjInnTU0xKOUz0c4AOcUbt7PKB8P1v5hO0qyMmBTWZk6z6DN0jUqtzE4MV4MJ6T2a
J4YbFU3Ndoj78RKq+QOtcdmtnmgvp6G5wIU+SCvceanhku0hEOFXUbMaBWEx5u80gT2YXlo99GRo
qE3w8jvRz4qQFoaF9MpLuHGekhDZcIRxdDvP9ZZlmb2j/H14nBhxwiRBcRtlJfb4fItdpVrKai0t
u3XDgnuBaViH0Qkq+t98Y+XMJikk8r5HVs3D2qpDec9Vr88EF/UuAZB1CkHtnHxLeqfIMjN6TAsz
+wy0pnksFcu0erCA8qWdweagiWcMb/Z4cXpTfQtVJHeovPUWpYC4nU2fCX12emvHZUsqNurd3VwD
pFhVaRU9p9z2gFP0uG6501ZzEw4PpsJRi6O3P4uh6bZI7z6D1CjbknkqCAYQEqRa3oH2k9Mba872
KtRxxC0NaTXYDbxQp/WMC+Kz4EPWBPSMVeD53ZY4gvVsh0lEPmWavtvgfa81ppuNN476gP8H6ahl
vf2lsScgYAGjv6Pdy0RvysGZovXc4unZ96WNLqBE03gru86VjRJA6cLKBLOwycIsnLHgBcajGBuG
u66RtRQfaevs0zEjwPea2bHHfN+sciuLLiErOqpHybk6LuG9tdsvO7eeROpkC6oovcB9RXgeiDxk
g8YPXhWXpaGHyzfX6VWgg0FC8cnWefHy64q8GoE4c4N+zwrRIVTYAnpXFFmIvUpLeUyRnP1omF9U
P1OZMzTu0Yc2vWL7xo64sggp8iQcvkDc9PSq8iTB3jycC2uTxjpFOSYfNmG40uprQS9ntxG4mHDz
k9fpb9BW3CNQDrCIpFYVinPfRvllKtmKrPyp748lHSGUl/AQIcjHRg1vZSmpcolD+xbZZLiXGiop
WYaoH9nON9ktNKwKiciLQDyCMzVYRVq47CpW6DeSx8E5j0gOYLjL8o+07daAH52WikbwuFeoPfXF
gCrbbNSiM8SL4qBK28g2Vhe7G3NRJOSbOKEXnaKfhb4OdhTdxfaQPlWLnuEtykZIVcwmrwbWmG/C
h2jS9DUJwV+w81ykEbaS8q6Jp8z4jLkW8WRcdBT7TVJRb/JKSHOi3rmL6qJnavqm3Bq+EFZEa1vU
GWjegLgQbGZDGkQ9FhXHfBN02kXbiXyY/Wro9QdqZJF+AktG95aw7U9ln8cPahpz69DoJrzDrl5h
66VHJlvbkFS+lpBg8pWLc0nQxQAiNFjUp6j2axim1thfW3Q/pFBrEBFeD49BZcq6EabeomWJHtcZ
igtFKzzfkYYMerJqRSpOGj6HCH1zvuAKc3bJ5NDRktrjth7Q0Hg2jMdk0dVwPln8Bzcdz3l+5CkT
5dVk0omz6hYQPMk6xLlk0emsN8lOTfYi3zUoeYzMWf31rNLPLfypt68NhlB0zk1tsEl1OMneUtsm
kq+Jw/B58NwKENHofESTqY4JNso734ksjpq/2ohT3IgidW5Ho7rQH8UjR2SXcPICdEeAeRQgraQw
wDlbubHxTFgDVeUmN5MApeCWRsU/mEf7FpQTktmwyJ+Yps016AB7QzkeGojmP2LPNL4mi3yqbWc8
u6J2szU1XMirwu9f+0VyhSihNhqX135Zl7xkizTLXSqcNX4TFFv3Tb2dFiG3IRkcIa46+ux4ixgs
nAjV12owfNPRa+BHRiTynd2kodhvMKaZH2XStsW2XmRlzM0ozNOb2hyCbQuIKi8qdPumSHuRGp6L
xlvkojfNmuCQ/gKQIv3IEo6vi6Sjm/S3BoyZh8mUH9IxEPvkTQl36K+YYWZHzrV508oZV9u3QUrF
J0us8uu0iOrtIq+jN/N9kY5Fdafkr/jqYLbkMxHl7UWeZyyE9qMW0d6rG+vS8DjjV7SI+uGbvs+6
C60/8whXrZSy02fGsV8aw4I3P1kO+mziV6cEhVIxEvIMBkNo5dEatjLoaqOs8wcoCu1NuTjKqdGO
EfgWm/nimIK7vLjPu6Z5CP2lcIvMy5VAfoQpgJ/YJWb+KzYIBsgEgxtj8RS5i5q3oPaDxfGOjla/
eH6NDV7Phn9CKiBWzcwW3AQeXp8962Kf14uT3nsz1fuLv759s9pXcYZJeTRmVa9UkvSX2ppxIQ1v
Jn39ZthneaI/2W82/t5ZLP24i/DMvhn9Te6BYOsv/v8+0bwJMOQU9QGEgTtuxiGIyLNhecQkmzne
h3HJE5Rv0QJ3SRl4OuVBG/lL1rSUWXLV0ZSOax7tOdKrN37UwD0fkIbV1xou9L6UaLWrFHzAq2sF
iz1L1cW+bjTjXCPMacCLrJlXRq2ibh/nlXUHFzDKT9DGfGzcCt5EYboxpUiheay8JDPXBVz0VeN0
EOtHdGynPUtvshlb/mdb93/a1vm25/y0H/lTT9Gl7OAEvjcI/fav/r2v8/7FsN1GVXd+UyvwDv07
ReNC/SH/RH5GWo7N8P5/dnbOv9jJ2PByPNQR316yLb+naGw+0Ge7iWKC45Ol0T+C1jrvdnaWxQ8c
7QN9hp2iYlj+R4MQte9DB/xdHwU3rrdJEsN6MKN6htkdV7uyTjySxRXUssZQwSMIU3LKeRGcDB0T
X+H9jzACtq80ZbGH4N4v7xR6fz3W649elbN6iCpSAqXZ+msLbfLWKmBcJhqbESVv2UfXZnpWLSw9
7vWACatLMpVujJ5KF2a1VmjqAfaeMR94DskPXdGNf5NEY//8896WK7BggeGm2gQfQSYt//tPe9uE
xRobVRh4LDXHO2QIf8+axV/bbbucF3/3T7fIX21Z/+J4vmPSZYGCRRfsO0uWbaA+hGlaHQcD8uEY
Zi/LYHVhkv4+jvlDT9XPvVTvzF/LmSnHRl0AdMRowXl3ZjOTqZm3e4aCxd7P5vHNSpIsPIyg+ANJ
a3c/RUnw8I9PT5EbY17AzeQRcnx3OU0b1wWrz2MneR6ujEXkblDeBK1+AtjOPz+aYMJB3Mwjrrhk
1H7+8kLfG+IiT8BqmINIr4Wm75lgIWJEl/mPvz6W9S5wtlxPAuAcRDlkzpAz/3iwEUJBBA0qPtbR
mDHFj9jLb+o6LzeetlCYQEHddmznLwMwwQNhL3qlKftp/vE5k3mDFUq+a4EUqXdfK5E3NVFQlxzr
jnLGDS/6htqaIHj0JWmGvznYn+8hYVrLatijzIpus3fwL81G2Wm1TPCHz/N96elm0xr8gnE5pxHI
gpiJvCro+vib4y63yU8hVK61MJW0KOyWkpGY+e65lIYJ7YySgr9iqHsW5Xybg9MNw6qIgYH8+ot9
dywXZjeCzTJH4+u1zEVs/vkmcmNjsPrIj48x+3kMHpMi3m3q6RzSKPL062Mtn/XTeb0dS4DOAkWs
TFdY7768JG/Zo7B2O87TPFibktXCKYud/nerwv/6238/FlvOCRME6jkPGW5X+4/n1Mms0bIcY6gq
dJaxmmE/sXKnggF7D905iuMcxxfmMdLvDJAon8nD6Prrc3137yzniizIg44oKFD09/cOm7M0rkXL
39A3IRtkOoRW4WyE18CZ8lMZemxnpTP9zfP87RK+u8Q2jyCC4QRUybq8+zr7ULK6CxSZdzJTnzTw
hJN03OmmSopor52KZp7WKEcSJ9MYqnUwdFN/HGQxfkM1r6GzI3Cf6InCVGUa8G1IX5yCOTHuf311
/urvFHwxPnNfH/OBfPfTSoUTDLMyjANkXfkyTZ2r132dsc0iXjrIA8EOhmVTYihSkuWQXqFjkJp3
KMM4dmnpngkDBEd8pM6Nb8hG7QBulQnefV/1+1//rX++az2TqwmyjtSvlO//VNOn7IGwSgxtyKR5
JCWykLJ3adrtr4/z518iiWG+MnYhRJHhIv/xro0Nm4tiNPGxHAA6+/HCjC3SUpyzxhUffn2s949z
bk8PBzbz4wX7Snjv3fWfvEY07pjwOKeYZhN6Qb9Bd6LdlZ8KMuBCUB6hk1ndqL4YeRHu2dK0f3Nh
LVMsv8Q/3q6eg92UIgIWBfw5784505Vh88sIDqob9HRUmc3DtPVHpzqGXTXfG440X8TCwo4BoCyd
qlFC42pMiGxFtYU40/ESnPyum+5Q36BBN3VCe3sNaRCOVZrP1yxq8JUAkXiYMyf40WPz++hN2XzF
VkJHil9ruYiEKWq0J869NnngIuzZDxTKyA8yqsxDizXxEhHnoCGvig2AYcN8P4WB060yBk63OXm/
5yygem+mMffaGBWbZH8sgh+5Z4jqVOQ1UmmB8eSAzdhtGJVGgFkdpZc1QklubFXUtvsckdR6Lbrc
eRrwndSrMXhr4SZk9yPrW3fY5CDgIuAWSXTFXZvTp8SjxdJ9/NJFPLzLJhQ/mCx7NiZTlo1sx0wY
hUPshx34H+nuB9dkMUQrUPPNU3AyiqRWX7x60N4Dajb3G7/+MN2lpc/hsYQapGUbnp1EbNSXGQ/k
Zkz98KqWf9uw0cVYLiAj1fHQ4CiIM+PRL53pynsm+1jX03D7dnkDCXzfLiLzvnLqCETurLLoCOZV
OiebiOQ1JVUDkYoCAibNb08rsppn3c48oTzqqr8WZcodWZoj2Nkss+ZDF1dcuwn+Dahk04weATG5
nzptwhu0Q7O4W0JVi3zM5wxRHF2JblF7VKv4RZs+CMdA6ymEIUFtxQo6tviAX9l58ooeX6Vhc21z
yPQvWZjbOws7wTNjJhqb+NFA9g7inF7QgUHXuk1pLDT7eryNJ7ePNsq14q+ZbHk04Qkkn2uS83SW
+zBfIu9eh71gPUU0i2/m0WIBY+XlvKMzintJ5e18DYcJLmjA1muCmN0DwxcGwtESgdx00YKfTzgB
psDJAM+34Qbb4metnqMhNNFaPO5e+n/GOx1gnjp0cOlusEMajxJrx2Jtd6draGTJKfWyrT8zqBu1
O97SRlXvSIRa5N+BI9Z0nq4no9Twf6OYKjldnBFPlma9LN5IuzGvllPMp6425QHXW/AYtmpbuos7
XRbpdeJoa6JH6jaf1T6NqeauqUsjWJQ4XzwM9yswdviWJuxAKdVHpjHODB1te21J2rb8EZsn6TXY
O1xV+6Mf97dxWEynxPJ3UYTvBudUCbbNQW0x8FFTJeWvQHEmpyz19Bo2UkaCboGNLt2GrXC/aDSn
Kw74Wz0SboWbOW76yXPXvHCo4KrjJxlIYoZNZZ8zYgwmjdvrqi2GfepTfUYn52JGMuXGryjqiv3o
oYmmF0Jgz1VnNNuERr/NJLGn2Mycjobpfa4XjyldPFW2nkaPt1pX2V9zxz3NMCegJ8Q3kYzxvLry
se+Dc1mo8HNbEQqLqBA/RVnOA9hd1ki5Pd3I2HGuWJnreyvOmpPRg1+bZ3lJVT15lNDmxK99oHe1
HTbfsSBVh8kqCexSTB2Qlg6d5GSVbmmtAiNUl05k/EFlBo6Xea89P4nZdXbjkMF4a3t4mpiJ6lsW
Sm60GeQinCmY3XDbwydGlsOHqRSsH8oG/umKNqjpmqrZWWJ3auemMGSTnIzWmEmYYrWfc1BW0Vcd
mg+eGIYHNUzT1pm7bru8f7DNlBW4zLiq87umZSio+KVlRyRLlgJ2SgRZT6xFUg+xKi1ks5aminkU
FQNOmYA3ggp9dagStj4d998mZ5m3o9GdWRetX9VaV3Z+25jtR5XNMCwR2m7ceiZ+H5KASTYtcPdk
h6aJYadq0l2RpOLOJCS5k6oLP7VJOJydbty0cTCckqEzCQUAN/zqwMYPVoI+7xgshjaOha+jE24R
YgD2QM507nNuzIS1A1uEzLjPJq22+aShL2FcMXNcXfSBej9ad8RzJQvLfrRzoT6Nw+zPe1PEBob2
AfNb2bEegzp8qObZvxmNWoJMQKlyyrJaG22tAKYNPg0cFn3eldXp75XtedtqSCaqKZyryl3z6gea
1L/rWxfmyAVLmEJhxc/8+yyo6aIInMBh859ELmMKbT0aFI+trTbzT3ypRBoEvklewrj3YM66r+Ns
NveK2MtxrAtqVEsITZ7kFsCXRaiBDvj9AM5iJzFsEKKM3aeUCM8dwHGHjICVHIOktpd2gXjjELWs
+8Da90JwY/vFVTI+WAe5b9+FdUaJTK2cix+SStEVQOVA1NYm94Zyn5n0WGZz4z13SyyUB0297htE
vrXXlhoqI3C0fdQXNoGfAWmIJkUimebo3HSmV96aM+g2/LGlXFXA2CmtTY3SJavUZ/ssLdQXQfvf
I6cWnnH9eCUcLDc7ToY/fW/Zjl/woHb3rWtAWaNVAEkdPZt3Op2weplMiht27EvHHTSGoLfKU2ZN
INr7troOSZ7dVVK0t14zjgenbiJKO3zvkI+zPg4e1FCMBt65JF1/TbrC27thn78sfWbQLSu//uTi
R91JmaQ/fJGDdakUkixZAGZJIH0/qqb6mvPRW12XyAe+mOHKNXRdPptIEkRZjAaSddWxlvUsmglr
WiA3Lq2mZ8CIlCaWqPGii7dpbr8Ohg/nFOIVHlDfofY0DKcr8l35oqyiP1EQi9rh8w5kADvvJ4Hr
D+GtvbPMvnlJdMozGx57DjDU12nYrnsXsJ94as2uUM0rDmkPCqRbjNGPyCAG08ZNFvHDbgu2Sa3x
o5ZRcR1FZd/Eg+ie4FX0L66OvS9h55NuXvJWJJMhgTL4FjiIFfU2RV4cDOlOJ/RWWDK57KmvwZ1l
pjm8Wa8nJZbUi3I5pNaaVRSGB3tSmzarmWrYdYDJNhsd/qp2PLhFYl7dIc6wQQ68M5CyaCPMuo52
YR5OEUz7hLJsK1iMrpqE2KZ17ZLH2QS/zXMSG2wx7S1H4Y+8RiymQ9yXTOUpZp6NxxgU/c5P4VlV
vBT2jlm1p2qOu9eKvdGijmQwnnOugvbir4G93MpMlMxrpCobfjTq90GaTvBxErbzbNiVAUy/Gy6B
R2ZDFHMCeJyPHd3Rf6JsuadvUuivQeXGLCdNf40C/8TCmLq5QJL/SusH6VC7uCS3Zx6vQRZwU+Uf
TVGYKxOoqerpI0hUQZ+58nYugiPQZtxiWCnz1cjiZKMUbZFWoXH5scfGxEXxqD/GL2lmR8XaYJ9M
9KsteVUu7ETD3nVy+A7Ywd+zl3fXNaLBji5ftU5zebKbHHQ6ZZOrXCwdpACTMeoZ9ExyO5vJaJ0n
kYO6s/BQ88FR2Xl7e6rTVZ5P2Z444vihlvB67c4Lr9Ry/jAqZIZ6Br0t+94+xQx2tw3TrFOsp+zg
m4wH7LHHT1zpbl/RCfSStlgq2ePz1mEhdCJc5hLijOtdPrQ4dtsxuaTWuE9hk64opB7XbKrlpqVK
asCWBPVilAehQVaaee+xNaEiCCAuL4gyuButxkRJS6qd1zZUvhrltjLKeW/JeElL+l/1ZOQ7PVXy
3FbMDmaED4J+sJmM51i6u5KmJdYp/g15Muoh6y9DPt92lJRgpnuiKOrKI5eBERbAs9Tzj6QOP1q+
/6DsYl+xmoaZAxjdjAeYKQwpVQu1XpjNetZht/ENSzyVCw3dLO2X0bdYWFG+tvEim1ZA3W5829wl
XYUDQQ24QeVr3gNmtXOm2gRx2BGEQ9d9mp35dQS6J5MO0wlVG8N68qfwk1k1uB209tIT/h0iuNOE
rzd29ta87ev4M6VGgBra6CLqJ9PrO4xBtb+NmviDcsLooAY/pWKm7z4btva2I1TBQ88e5tJ1mtw6
9Gh+5pN5Ek6sPlN4USAo1RKicURVTVxLxqNDsmwnqDoc9yX21y2p8rceDOpFwY4Yehfl4wO1Pf43
/NhQJYwqY6BDG2njmXu7twfnjPoNAZ2cEL3qma2Xz7PrlC5khs4Dgwu8YscQI6uP/J4i/zLVdOFt
mlC7drBDMaunrIcOyukUnbeYeeNNY5QJ+BWfoalsBracMP/XurODL16YBj+aQPID5KhIDAIPhGYp
wkaK/rmSbVHIbd9tqB+HVRQumsZUdsEXyiyNbWDU7DFKysyTeKajiHfcR68OpqsBV5rqL7iE7VRL
8yYxBP2s7VKOkXeKx9LQJM4aND67EyD9/fdkpggtkRMhfiudd1ao6StK6SUJc4Mhd+gq68FqRLuV
wBAq5l0Y4yBgS3Fto37Z8votdamRqBqQYj1Lh8yQ5r6yqN5hbc9HQ7k1CHCyQUeexWKnLMX+ijT1
V5nl9ibWLP9WblTdCU2qGs/7EbBKgsWm1Ec7bXiRNk5wciLBUKBhkw/qmBnBotS8Ha+vXGM74Rw5
BpI2LvYJxCeobvn89n8BmE78T7LtfytGU0LMBygK1XOTg0Vbj9pmSuA5w+1AoffGYLOJ1jMX8oOf
cjHBMwhw/229exsUQ+RHRhlLb9OlzI2zPK5g/cWRD8iTPzGP6E2Rc1vsZS6aT2XccgJxwifyHJlx
5XXjnYgz63PemXzrRUqTXTCM+qhFMd6lI+vdGf7mYU47iuyqaWoB5HNeLlS3x0qw7av7qKKJZUrq
PUs19vZdlym96dNgSCHRMhVheMnDADIn+jqZx9LtBeXhgZnn3P/mbFz8MqyeGf7FezNNmCh689nX
uiGVkPnUPPHuIONZhHO5a4H2uJesppZaYAg5l8mMQjYLhlfBnJ7e7juDKqRdn/ANODPxSghn833U
NljTe5i1/H0RyRwD8ZihCNus+6xbrknWobJZ/Fe+q/GmVFTsSIaU6wU0frULq9iTwmuJ8tGzpKA3
3RLr8DZUPc876XIHtK7JZ/v98oFZIj+Etm+AaOs9EOT4e1pVeZuxUOZnOotmeiBcfVTF8r+WLVfL
kiM3rOWo6drzQRRva19A9zXMzxHIdgiULWUSccN9Hxksr6m4AdDxNniCHxv8mC2XoVJCzZ4z86Eg
v8pnRokFiIvC7p9a2EsX3xqCUx8F5XMQUV844XWj1jniJ+w6HdokbeGnoLLK51Q1mMLq0XCgFvSZ
iWsgC6wHNgecYYFFdOHMhikrYLwLe7+I7Qv7Fv2JIk3+Dzks21NXcpn6hsK5IW3JnS8/WLtJo2/5
nFfPUG849Ng1/QnSbXBsGbnCJPOM5nkG6xKaTOTamn/na7jDPHxfOtH01NRBR6/a6rUwPZ8AEHWQ
Ta+Dk9ny7bRtwI995BcYdJPPxKLw963u221YyunqMAK/Vjn9W3rAy7qe5WydMzgMt4Ujg5PIHP7y
lp2P2BQ8DvemIxh+IIt6G7HcBUPFaE5UgpGCgAe0Tj3MfavB77hL1Gy+hGZC35r0DMBaUeXvVakF
jersTnEA8nz0Xa4UWVbjkTbj4IeiTRlgUrvcg9oEWg3DODhhMqOGzSM/ejDU0pPoKbZ9noz6755k
nwxa2Ro/NwCOv469txQvsSDXjFKrcBuxrODNCGXnYjV9cRMNbfcYm4P3rerd4EdcjriHBfAsqjR4
M7nxUO8moSZSZwR0jr1fB18SuVS0NUSvqectGXBvsir+dx/ff/Kdf5fvXDpEf5qe/8nocH2Oi+9/
MK//9i9+NzlIyJ5U9brSsRcqqPDRD343OSgLDArvD4zotAR6CyDl3xlP+KLCY9BPXSuvDNvEavG7
x8HF/iAI7jAVt3wEAewP/yDj+V5UQE1gw8znoEXhXpfv9KDJB9xCyQQOggAn11ZMVzIWP12Nv9f0
0fIweQjYcIg5mO3f/PM/eQiQkJbFoT8faMmG5OStIBNT48Ul/e/MwP/jKMuJ/nQUQmPjKCKOooqv
jfG1HL+34p+ZE/50Iu/kSRWXLlt3DtHN98q8pwS4nl9+fRbLR/ysd3jgrhfgLyYWGvfs9/K1xF4K
u9jTh8H1YFUbbGriqrzP83pPwVT+NwLLn778t6P5FtoVuQr5XttVoxhbDIj6MJUwT03kgVWcq3Gb
hVW2+fWJ/dWhcFmAYRCUebJv/+PXYzYSTP9ocWKRFz6OiQudMOmtq9kScfz1od4rq8s1tJgGszzx
fY747muC0W5O4KP1odBFd0mzdmG9J1RCjfO4qsMx3xNxmv7pvcFBbcuxHJxM5DDeHxR6rmUbEEUO
E+TLFeRyYv6a4UVg8B+/Pr/36vVyfjbAIrW4HKQr313K1DGquaoMfQCrRzVGFkD4NmovOaY2ln3I
A/VdNVkjTQtzdO0yErK/Pv57vfPt+ICbUJG95dH0/pERulVkpmFz8HLanmXBCcp6ePr1QZaTeP9D
cKge9xY7B0qk/cf7ZbTKFrCarQ9tW1t7NUSQ6EPlBDeZbc6HeSI42nfEEkswmrtfH/qv7h+HxD0O
M55Z1vLw//lJ4gt3tELb0QeMthOjF0FILjHA8ynDXBiuIev4KQJe9uvDWuSS/nTS2NldTtbmpWBZ
7/1mTWYAReprfRBGoV9LnB8DRb6UPrOlnQ8igAoFXoeFU9axOm/Mbjc2Dl8Bw479NPbDPq60/mhH
s2NBTmySjW7VPUzRXmzYhg4XX8uYwYA2N0479tBqg+AD9lc2XirvksdpmaKrRCXnRvYoayVzQq+C
p+M18KCs/tDB5CWVEIFxxZqySQ0VXWnvmiAKdeVKxrpkltCxEzAzdTYJGiENkyNeRWKKrmZtSJZu
GSEKE00kMgT4lTDvuFFHoKOkXbpLBwfyCd5btomqiJoEVb9KahmxGeT0Mhh1v2nUnO9du7m4qd0+
jcXk3g9BZ+0NxtXbkgY6djiETbPOcndUFGF9HSvr6jHc29LRMtLGN/YPjmr5ENaCFzXTaV7Onk0Z
PXzSawAK7FAyF1yHZRfdB0k/vPotsJt+dujukMHIbdATCjLi+ftQyOBzVGHi2lA0ND/hSxAO7Bnr
u9ajka1R0NsfRu0CtB6TrP1IVRydYKNs3fueTAttHFxgDFzXkgldu0KSBX81CUkiIGjBcDLiJAYA
GCwgl0gmn/oJprWtwnycGDdJ6H5vGwzJw9R235J5fHJn+7sP5+DLaBPOdTsj/tym5NXNCc1npSN+
SMXgfl82w/4qGur5kNQ8MRJ0/ZGJAVThzuTz8pG/IxlVesp90XyMl1ufpgp1zr0uYjE+BFtHaHJR
mJEJ9NJ4EhZOv/F1pXcEKsw9SZaZebCU4dqnHGTrAYJkD5554Umg1x3IbnEAe5bruk7aPZDw9JCI
pP9AUXX3oSWcypjJpxYshU5zn4VYu2mOSE84WgDDGGW37TGN3Ho+l5MGOCvY5Mg4G5tl00070Gh2
TFBoqf+lGwLqZwzCutNshEjChOjysfkhKbp0XIEdEreUPyf7KAzNveXq4CWAqgB6wTaCG3vwkZfS
CDV7iTnApGXGfztFNMtM4STXsCrc01Tp+lIby1wjn/uj9Ct5FxiOsceV79wpKw8vgyvo06jZGhGb
wHsuehPhldnjsdYtWYVuJF2c0m720mI+IMI1lO3KMTpjX6IE/3CT1PvBZLtdN/B3zhpeyEvkm9Y2
7GoX5hc02q3RtD5SkL9cj4A098aax28ZMm2ybvox20YhNgWrsaZDDljvAmHSfWRsMG+DySMi65Bb
3nuq0HtBJuizZwc9KRwR3Zt5bR56YsZy43YjO3oV92g0CByvVgpKoaam5wZo7fCsqS+8Fl3o35LT
cR7Z/yMnk2UytmNtifNgh9Od0zMTIq/i3cGqLJ6nSAz3eprGuzGJ2puR/rKLNbKTBm4gzmnFAMaq
BQ32Uys/VCRINi2+MMBaDOnXwrQ5QA29gjZbG/qnnk1VrIBwpWpVSCk2WH9K4n6D+cONZZuvoqyM
QCP3yTcxy+YAf7XZUhLY7Lk18C1ACdxVU9Xs23IAItZUcQPCPSIHYbr1ORskcZWorKPHmc1euKKP
is8UQSQ3ia/ISTH3PvHXho82vbanKZ3qM7LhtM5EENfrRBZ0k4g88Y8em4UdcQGJGSD0j4Juz13L
GIEM8xI7jNIYPIOkG2aNQMCEyzfbLcwpffxtoBTV3rTDfW9sVdAF5N9omVlD0eU6jCULHJsByV3B
IuCFqHbLY6xP7zMC5pQ8UYvZ8hT4CqN3popKqQPYof67Mpm72BjOzm/jkqGMqROHhMxcKy2tF9Jp
eA0ytu0/Gh9zzNQAh8IvyKxrma7YhRRwRRiLYBjLmUMLtQzAMDOD5223vZf+F3vnsRy30mXdJ8If
ABJ2WhZF7ylygqAcfCLhzdP3AvvrDqlYQYZ6/A/ujZBCEgggkeacvdfmJMoYfkf1eRvLiJam7HJJ
2v4UVSnA9utuMjm2i3ypqWdt80wCarPh2MsftWqhbd8z698reWYTmXc0hDj1WnH51CdFsW/9Tu4p
xoXbZDZ01uqFT1DRwdDH5Zxfdm+YgduD5zpehgOKmCMvzPRlec+YPOv+yqffRKEqhi9QG35y6WTY
lwyNcJwVjfIxKGnrmYQUGuKA7wZ/PFXn4gwSCmUAl1iobmmPzUErFT+wPpIbTYySc29g1fv2LtJI
rKUo+67ktpVHMvSwJL7PquOymNHDs3H2mpVRU8t6z0qHpI2aUxt59Z4gRbl0qYB2uYh/vheDsqVQ
VdSOfR5CGKE+QZoQtkO8PATCensOovVBKC17Gnw8jlJWlCBJvN7aAOhof1JUjN5Lx8ti1/g0P7WU
MurgUOgVBlWT0qcTG1NOvhEw0t+MogIerxjgmGmys5kRvUa/CdjB0uWvlDX8gOSjeWgyZ35iIEU3
TqxF123a+cDT6eA6FrrxpFZy79XC+dZyFm1XHaFxJERItuLvRR8z1MYbgqUJDtf0/lcvQ+2xWPDS
c9umxsbTnP+8p6wdw9+Tzg87WmLY6ZYyriiFag8R3v8bTGA0FXOz22r2mLzIrvFu/bKHS4+z9ll0
k/Xc15r1nNpqumKlcnZxFWubiTy6DWVF2gfkHlzOkVbfAfqVW7OWxRZ+5nj1/tRbG1FO2Xjetbmg
4qQsWfia9JzYPQNuP9nWssOmVzIQdyP8snOX9ulW+sTnFVMrIDcWJNfVOnEL2Byns44S2nXoGdEB
tQ8d1/exPHsGAj/N8thXeNb5DLzrym1kuKWDGUH6wtO3ouSTXetVWhwgiDvf/BBrZhuiqgXpxmJI
2Aavf8arkDXlfGngUMNj6QtixCbKefZsLBVJ1E7ZNF4xKUwHk9jSa7eeZzKibEBhiF2mJxIPbNIw
ZrA6M8gG6u0ZKGnQN/At3fQahBv+JkHd2+oK2gfDjBvaHWgp1Gq8rtyGpRtQNIybqqQqOc6Fm21M
on8BPRtQsVmb+oNfo1BYhVZD77sl12wtXVk+dIhQdx0TDnsgesHnmP3b64qOAR0Pp8cQQe12GmAG
V8jHdij9STUjik97aEighyhS9OyYLchReU8DQI8aPs3WJl9rfpdle31Fs08R1U4RMn/S6bJsC0VR
WviJ8f1dB2UVaFusYSCU3veonY5JKVaatcgFEYxsE4ThNLiR+tWZ6545gzVtvXaqAfGQioZNrEcj
V/gOPqi2R8S3kgDcb3WHTihOtZyyccgvHixyJlsY7HF/0bUaxBj+6E0q8K7BB63CoAFNuU90MR8w
oREZS6LRckfXbjyaa+qe8ZUxJ2az7pLi3hyzeotsRW5nFWt7zvaEOgt7Ml8nOXnERMrqHv4HOtks
0c5plt90+PpX8ORifG7aL69q3Z1hyW+iowueg2m/4DayTa6XzJx21NQ7z6uHbUkFdh+GtIzhprfn
6P5qlKGV7m7ZIcb0qInTbOPpxqQMuc4ap/jhSu0H5f7r0WzEzhyHYtm3VQc8guRozMnDUMbzuva0
KGC22vMg+jVadLmJkPDQAve+aRLDS5uiagF1W4Ubb1iAY4Jeo+61yGtsBbPWVdwvflSLXZVJGB6E
GHofxELJOFpngCy3TpIj6i5F3+3J/Ipfo663g2w0UPlNHXFpBJ+W9wpLzIw3FS3kqjDj8zh11I2U
mfqmRZlcsaoXOAQVffjeRRxqoJDb5J7KDl0/zURZ+tkekGYXaDHIgQ0RWtaN5dXzTRo59b0CmrNF
/OPS+h/rYuPMjrMdXdKww5oEyxzc666vMqpxep6cwR+Y6K21RODUc3FOmpegpZPbfr0ZykgMdIe7
McvOG/md7b3xMnIcvzT8rtXXtUn0b1+lQMjNshtuwnkqD+1EgynV4mbXeqihzKIA/51hvsWrWPMW
N3gwv1uxVQ3rHi7WtWW06a2023LX4YZ6cWr2V6vRiM2ryfPbF7AF7hkJavI5nFw9XFVQ3J70ZYV0
jELR7fLiYJSyO48Tz7qMi6Z9xmFvB+BxhrPcjvpzsjSzH62VojKKDV5u2bXhTe+q4mfRQCAjO9l6
o49aYq+FjnBmZKZ1UbecwB2sQvQ5emlx1m2sbjtprfUopFtskfYYtLDwtl6V2vQr613vm1m6Ej3P
TMBNlM9L1ni6TvtiApYQz3RRY5JOV502DhtnqpnJ0jwNCH0hZMdxdV4vq+3ZxKkCBbmYV4PhEZOk
5g120gctpyUtWwpazPIrarYeoXO0rDNDPdciFfDYaekgGHErbO3sjPel7xQPZVaUF+2cm4e6RrzB
fr5AGoVLN1NeR/JLM2hFwHHJ0X5NbY5YbAAEZXSO99RqYH85d3p7TjHDytSS8JFGSHvBopjfsFVM
30ZDlI9plVXfVEdM0F5puFlXSVglGaSBBUIJOJYkUa2Vt5YwBrl+b09ktQPyuquH9Kw3u1/R4NG+
p7J7MfqePBfsbH9IBWxyAu23cbTsai57GAWN0PJ9i9pwTUO4vMh6EkZQTqv2ikJgdJWyGVqlVp42
xGrbFVo/B2lqDeaK7/8nOCkM16xp/qrDf4tQoiX0tGy6mwwf1cbCV/Q01o1g4XKNrSGL8LZRovxO
GezVSpvhFUHk/QzM29q5tFw2Gt2WfVrNzOxKEySpLLkevguyBGloTX5STsxzCPLfiTt9N/c9uSaM
eNzfpbWPY8cl0weO8IogQvcQg90MQNBG3+k+EUnATLiyhQZyIxrdB446rCeIk1+XvMSNivxnayRy
VlekGfKvmPhlqvbeSqyfbu7V1z1FLQxtIRHlGbo3ntuUXvpkjOz72uWJgbDagxwZSazweSgidJ/d
PrYekp7Q8rRL+GBrH8O2ZE81xcQ22WRItCI2bziDPDEhZ9ejmp2zCnXpqh1aZ6tyGb6Vfjavc3pi
lAlFeuVAnMZqTMb1yqzZ3UKJqdZRP8g7CSeDHa5GvbloD603Fbdhojk3bqVHcE8c84qUa/HbiICa
lemgtnWXEGkIa+9a2mN8kduZfW8pVI2ImGdwii+pBJIRZ82+YLrd9op81bkd9dsw7BwgcRgKyjYr
9xPO9fuWGXfVEcC99f1e39d59xB1AGRHV3fORFRO+3aoX2NfukFK2O+aDuVIQomrBaQ29hds5dyz
wUKv1URVxv63lL+7Nu2TTd6q7wLd/0vjtWSMkHcZZ99LPU31c0N14bk3hOmGasnAYGvMh87UxmlN
7KDtXyU5AWHrUlZEh4qaGOtdJSkjr724Rlkz1fmDLHxiNOzJ38fJYuShhPWAAvrXOKIv1me2KnUl
6jN9Hn64NqcGOzcLYsltDkkVYqKZKMdDkfjGAlYMNDRpZ3z/NjQ356lATLe2QoiO7ArzDeWOH42Z
IOLQJ7LaUtbXaRiCbnTeXI4gI1E5dq3fsodyqJxRJtI6z/hh+flwbpW22DqVoJCSAUeMQiPofS38
HTvCvrF1zbxtRv93NVraU8Sn92iabh1v7KasaI3XY7hpPGNhvdvlXvfHDuhKJTfE4cIPxo/whUfp
YxXUpOuks0BT4sYCT+vrz/qraHyndBPqr26V5mdG0T/ClJuDyOF067sU8j+vu57qTGAUxlsDStXD
a/z35aK60g30QFyuae0HIkL2nACATUCg/KLd8sFUs1TOoU6ZFttwOi76cWV5nv9T1HbmbvjRvBfp
p7D7CexuXGnw6fFLoHdxvFl/iwnFCNqBetznt3uqek98guM6lsCD+qF74Ip2xgtQo8uPrFsbHsil
iqiTfn6VUw+VV7jUsHUan8fuWgtPSmcV9GDe2yE9PGvUxdMIrjJVX7y/UzdkIRyAn0tpDpPi3+8v
GzsJx2mgszRUcGmG8tXxytfPb+eraxy1lIgqMR2+1jpARE34Q723vOIrx9vy8o87How/AEgMRdv9
MDj81Btqs60DxQJ2GXW6eWaWkmp5PyTfYo1WCxIlfWHmQakRqP0w8H3V2vn46QlMydRR+f58zi9H
rR3LVsgHSx9qqwFHsoWstIbJVxEelKL8Ub7c/Otz5XokgBCkauPFPv72KvZW3oTpJygkmbOWM90C
R3K/mE8+jkVBDx04HPWdJbHz6AP3I6MFbZ5XAbRDwFWqTNZ4Ci7clILm57dz4krcBMG1gD7wNblH
w8RvkmSeJq8MmNpQLWnNOSEZD6pOnz6/zonXZLiWqWOYW9rE78Emf/S6HVVkwq/dMpgTfVvnb5qX
EyIsF8HV2edX+kiQ88DV/XGpo2YjB1VncW5gFep9qnfSIs1rcP87EAFLVi/nxwk46R50X1hvKqv1
NnqNJsVh37ptZ8KoUlpAe7PhLF2QeA0T30LwZXupgsJG9ko0xPNlmLMZtCopEItSMmZz1W5zk4SO
M7fPx6uh7ChjTfh215y1ATY5yfzFjVrGh8+PVibFfZ0PwMC7cjQ3w1rVhC87nmkTt88+EXVXRu/d
EbGcvBVzBxcyJ/sZQdVLjdd95xLWQePKOTj4ghKb9oxRqQwx8WMRsjtqHZKhyuJODd7lHHK6LMqs
2jaIxFdVArY5rFOBDnMo0Wj1UHi1VOvWo1VaAQ2uYdO2ePS4TrrhHO9eZBZahjQDwjIyX2/8aFjP
bjRuSMvIfZ6WCQLHnxv9u7sIuz4fASfGmomfHwUHaxbr/tIt/WOshUVf0YadeC4pFOLe8MWBtz4G
EXncJRZEMQSfX/Bj51cILMqWjYMHgsdx5xdPQt8PqigD32uhfiVlsa2Aw1w4QrX70Ivai5j6ywP0
tuj88yuf+Hxpa+sLLRLNygfxRU24lxZ3jsQ9OE3fegf+fkXR9wGjevrr80uduEm6vMxGHHj477iH
TnOETefUyaDoa0qjGDpqajYwf7Ga1AenyUhibeiyTavBpHL3+cVP3Cf7KrDuOpo3pARHQ90li4Gz
p5RBE5bJvhrkQ7R4vb10qv95G2Atk5SBgRcew4ckbw6CTYRxNA+wHD1Pkxw2pjcCjs6F+OdhynYD
wRTCKGQYH/ziCopiF/VdTnOxI2nWofoi0uthsJ0dp8+f//oALV1wY6ZhQWAgPervbyJKciWtvOK2
7EIE2HllSSOBwm6TL6Fqn1/s4wfIxdjasDWw6WodL18VDeLY6QruTLMeYqE9Y0/7mY7iAUHgF3uQ
5Vv+ewvCpdDnONwac/67G/uPbx0sejJJjW4stsStoGDilzYRMXk/Q87DzZObX+1GT18R/g8ytuWj
O15eLOUSA8oVK6M/y3z1Vk7Gg6izCrWvk8PKNC8+f5ofx76ls/HGU86ugysuT/uPW7ShreC+dbNA
67ozEqEDy8pgzOtfXObjhnG5DBoZsQAmzGNlVe/pY0JCZBaA+V8M4YDL1MiK+PnNfJxFuIqhs9kA
5eB8MOnjkBkBuRtZUAuOtRz30JR2v13p3KZVS1eNZDExlV/MkubHlZKrMnGgb7chMxzzDsB64wCI
UVX5Nj72Ifc5i0uVITP3adXNkk5WM8FjXWGYI+IFNKii9q27+3asokNOM2kH7f5hnuzqDiEudAGl
2Bws24JqMSGgjXEefRPIA45A+4uf/uSLWWIz6AjgGTp+MfQl45zyJkmU5GFv08lPz7SRYsfnL+bk
KENX6foGaOIPW87CqlhGojIPZOtCSCv7QM+MB89tv9q1nPhgbfJqUFUCnuAMezSa3VxIVUkmolEJ
utlhfBgdfdx9fjenZiCHLQD4BQ7lPLu/rzKnujlGnZahIMDR0rssUxgA0dQ3+Xf0+v++i+bMiEyU
JWNhJB2fUPG+O1Ad+USnLPy5PLs6cW6LOnz+/K5OfTwLGNlFksvB4HgYjw2ZF3PJx5MntneTTQZ1
9tD+ScW13NWR7f0Ycgg7qFiaL5aqU3MeiliLfTWSwQ+HHuoneiysPgsi4KSt1HBQRDuVPql0vme6
/uJqpwY8xx6Twc7J8oNaEBgCOjKsy4GKVLYvHNu9HUxcmZ8/zA+8FvhHOg/RNVmOBDLno3nV78yx
s6m7BV436E9JrJc7wjQQpaSizynQu8Njanjluivb/rqaZHZl567Yx+S9bmdMbHSXwMsbFR5z/Bk0
Zbsu/ep0a5x88i4nbL5MWGbHG586bHR7KApWm9GiVthWb0brl2ukJQ1Btd4z4R5q7ZKecJFLkTxl
Q98cQr98jWnrzs7ivhwK60AVyV85k6bA4nIfnz/IE98ajS22oK4rYAscL4i5y8+QjGy3Bzn/VLPR
7nSFoirMaWJPb59f68TjMN6FhvaiWGXX/fd3bUKf0C3c0MEcGj91Cg6bwtbfmgn8vku+ICYtp/1i
h3HiozMMyvbsaFixPmyx+zqfxjoqub3U/hYnETQOWvcUM+t5JXBnPlb1UG1oyfbBv98r3Cx/qUix
QTyeKS2CLJLaa8qAs9oVHj8iIuv8Flky2URZ9DSRYPfv+7YF1EUZAAi7z1R29HQdWg6NVZWBpkfV
GhYvrUkp2tsB6EFQOBykP7/DE2sO12MPtYSaslk8+gKLsLbipOTRjn2EhNuqh41eldVGIIv7v1zK
x/3uOWwYwXX9fWvKtZK2IP89MPxS3gBdxq3pts550hnGF9PXqTEq+KAWH8IieT4aoz26GDlTGQia
onuA6vHLtquHvOH9JVF162Fq/+fDERMYpgsTEBk68uMP0BgpuJvNLIPZnBH6uMNd3dUbRR3giwud
mJjRFsMhE1SesXEs7/OPnaiacevpIUfAPLKfo3Hce3P18MWQEPwbRxv6v65xNCZ8jTQpy+IaqHqN
FQRXdQaixr4zOweITD40PEUda9RQK2hjafRYDjWcW5uGTQfCleJfhyRKJrR7LFI2CKk2ADbghk5E
W5+REBPfmsSkE4KNQytUutwXDQoNTrfTGi1ceIhtD7W2PmJWNBaaEVRb4272CxQX0oCnURZNvdf7
KiTjFf3YNeBWdoflYg6HC34dj268N+pmOuQYRq96EReXvVb3gZf5D0mZNWuecLYrqBWRkYtaKECh
VKzKYVbbsIttFIPZcFFaIoFylHa7zx/vqbHJKu4ajBOxUEr/foOgT6p2chibaAXfqrF982J1bQlt
J4oSUy208s+vd+oLZ8/NZo/yPcr4o+vZ8SRJbp1kALp7qTldDWZ2GFr5xeb1o79gIZ6agsIfNQLH
P7oMwJFY1KNPXJSe3SqV1AiHvB9V9kgn6pKu9Lqzzdeoll8cmY7D5iy2EFyXKi1PlMP18YbMV2Cw
1GBTEymn+VtMZtTKqy3tFrW7nm9pnHPGqewCHkHWV5uccAo6XJKJvDL7g43U104H7SD0TtsZrSXX
IeowBpzaY/ygjeWn320DIPkwogcCSRNt/NYgbxlq/iYywnszw8fvzXa1wvloEZg+Y89L+XlAP6hf
CL+NG9LngFmPWPBwdPH7xWyv46ZNty7sgqdK2F+9ilNv3AFAC+WWMoMwllf1xxyR6I1dyIzkLgBi
E92l1TTo+8xo+y9G1qm56I/rHG+MetUTygb2KvDshZxMvWFNtMf28+F7amvjQOujr0C/DSrp3zej
V6YqK7BNAU0nbz0tlkUdznwGgT9upi9MZycvRr2SM4uPu+34EOHUTEYy51vRYocwEcAJ0H52yMAQ
VLbJF4/v1ETgUPZntcCy92Hzm0+TcFKkFEGd1rcA0UjjDKfnMq9/tQnmrdj54kkap8aFyymJAyxe
Kve4TzM3Kuf5sk9LxxyayGwaZ95cDweTWvymFFocWKrC8a18cZfoYRxMEcrmqEwIqoq8bOeX1vTo
4gtAox1GIKs+f9MnfzwmRMpI1G/944mRSOtGy2K2OUOlfgk/eorN/j4XNJP/D9dxPU6KHH8X38zf
I6rptSlWiHICTqKKak77Jidt2JRd/cVCemrbuqBtKbEs/3OPvkMx+Mi4EWAFLcLxuEHnNsjburQB
wxvXeVk9FLn/RaHi1AD+45LHG9Z0tnKEOnoRkBu0J7bhl2/lKFyds7rsvzhziFPjdwFxU4sGt00t
6e/n2C7hBvPoFkwz5vTaxuo3TEDyAXPDW1O+jdYLH4BQIF1uk2oRHGvGIs+qUf6ANnq2KKo8hxVU
q85Etoy1BbNB3Nb3ZFCC/5UEjxP97O1Gd/CePJtZE6BVg2pCa0aib5bSZmn+1gcTTTs8hFHpr2nZ
XeFJVFto/78Srx9WxSSSLbHT5r1Ceclib9pfjKZTT8FfnLqUOBi3xw3YPFcNyZGKnZ+aD3M7G6tW
t54xj59TMyUidBq+uOCpV7zYM3AMuhRbjx+7So1oqtgMBUkFc6BXXa1273QCEQHXWTWLMPXzD+bE
LbKuL25jOOzs3I/OJL4zeSBHRB5AabS2cT05lzJmhzalZfOcwmkmkSr+/vk13/UaR5tQtDcmD5VP
lKPt0eiKtCmnM5sXgVPM/joeOufeio1+LcVkn8dlnj/BYIN9YCHZetcpezH4h6KbAWKhJdprAzi/
Lx69caKIiSqBqs8ya7sfzr7RaM+KzHamjjlEzyYia4cqTeyasG72MJfFipGCfMoGg0hCElHdTYb8
2voKRSxOzJWLLxw5BsxsGm3m39+ejjTCKdqkwLecglF5FzcnAvQFAktpn/O63EObIknEZwGlLKeI
bGhkZa/gifQ3gxj03TSF4Cbe+fLtrH9jWyz38cCQwjZBtufo23t0ub8mFJlM2f3WctJ4i2DQ2tSa
bIPYqdztGHfuxovOzTIT95mQ4zWfLU4UMsPn59jr/LNcd190oGBfHMxP3T8dMDzo7tKhPy4cUW5L
86YV3H+ejfdgShGkOWPynBhavPt8JJ66FOpLtAa40Vk2jjYgNJ3gkS/LEhDSeKMqb7H0jCo78+M8
ev78Wu/v7XjUL9VfwemVZfD4+C81J++GIuFw0APjWRFDNeH4mC1jH6qyh7GaG+dGqYc37WgOV6ap
Rbdmq8EtEbnaKwnO5f0H+v/4hi/wDSYlLKbB/0UJnMA3gO96kz//JDj85y/9h+Dg2ksWxdIY1jlO
UhxgIv8fgoNPlCBneHqbdJRIKPxfggP5g3R4Gdm+tWzd/yQ4CPf/sZfgeEWx1XJZDcW/EByOVxFy
LhzK5IRe6MhoPpj4pY4rt4gzwAeRYc8QzC15QT93eiwIYULtbH+FQVg+kz9HNhd0YTGzYvGTf6wo
g32MSUxzpmAc2e7qWo/BxxmS/R8v4ea//70/8xmOT6FcBVXuYuK3mRo/LI4tnbq+suMxmFosD4M5
VrdZWRMF4Vpqq2tDvjIaSlxWlWp3zeCOj59fngyID7dJmdLEikSKIu/4+BgMMhrazeS2ARE4+Qj/
NJ53uRvjh0QoQehrXJ8RwMtqgRgaiqkCkrlAKBN2Sg1d1ns4nka0KqHtcWiOE2hXBr4Ebx6y3WRm
/FksIEWxFrk296tR4RDETtjAuEF3O/2mspDdidQD5IonIYgtjJCh61QQN+3qG5bCab/Qn5OVioyJ
ikfF3Lai4DoHejUaD2jy1FUNwfABvzO2KoFhfHAa9eYVRaIj9u6n3zHJ17te5v1T3hFA16SjvAgN
fMvYczxjPZSmvIhDnfJ3MqkXwkb4i8OY+BcNuJ4tO/Lwzu+BEm/6RunlgUclC/KtdP5uyOQr9sTG
cpu622Bgx6PyMJUTcJyxjK9t5NmUZXxEZlhJENm7SX1b5j2RSf2i1E5bwm8bB2XQLMaEQkQxbMjl
qM+yzqxuwW2FZ0hyxr1TGfmhQma0NUTbP6Vw9J6qdHbueTvmFkUMCGsTXm/njNWPqSRJJHLZeSSD
nB5x8JcvxPzxZirm28BZPPbuAJdItNK/cIhEDAgGnn4PmGQe9Zq/Mul18+yg0r4Ix8g6YNwxHjoY
o89pO8iLsSz9i6Jgh7Xx08pKV1aBhH/ldLMOiyFX20aF+XqQvbmFiJrdKSdG8g7lGi90Wf+wQn4Z
ZQgECTCm9hjADkVxbnUVEWJ8zp7WTnsn6fJD6fFyJ1cNBBulAN4aAemCpCtyRRTONCoX8H9d2KN7
zQizuwgJH6zVuLoiNMMGaRz1vzKdMCWJ247ama4zaRjlazJW/RPtjvnSr3r+KRFPe0Vq5MoYuWN/
0NRVmC0fu1bZ11qk90g6uRfHSv1V68fFusdTQLR3LPtfhBtMe+KIrevI4k2EiMcI+lbTpoD+R2g4
dNHfAznTb27u22vipFJYuyMEMPwVYXjn6GH1g+bzfCmHeHo0WUj3gHFxItVVtgOl2v7UU8d4ICRv
2JCUA2pO49k2Ee8x7ZZHvQzRXIKkm4i63M2YHSLYjrwJy0FITi7w9JuIKvWSR254ljfZy6A1HRz4
uriOvN9wE6FnJVrhxByQC/MQN/YrjuNqCensniKTsYnvIkv2JtaojWXlr1bo9qBfXUWUgs2gXIhW
Y8yLwlXZ7sLKUtcKvvO13w72dTeFxoNMGvXS2U75inOF0erika3NsHwVyMnPU0zZ96O38Ju1FGyW
J4fyLYIshcxPTBqybD/bvN+cF/MRNGWj3Y2Tku1mJDz9kipt86w4ht9NZWuAtOZIAbLXwGqap8Xa
GfQkaEvTxYwYjskeqyTZDsQ+85qKrHMXBnn1zUhw+2EbdhGPm6K6ah3cneYzxVcjc176Ug7tj6Tu
rJcEW0YWBb2YpYXMctbkFqHd0F1O1RDaZ0MkOusOYyYWPWucHg2cwWsynWO5MuwR2WA1OzvGoQ3x
kqI88OixZWrq5FVXgnnGHuSfWVp20+qNdlvq+Z1md1dWoYodBhL7doZ5t7Jd0L21HYEADq/gXUIN
p8YXROYcHwoze2xoXG5Jbeu2nTV9TzyA8lbf/cxiszhoMvpBwkR8iGf6QdLo1EVJTNw2t/sRMm7U
/jQwnW2jpDnHuRTuUBsbWHYzf2NMNXAE144QMUTJlTXDTweJ20/rGi+hk3pnWqaqTZJXcl4pP6wO
6G5QKWsjOFMdSEyRZNQkizz/HSlix6m9L+jlxprWviXvJukmW7PQ/PMUC/8lJfoB2wofLL5P4zyZ
0Kl3vheRl8KLNI1eP+gQmIPCxV2oWuFty0Ej7VuQ+d7LhXOgI1Q0tUI/H+zED7rIuBdF6O8orjQX
hvRFvjV59j8aNQzO2uZYinKRWFUCtPO2D/DzEaRhDPD2Q3CaDaBVaeodGk7foErqO5gEwyWTO2x+
iHLo9pEdseaxgHs77GT9KjYRdqbSqe5ozxr42rJmh2orJiou08DGeeOrRyLLisDw8VyOi78gz7IX
rAqlu3ZGZ9rDegcTSkfb2xBhgbqktwQ7REEvyDChzna2cA/UGU19MzGJ4IjOlNmsFN/VpZU36hws
PuZ3UzcPaCaajYhjvqpmCxevWkkKLitgwPaZcurxcR5Euq4XAzNNqGDIN6LXSji+zvymct2m2lbM
DypVJZ7cxg/G2fYPRRdON0km5k0fdtVZVihr7Zg5lg8n61f5QGBiYwnr1m0oMZfhojqIauyQuvJ2
ldbTY1kSBwZbkIPsi/Sb60R4ZfVpIPx2wprl99qOzNoSoWxxmxsaazmEmEOSCJjEKCc3kRb5T6A2
jH2eMOIdUcYHrx+J8htC67Kk8gf7etDuyIrwroxqns6WjK+ckAMf2EHl1MUvK6qusB+4F/6I7n1t
DQPE3hzdGCKdOLtUzWwcFN2WimRlpz7P51C8dKk7WSvXHpDnmgMxlPEElH2dGqn+S2Enyol1ls64
0VO9P8xV5a9VodX7zsjtlyHvEvIOsiS9sNqo+VGI1CFBoLF6OnCGJLzzBUOQDjoqa/DRlRIVijbK
bOfGdv+9TI1y3ebDsi9Q1S2+m3yDWF+WW0z6yTk5veh2sSemBMKbRXxAP19f+FVTWihsKRwS/2on
uBQJn16nWJ+vJzNMgjmW6rupQBuCiJ+y5d3A7Vu2SGkqWIeWkInUbuSFb5KF4EnV/vRgwCt6JRyh
d3rWsOCg/p1+c46GFjlp4Z2i68A3QHrGhRvqKtxE9kILjJMCxrayr2c86HdaqRS3m4h415GHiM+Q
TtC6YJMXk6c9qu+j6uhuxYgtcP6yOiOLJvX1ffNVJabxgGO0+amg+Hgb0ybefmUUSzVpnCZzyzbU
uR/JcGzw31YV7vbeyjZpbOYHCvfyIsf+HVh6Q5RIOTAZ12mUrgoF9XoT2w2Lu1+U2p2M/O4pMUV0
HRXsNKTtqKtofv8p/OqbIGg2WYVVtUzK5FL8bgEIkYngsj3xq8q4YRqUP4VyOAVrxBGxahPR4kRM
RKui5sdZjOf72NC6pziBSbkyKs2TIJLraR8VznSu98SAxF0/bKLFFFay2XpBZ1qsm2nZ/uIeenHb
MYdJwC1Q2EF4VYzTb4wGyX6cw5JUk8SHVzuAtZjsUCfrQIkcepZffaF2oLD24RCBvsdb9IYgJpam
3d/VHbvTkFJOmFNGnHdr8ldVuq0Kf9qVpD5sVIIi1o+F+5vwoj6AWBLtNMN8Qxz/DBhB0ORjmdLs
Idp0KKIv+9q0XnqFqzmZRXau64V4NdHYjVh4lOzPMRB7kGuNbEMWJoANuK/7glcYRD6kG92IceyN
BfuEvPAvWLih/o5iOkc3MJAoiG62XN6sCTnoro9q514DNElGTaRDNJOWRcJ3w9gGScZ+YyhJsesY
OIBJ2StxSGE/GGX8oZkoRbmqgYFgMFz2SKOcq1uJXpZ3icdxYwFH+UaWerOyiCi/t0Dobs0xVFcZ
0oaLtING3JNagycx7p8iMrFQt9tm/loLInfO2nx2CTMNh4iHlJCnoI1NO27tKIv1dadEmGOeFWmH
XxyqktZYG25Imk9lCC2nqQQ+bdeZ8+hAKG2yCeflN0I2UuFGx+XmrMMEoV2PHskzz+ksNVg3xaiY
BdlL1XqcSlD/MXccSZ84aAY/AJqRLZQ7wh7RJjZXHGN03GRsABvPap51fN9rDL72urHJTFkXPmTa
EccxLkJLfZ/SLtvVSZvsu55VTc+GOYDFxEYulk731Cb5q1uzbycPRr14Qy6STT0tMRXLs/MXH+nZ
PPPw+di1O0y14mDwwd5mok/2ITo6uSZqOj+0hBS8jYS2vFmTwZps5qa5kiPvU7RefcMJwLuYKh3n
/MBhy8ll8/xf7J1Xb9zItrZ/ETcYiumW7NytVrAk27oh5MQcipn1689Dzd7fGcsDG/u7Phhg4IHG
YjfJqlrrXW+oCJX5SLKrddTnvn7p15q6SvwiTIinmEKhihlz7mIadoaKyyM2GFSLlWsFnFnufWm1
w7NukASElW39anctNsGCyrYx6Fo2baVYeX1tdB/NjEZeyqK54nKNDjYSc/3aR5W3sbyeijQSAjVj
bSvWSEcygIECnR/2upJf62rmrpSK7B2q8sBOhTowv5Qn2UjQEJNBRjD769aVlLjp2ItL412a8hMU
VO9iTLS3ODX5l9ho2lO6uNXFiblxzHqWfaWbdlh71fjMCIq2alrSvbd23kyImmuZ05e7Ke0JwyD1
w2OVqm3qqeZz7pR34+w2X7Dtps3R7ZhgT4GXwJQwGRT80kpbC5b1U89ijUDxIO60Yc285bJYE4GN
61Kd6WQ5SPJpg+l/82LLGb+3tszQUjMr2Q5jSke6Ng3prNM4JbOQ93rV8mTqjCPgbQ9sqrjCIjA2
F3KhcaRdiw36aQt9MIAW365wl7OKcdqdR1CNt9cQm0Y28LjC+mketOVGxHSaVrfI+7dOu7J4fdAA
FaGDhQexOnQfuHakh0JwkBXMly5D5DAYX9syLda4DdBh3RCgh1u/AigqxcIob2jEpyT50XpExCiW
WxXOS8whMK3eaV4MaqA3c/4gG6gneHrn/up1ZcMgxKtGDth7YCzCI44nvSBNiW/EvNSkeVYsQYbZ
QB8R8Vy01DpZPQP++aQd00YCmEzbCrOuECtI/L9y/Is4aPQWwIFhFlg7SAzuKfKTsgQAhd1P8ite
lSRa6f3yVOE7EERmWxy1talFScS2RieFofjaIa/O8oHX4aUVVirlN5UmTbZUbHGWweXf+mYXu6Cb
OQczq+pEkAekfdd1tZYprsbjK0oOKdlBbPnr1SSJYtcIWvKqNqIH3SiqS1Ob+QZpgHfx+k5+qg2w
C1zjwTKgTVaXCSr/7SiocDFl7tncNbP7hlaofpnj1tu0uvQvk8s+W08JtzCxSfbTMXFDU50PBjql
khbaoSzqsaa+rO+zbNdtGMFIR9xcARLkpy61Rt7y1/1eLucUGsNjsqKNk8zWU4DC+MXweCWEGrpv
g8S/OjGi+NYlt21ntOv7g3MEVhDgP4XD14lW1OGtrPB8kCmsNvKHchrp3knz2TjQcB7fzgajB3ob
vDi5ddny6fcBr0bNFrdurNkcFZPvXaTPHZZLbj5OLTbNfonJlENK31HQhoSJkxmPjYM5TDrwIH2A
ueNS6NUFk7/qYpsUD+X6DBLqpc8dZLNm16qaomgy2M2IW3leJsqTJgcX0evCfCQBj82WfewT1kDN
Z6QLuJsz2AnfoJixByzy8Nc5xVUyYfINkNGxmzQh5WW+W/MCd7Ke8ZXtKTJLFjaifgv0qS5YFIs+
1i/kiAMMTmB1VhpRovUULBaumxsTUG/LYc/L87bNzi53g46deLRaxB/pphYid8xyreO6me6/tea7
lmb5qXGpljQ10SqO3cjN1NnekpF1lJPk8lF3xoba2uJd0/ToYZ7AKcxiLtNjJWx5mpoC8GbdKhHK
mNs2t/JbbBRxXnRSG7QBczVL+pwPCa0qa7IFFYQMv4bDGCg8pDt8d9fIr56PTjBVzsJNfYo/TNeb
L3j1UHLIThXHrGKRpU2a3OKw9jKONneNXEjraHoJS2XMuQd9oVOFjpP8RFWSiWCY8UgPsGrwqVsG
O71ix84mO5HF8FzXkRX6y7hsxoEHvnjoFnITKPPtP98W5lJmHDEaUUlf7YkzteFQOVaqn++wBVx2
ZZKlpELULOhUyFPs2mwyzHjiW8QsjLaVnaqbxlFUwpO74NCZ/xiEqh0CKmgc3gA6lwQegcXgw7RW
AcssKYXJ9hr2NHB844mcwwxhvyc+E7eR4JgAAt7TyG4HG5fyICfK5NRH/Z/4ZcZ7msPKo0BChQgO
CSTG0Ouo4W90o6G26hIn8v4gUsDhEJW6fes6vbmNezzKFsHWlvgU332sz3dujDIv62wMaSgO4qii
d6kseeqscTlXUyM/DYMQt7gHzk9sCeoPw7xfxsrrh13l+tBCIfD/4rjLgC93R83qDlq6BpV15Cws
Db2YbmTJrTbQmIBWUIgaI00RpnKUVkAZa1ZW/Zo1QKtvD/v3U4O3kf3PsxEL6pyAAgQdiOjsd/V+
jL2E6adxdyhLi7wgaK2rd8IgL2rSxn3bDsmG7l1tF2aRFDoDIFvW8HTdZO3kEAU8ZBMvFapbdoPI
rr81aeHee06MKUaPYWektbUMZG//kcD/a6diYP+9Pn0XCvEvkpXWJGgojrX+EGumPEWwTVbknupR
ZrLFQXCdRFjS24zsiS/dwilSTRV94dDb/569/N+o8k+jSvjpLLnfjCrTr3DiX6ufRpV//aV/jyo9
818MywjNZRQJSwGNw/8bVfr6vwSzFx9d7Rp/LBwmbv9xm/f+BWecYRfhaVDzERP9r9u88S+cL1Gy
Qc5kQ/CwV/gv3ObfKzCwsschW4AlMBQn4/39tF/OhGLKojPOFQVNTyJbXKbzobXXXoUoBKh6dbLg
i5TlhjY9pTO6OZrYpKE48xv7FfvRyjRA9lCVYFmbOQrJKlJMkZ1jcw3gBFrIAfqrjrnc3+70P8wj
173vbyuboDE+MP4d9PDwB9h1ft4bvW4gALFV7Znmbn4wkkoL7YniaBldnQNmiYo/UFQsb6V+/HxJ
1LOohGzquDXn+x1fQUsLTByHOj6TAn4hbgR3uGKE+L+H0x1LhkpSkwej1cGLEBXIORzE6IqD7wxj
tLNj/LSOJD2vRpMjml9MRaNB7c0eW0evSsH064oQGaRIxmNhGr3ai6iqz1m3apFjsljGwMij1glk
SzxtaOOzQa0yVdxrzRnnB/ISQZgMZb/ie1l3hKZ5XMpPojHetm6UlZvJxhQdsb7WeaHDE5Fh2XfD
sIMduJABykSwZWyHaZRV2BjIMuNZ0GkghO5xdGy9OsdmMk6XeEsTN8VbY/3keiIKBgZJbD4atCmE
bbod3w03KflZS/CSjZ2JjzFjtTxjU2w2n81xwv7IIX0puZ2Tkk/kL7Z1XMjsnJ9aRsyQg6XGGWFm
idFBgEHQcYU27mpkPC5O88mkKExOfdvx/sWEBoWaiZPPg2orCj+rMOePjWcQQmuZPXcu7bAHAESu
5/rYNoxbwxHzCYXjFMhOUDQjP20GnLa3eK8yMJ2VBEzQcCNK1ia8c4Iax0mwPjDwdHV1sF/JhI2e
h8Xxn8eBlDwqXLLkNhJVHERdfrXeSW4SUag8BUf0ffcpYcrYHIQiqmfLfbSG0E7XpJSUHFemhjZH
yYdF1TzWcTXmOEPUK5KTWh+Ju94cH58wnh82W2dfaovBAKPXXKxIxukmIQL2XvN0QHscNAgoBGHz
aN9TA0UgoWRU84yH8JNDAONu6tEstszG4k1BNOOKDc/LIyVFf9VsHzPtMsP4kZppYLiV9fbNssTO
sza6xnUam+ION8/41ZzoE4igFV6YmpX7WsX5+LGxyHgDeOCVTSbKkXEaey9MMvRdYYlbNPl+s2OD
CxHj9azB1e/vTSKznY09urw2GG5xe6e0dNpbgtpsmF92rFUwFQdpGbgBCi9R1ibjjSTlsJx5dqnV
iOnHki1D85k/ltkPqODzQ1rqNEIObKmwjnlHOurwIUxq33hkzs/jKXJCOQMtmni2gDtFyaivbj5z
Z1hc5AGxKPOmnqJdp5Mx+ols3fkBagQLQVMuNzg14bjuc+rZs800qwmiuWsP8ZiB3WSROd9hjCMP
A3Z988XC2DrGk3bgKqSBZQpNY6f5W6ga3BeiQOivB7xKz6TlmO1jrpSmPeOdruSlN1utvVtm5gS7
YrHYflU5Lf5TKvQyf4jGDBATyF6G0WhZR0Vg0hiopeRetsyRU+KlJtpP34+5EQ1o7SEqPHgTgl0F
S0gJ1SN8e5HzWePBYanLOnbGdVH0LQ1MME9Ad2zmtfmYDhpTcM/wEufTXHiDeZtFlD+AAkZef3Wt
ybgmjpcRI7jGZgVaHmczvq1xm720RgswGGBg2n+zIq/PP7bsEAYO7JGy29u6rCrHC+ZYi/ytW+Dy
ujVzGK4BCG526iRJtbQTrXHNiB2cP3pDJPPvtluZpgzEImMsWPXRNG9Lzh8l6S7A9o5RZZIMhszX
0fVjYlqqDbBEwAJdQ13DWF3RZ6axd60gwX2yxyFa7WE/uMi0ppB85+EJYoS2pURNiO9putAa4uRo
FX4E5wFPt6BM4b8alrFg4++W9gEbcGdVtWRSSz/GiRi6nWhsp8oAshdShQviPpvG0587kjFDq9Rf
tGokJonA5CBfKgxVk2n2Dngpxl+KLnK/zzE5EsQJVbd4h12GqZXLNi/a+R4jrvjFtsZqW3JIbZi8
WA8kw1UvhkjKnVnpcYS+uyQ7hDCsOz/GwNZtcpxVMYAvbtImLp7MrHMDX+/6ndJ6XK7GGbkQjq94
YE7N7Vio8mIziN0OIEr3bOvNS+YPyYdRFHeTq8/ZvpU4+8kFAzY9q6v9SBLgh7hziie0mF28a/uK
IQwHGBGcUpFD6Oc7OD1ElWNssQJOLtveaNWPHDrNp8oum2STqa7aealef0xgLnFrMWAjkcYeqtBB
gHltHIZpcTqW+I+63Y+0JemroJk5mKtUF8t784oZqis2CeGXWEgulAObrjXHs+zKeu8VcsGQp7Dq
4+rSuott4z6L6mavw7LcYCjXfAI4aSZOqdE5VnABxu1SusNV9iL64DeJs9c6lePuBwkbZxjlQfF0
nKuW9PLMhr0c0DYsx0kzfHjK+UQudYs5KjB3KIclAxfrnMcxHdU3XS+ys+/56txWrf+nTJd37SIl
EbTNlREPSwuF8fuSaClj0fttL04gZpxhxGNwxPDass9V8xqJtWYiWaFWjvxZ1zIW6e9rMnh87wok
VLL8Y7AbYqz2ns4s69LySC8A1eib9pBXUBz0yeIUFBr9CZPG+ky4dPuHq77jv/G1MRmBQQrXjpgZ
NNw/V4IiUombTLZ/kmAVn6GgsDM1vUmR8/tv946u+nYdGjIU95SbJlLcn68zJjAkOj+OTiJfSxxX
bzk0VrjbniN2rP/+YlDeafup0OEsvmtcDTYRLaYKPXnF5G/rFZYkqLIItXTwt7+/1K+VNFxFEHOa
AR3utf2ukpYEcjdYm+PpSFDktVrhLhuBBcOSvj53qwLgv76eQSNk8JoQl2O/V1KgOmffKEr7pOYk
ev7rDKxIsElDu+ooh7oUk7o/3M5f3xHPxuAPvcia5mK/1xLUlZD6XDCtGoZ0daYDsJqN6U9WHP94
FWjTPt4PKxvz3UMrInOqorRzTqTPYrWXAkK63h9lCv90FRpKD/seH57r+1Xm9JYpbY3vwtDc2zgp
yC3A8v/HUyIazYJRSrez0kt/fttzWUpgPiQ1ZgRMDrmdZzIuEDu3S9Qb176ZR/WHlu7X7YM9ncXM
10JczGV/viSRx9EyFY44aXXkfDKAlE9KHylFBsRw2wok3wycTrF5/f6F/HVhw0H3LZh8Ohr/X15I
rE1SXTW4h+cDiyuq2aZ6h/RHlTE7+f2l/uEr8nJAq6cGR3vxfq9yYSpxqdIE912RxtKoz6rrob0J
Xph87eDm9a35/UX/6fshP/OQHtv/YI80Mo2yEsLmToVDllFVCutY6F6yp9H540J7k7X/3CT7oBOI
doTru96vKy3xWk9nOZ9U2wEVZ0ZpI2h29eKhGVV7rSFIVtA/KJPnibpuotbqrqOEEbMTDIdpLmr7
lQFZ9w1hl0XVqaoiufNyp/mTE8ev+x7jYgs9HLu5A0CzrrO/oatVak8pNBDe8NLiQmnEcGEN/OwC
TFR41TKfsv73T+ItW+/93cGECKm+D5PZe293FBfgJRFHzEnzNGrd2bPoH3Abha3SGpxYRKqu73uW
Glc5FPIzALsyNlbqzw+yM2WBHfGg1jB5ZlU9c+Nk8/sP+E/3hJ3yzfeSZ/deAqVLOMhEYtqnUnkU
3bqdvRixZp0w0qpSEHv9TzDOL++mQ8whqwEoh1cUst3PD0ESIE/Rj0076Zo4izObz4JFVrymc0M3
/vtv908XAzfCjgxzpl/9Xj1F2F8sSXmY0fffZRVsSjgGdDm23tAl/f5iv2zTfDNv1VDrqA3Yzt6V
JWWuGU0X6QshHTaNZZz2vFksRLrE31/IfAcVm7g+kLvK2W3z5XCAePciE0OSzk7jThzgbdLd6fRw
Q6h5XY9EHKVtd26yESRExIwnkykpCaVrXKsNZLEeg7WcH5I0ByfQJpqlsDMYmSu3bQ+65gBlgXpZ
Ox0jNdpzSXrx/i07qK+grpX/7Ub8ZjOE0QPnGpYw7yuRlFCExiUw+2QqmOkT7o9nZvTpPtaJwvz9
TfvlRedSvAMCL00gvV/8R5iYmP04M7hs8ctlGJjx/XHn8Ld4eNXnNdDmT/jhenr9benjPsp+SIIe
/yaZ/ZenVKmShIXWFidHzuI7jjPjqRWR//wGiDgu7sMbqQpy3OfZ/MMBYL5/RQRXRsrlWFzZhMpp
r8YUf9vrRBH1qcBy4WTAIS4VtD/PwVRiYaRkmagIIu8LNKVcbMa6M7qrH9esQKuN04PZLzAW8MFe
HvShBEVU+YrXSOxOqeuHlj+/zf/a0uky+INGeucSYFrxm4jzOvhENGQAl4Q/3dtZp54RNXLcaRwG
+6VvyQsZ26XpAuam8509zUBjXZSD++UAR1GQyjFedXA4K9zgi523G4LMy/sJtOHaOr22nwmTusOk
TlN7EgVyKJc9zF7dhXCK/X6mY6Tv2gPxaiTXX/pcwMt1C7w+NjVSTxpolZ5g7Bgh43ybsK/BSCR8
50FiMQz2rY+QvC2VVTVrBt9EBaHJKIxvU0uM0iXTYPeE/tysYCj0yuRuXGb+7JLfXh8dwj6QLrZE
iRww0KIpqaTip0q6/y4+ifYGefGLta6RDWstqQobqUnVQanNCWuncV/a2c+PmLDODw1xLckdXhYF
lv6xHPv7zup4IGaD1eu2Nsomf6iVznnRDr0hd1g6zA85Lo2X2HHq/MFtjO4bEUh8C4i0tvpuOdUg
blpprFDUhDN9AHGFv8hXt19tpkn4Xxm+8Le5mYnLuFJFQTRg9GLhSJDdzmlgV23AQUCuepUAhHvl
4ljb0Yr4jYOTRMYXOLvVUc7ZoH2YCbJSocwVp5avVwIIJymszrytptHuH4yUGIxNzuuS3NEuwr8x
FhcCJ1nY4jiObUdUDQN5LVRNBQHGMVcTEwVP6FQRTe8Epjul7kWMkTEdEygrEeeqMabXui3AtLxm
6NR+RjBqBiSCgDLGgz63j0ZltwUsIpsXDOktlvpa2nI2vNUBYPa8fdBxgBoSpwY3Y2IHQQ8r8hmL
bgI85h9+r6I7yHbz3V8QnF0MfBgrQfQjMtN+TaMkibbd0E3N4a9l5ZjsLcQlWcfJRVH0WuG4RHyI
jdOiMRtJegDtBZs3e8E23jo2b5H0Vm5BUtjcV7NbMXMr64YvS4qEZjen4PB/jWbwJn6NbGstJGJB
befVrngtjWxFYlvg+aDBdekAMQ4E/u34c50BkDEBu3IvNgFmKsj1dM52jBf17lwiTVH7stGYNBSL
4MYK5GzWLvPNOL3vKskHMXSwE7L9zI64AkPOL8PsWhrUatfO8wevxl7txp4LJFBZVok1+C9dvnsa
k4xt5klT3C9GAwqcLNTG2A0bk1tyHjMGSGoir4DBN75gmpOzgnvL/UhhnpP/abc9JNGgSMcGnnoU
qRJsXivs7FS0HWg9gbOTAaulUh6IQCaiU6nrM1AbCHnvAZCpYcymv078/5uT/nFOyqr52/H7q6Qz
rarvXd2//jwofftb/xmUItz0VqID41ALM76/aTp9918mEAiqyrdZ6NsM9T+DUv9fKB4Z8ZPxu7Zu
Lofu/8Zyr3HD6AjBxGyf3/xfDUpROP58fuO/ThOMeSQNw2qk8RYm8Lcj1ILwVmJjo58rXasTOcAc
dLQNzMcIhY0xN9uc5O46WKyR3M0ZayZEOk1vETxRwHEsVVoxZ1q6G8gwwq/he2fq46wKIZ4Nn+pq
M3XGFziu8VM5w85LY8f+OEK0vEGW0t8p5OPRLq0zbNFqLKhv4okfhqMz+81eyxIsR/usOrsZrKVy
JqSz7a0v2oRG4cw0akZF5Jj9ZcwQsTxZeTS4l44sMvi5hTMNsPlKa40sXYe3ZjczG6v1AGLJTi1Q
z1XeLRur1a0wca3hM05xE7OmAbXjTW6l8M1ki9PTLufZfkDVVDqhZVZ1jlg/Sp+MZCGIh/kXcVJp
BryKOhcuJKyJD44YzGPn9snenDPSMf1lS57lqtaUKbaWwPr7zEwfF6hMd07GBPPA/2LdoByISsRp
ELJ6/NvaoBWEafSG9jrnYg48PSsnuK8uBwUCmi1u2f4cjrCTNuCE0t4q2swHQy/sm9FnHmX0g2sc
B9+XdP3Kj55V6bkfGteOHtt+Mb1jG/WWtsm6xi6g2gl2ZsKhsk8jXCEMuEw3zDFQ4h40YyBJSzk5
fl2c+8blXg4lOUNUNhGz4WWZzv3Qx16oxU2ydVNHPcgqFqm+j4hgPOQGap2+BS0y+wkDiElVG8Cj
MSFxRGY7b4mig6hL81OjLNizqtPUo1+4hQj6eHLTg9B0r3hOWyzYnpClIZ/eDpyxs7YlgMTvuj2z
kUXvjlACK0zfs8JOjde4g9DEkyNdzMbQaVt2IjQheF7JFJy2sx6R0OVXxhHsmmygyNmiSSnCPK+n
LExtVCiiliX0Pb/HKAFKT7C6tpOjY5uItcjVQdHhYTaruY/5jFrFNo/x0N7Ya/aZmlRAgvtVSCVx
sCKiayZJ2c2rXUVl+qRpyf2MZDtoucwuVjN5vOPy2dAnIjjdNNpF4/IBNL0jtBVnJNQO2UWWmn5s
bJHv+kiaJx8zhSCnnN12Gp5GpZjTkwBK2k1ejQ6lWNRRlyxN0ynMJwIlX6reQwVmxG5A/qkWCsJq
dnXl9v0JQXl2pCr70lJNnFpCgM+SycRGqRLDf1j9jM/CTjTDTqiG+6MhMSu1Koyl5mtBAwOKgLzk
uw0JDVo6wiqmD/hk6XA1RYssB808woNhiS/k9uDDhMB3D0XrQ59qxFDWqREwZohC0WbGHZ8+O2f2
orUMHvvmCMFj+A77b9l4RGHtXBbbgSC9Te5yQFaxQjAt5bGa7A/SKh6I8L0oI6IuHfQ18/cxdci/
0jv/5MbTQ+dDJ1SluUHhtI1R6BANlYTeKJ46KffeMt9kSOVg/w/zrm0K4kQjhmlxJJ4di7E9QUjd
xiiL74WAvmtWE2GsBK99SDV8jqRhhH4PnRG2FJtg6t2IhgzArCRrRSdWIcA7StwT/Mlwa24rhqPj
xLvVYLvC83D21D1dqCX+cPDa4qtysW+gyPdPBPgRBtAyMcP8Prsmfp9B1cNQglVh3MeJvB8JutI8
vpSqq+vsiey1WHezfIjcJvCyTjs3jSkeUlM6p7rpk5AHRkmDW9NnVyafSMemnDHnH0lfGofY7WhR
UlkQqba66jG4PA1Lam07tvX7ngi4AO2Nf8wz9yFy2nvG4PqObcI715k2uSGhnP1H9pVhY45uNAaN
1WfXzBzGUPZ5v9d5UDu9lgMTLTt5sObZv2lnHXaD1m9ERtBdbBLE7Q+3y1zuyEEiZjZrXPzAu4eO
sDnu0Mpj07MdsiiLj1eL10SkSDkSTgdJYkFuYHCf9Y9FlTs7s1TRhymfbhpNtuFMutwTtJYnG4FK
UGjja6f8T06MNg9dLO/x0KBPLlAHmtMOGu6xdrK9b2YRd1GKq2nEcj957deKcK6t3aruoPfmY4O9
Ny9wziChTIrxbMtJvyaG9TD4zaXokmcnJ97PhIWnY4MVsNNuHc1/Ef7E6FXYYb7upY3m3Xmdte/S
bH6YeXTEt474eLKNei95FBufCiJ+Nq3lstQ0QcfqjjfuMm7J7jvRHfc7e5TmuUUCGsixIQIYZXUS
5kvh7Yt5UMek7g99Q85aGuV7GKxpGPtaw6hS23GYFaGKfDfwJuQBQS0G8ZWcyH4lmmvedVG6uE/K
lWTttvIG9ZwWLtNIgnBmJ1/wGRfhZA6XOZWcCVPxZIjxUKF/9EfFwZr5/tZs+w/knV9l6pZfx7ki
a2H5lLl5sR35PhAH6jzEtCg9jwtykrY0dgKCohnGpOxeZyjv6GMi2WwGurCzndrxbtGsJeiG2Poc
1UNDTL1BUqLGcLbZejk701ha1V2sjR2qxxYZBKz1sEGHf1hqO9sYhtHsqqEZLiZ6BVgeJs3LoCMj
s7SnRJvW4xkRVO34gebZ10nHbg+yRnWrx804b8RSCGSSi8qGhyrTvKPf5eo0j9aTmPXmC4aRBEtG
JdyIHenE0L6twsBBVIgaRQnnrLkde/9rqY13RuKmYS+m/qGzq7up0jQaSPLQlmS4zXGl6Vqr3ZG4
VZ+QLH/0Ojy55pQkZA3yC8DluDHROb2wvYrDZCzRa6aMdgsPijxe3Nq3WT0meweKdOCRFxmWueDL
duNnP8aYrtI97YYctvy5QSQe4Kzl/XAwVd4MjPEDO7GK19pzlw/upEEkGbzPVm43IX4D7jNU7nSj
RY4emm6SPSL60OFTAJ76Lk5BljXXm1msi4gHlgVIRSGcM/9mXfPxYjqYbZl9a9r8y6Jr7oPvV+NH
qxvJSxySK+Rqe7PgBQZXpTEQLaUYzdIUtyJo9LY4d0rVkPAHQY1QxTeGWRz6PMpDxGMQlge/foAc
IZGCeclwjy7bOyjXkR815R+Iw5sfxw7vJVKX/TT00YBecCX4JnPvK7tzsZNQFjf0cMNTmhlnp7L8
feO3y8aG5LWNmNPfoOVzNj2pzGFim8AvWp2ZMC1w/MRLXl4yoyPKs++WSykm/zDVxoziUn4tYuIa
SF5P0SM2o/GBDbKDMDZYZF87/ZQUe1HF8CpKkXN4dVr1WTI5PKOUsXcFteCzPrXWgjqo8CA1iMX6
UCaW8QVAxflCHia6Y7XGR0eJhEleUDAM3HMTq3y4TsghRTme3EFpCBD0TWWZtxGNisW6rVqcOtBY
bUoqjzDBgiROwjIywCXPLRyJXV6O8QdiQMGybii0whJ5Uuuro2NO3xhjOXsJC31TMi/bEne/klPI
zlSz7Qccknue2snOBIGzdLKboq4zFEjDy9iLPjRVM5CeGlmEVNZR0EaS8y+v8R6pkBBETR/AcysO
FkSDIGmz8VTpE0G/1jVLMguaELFYReN45zQpoRH2zJty14dmluyKkeBF7KrEXje+DEVCwQQfgmSg
6AnUqQwKaW4iTVgb9DoY0dpt4BEZBq1gqbauxB6u4r0rUesGDNaMsNaqJkzFuIFfJNlOEBxAoBwR
96EXV3nyMvnExVDg73SPW4ze7mmu0QOTUgIzKC3Pk5MuG+zIIdHNlIZw22A7x27DmVjUx7oWDz7k
kj2a1K9FNTzBqsHwwlH3fUmfYvY2rH54kAiD+00jFoIaG7u90dp5RCaimc8M3YhfLMryae7JmgTL
5KhbSHLLDMJYrRpuSMJANTCzGmStVE+lbGBEwdMK0zpKv+WtsTFmlyBsyJvbuXCCRcfV1pm96Mk1
iotMBnFthd+Hg6x+UPwi2Ui6rZGpOky03OSRjlAduwQ3uaF8akVGBqIY4p0Ulb8VWHBSdHt2sGhZ
cYMJx2ormpc7fI7k1fGiL3rXYo5KuNE+mfL5Xi5QIf3OMcKlcKl6jMa/1ZvsWs3LcDX1Oixr4mJV
166Yib5cTdwaNLIKsEyvLQT6I9QQ350uTH2/1fQbqNY/m556jRtn7xrdcKHNXbgZOcwadYy8fNzC
StsXyQ/Nk5jyO51+MbqsOci8vSM9CWOAhO0xkV4Id0DfNQ3tLWQ6a48HzN6sbQO0KjujHeAAzfST
nntP6CZwdEvV6+wOX6Mh/lLXOe9Pbd0P/Y1bR0/1qIgkn6v4RdMQbg4ogpCmqDC23IvyvU9eU29a
36/3OYdjgA0GZigIfshE1I2LEM19NlGdaV2mh/1AxHSQI5u95lE9UZ5pd2i0Ry/Iy1lxJGQRX5eT
QEKKaZLd4mE/3/IGvyxt8t1CnE/y57QEiWV2bTAJnBdQaJWfizrDVzhNjRLvfBPTzrm2Cgq8unU3
+N1U9xO0SgJHZomfupPvs1SL27AxEa2Gdc7Q15wMaHqAnzQ5jXyaBq8A6EzGI1V1fvQJ6t4LvxK7
ZlHxedIHZ9dWw+PSosLH9fHW94bsrko144eddsNZJalzwlqiPZjFkp8GzAx29iTaR1EtuD625is9
fHaTV4IGP9ZvlYpHlEZ1fLFA7MIBBvsNkDGeAwrza6tGD50RJrsbca7Z9Uw1Ni3i3siq4HxVltjE
8AaDknhUAqD7NWgTExQYdRjMkHviNJm1NZMiunWgCeMlt3zB4cMPStOFtFtwxyhqb6oBy9Q2W46Y
SUNbnMYr9DvKii6BiJr7L3hSpRvpufA+ywRSbmNXlEGt2kw5v77zJ+BEmiwCVHldSywZTNTA+LeF
zFCyXYIzyZG68eiWFUztohx3qxfdlt2cMODSrrYFYugMj2iaKe9hyDSxpxUGcbHm7POY+0S7RkLP
bziqOYUmuoXr0vlnrDK9oMHIe2NGrk3wehlqQN5BbZjy7C6djt62SA9dThJy25JwDpNQP/e57E9d
bf2QChsWWFDB2luYKr0a7O7bGcXuXdbyGOscQamfY6FUFFOowSoLnDrtNzl87vMksrv0f9g7s93I
rWzb/sr5ARp7sydwcR+C0UsRob7JF0KpVLLvNnt+/RmUXS5n+iLrFHBeLlCADTjhVBdikGvPNeeY
OubGtMxPoe08la7X7Jiva+CyXP7NOG4LKXa0uPX0rFqcZcBUL+QCPhXGTYyP7cdcVjgJ29OEfr9S
U4DCbeAJpsSYfUbh56TnVkMb8eORzyOV5+Mt5q5siWAfAdHdEJ60GFqm48A71e8WmoHoWu6RllRw
V/qvvZN8JetDM0N9Q1J5PMTNpK85Ql5xi36C81gABhk3HLW4klH5/bZvhhXvBnGmLkrfueOAjDLz
0EXzxbUt76ZEO7hJt5l7O/WBFhQeB525eK5NDdlkGAZ3q6Mxc++806dw4ifq2036WUTvDn6oOA62
moD3RyATRWAtg3g4RqRu6BouvhZt6d0mocYv0rV29VBHaxyH8yOOihvqckD4VFInciu2FOA4K5NG
ZxiVJaEfm7wuqDEneciD6MOV9bmZ9avUtd8MqaOKv7Uy33Wt+1315P6EG08bWk4Sv8m9dZ0Uvkyq
ZD3X/feqBe+eaemXqNaiTb1I/02l+alOB3c2u2glc+KF66JAC4jkzNiSBFBZkxsVcYP2m07ZIzZf
07mQV9SPGjN9ha2W1p+h51De15PiL/Ekx/AONkJU9aZoxkKto9Zhr29fVQBsSPn5djKyuxnTrNui
4uDAyTrKqWfp1Dyhp7q7ZqOsdiasGW9FREId4qxmAcJdrV2xO1RWzmhcR3h6mcjbB82082abu7g9
t0pLB+UbrNjKK5szwsTtQ+/ibWJ6stZXRKXBP1RoDqScxXVHBOZrk45O2oJB8xoUi9/Xzf/bev3u
ozy/5R/N/1k+8TvDBfe5qP2/P/6x+f3P4Ue5qN8//GFTtHE73XYfarr7aLqMD+UT/fE3/6f/878+
Pj/Lv1Ti2e/+Wolvmph/wMT/qMV/ftw/tHjiRwJLhmRVTPjoh9AS8SOC4Vy8eCv+EOEN/vMP0d0Q
v5FKwtjn6fgJbcdy/x3R/eeNuWctWjs5J5CwuFp/xkl3onWjto9C9ofFfBILcMQAKR+vzMxjWy7C
SL2PXV+/VxJK3F9elpvf9/J/xR2yXPhR78fladFIJokOGoaHc2rZB/xF70eKrq2Uop5DnoBgc0KC
/aS2eV/OOWY7qyXq3NYWSEGyOjwEJelmc9UvkL6Sc+zjDG6IYZjYPIp9SrnJypMTS800wPqEgggR
btIwWlSpmnVINnE3XwWxM3W8LyudcHoL980BXMF3yQ12iugBOH+y3CDJsCWv6TbdqsjwSPpgD7kj
FuIARyLC6w4Dy8gFRPCJjHNw1hxLa+R1swuy6HybpDAppqzeKNict5hDSesCRjlMmJV52EQm8/w+
m6qwU/cymDvt6DLhSeZTfkvf+tAI7e3gOUzWog/CeJN34ah4zEWa9RoJbyqJHTHyR1dla7D4Xw3M
08NNrTtgg53QHcLz7GmRuy0peQrvKD+28ZekeW3SfpEL7uQNmtlai4RhHaS5/M0QsoHzMqq0KnbI
prhp4JhArZ4i7pqBbIizyMGdDdcHhCbpA1zldiAcslJF+DWfp/DSO1O5KQn1o047U12t0Krcl7kb
W4078jBuWHcD+rLndcufls0/aeOk7s8OI2vjpyI09hn+Cs4AerkegqB/UXQAuV62y1W+0JFc1sje
tlK9m0DqtnnWMZHUZl3dUG+uc8FUDgSfLi59bfKC296exkcepOmLiCjicLIi8g1iN34bp9aHVozJ
HQ6ecUVou14XnuZtI6AOlMB7xiugIx56bEjXsaOKQ+wV7dEMsj1Wl+wuypL0th+x4eMAp0ayGGq4
g4PN8FEcRm96gIVA943mec1XawEY5EBJ1iMn9EMaUp4qhja/wq/XwEc0EWDnOGMah5xQazLahWPp
vdvAuTIOpCq56YnyvIU9j34GkEmcvcnl4dQmUjuC/eCjJlGIW7UghAawck+Gnj0kWqW/2mRoQx9a
znus2/LJdnlTmYNhbhknzEPIsRqBfIRiYgwfQdC4bzPK5carKFsHaRi2b8iLm2RmnS2jwVyl1XDV
m5F1ydIm2xr9bHBAC4Nyr1iEHwj/2CeYZfJ11Dv3LJ0ChJo+tAcvScE4mJPHCaNsHhrSfRdjsMp9
auTGFazD8Uxqhp1aWFl0b0TyDBQmeamLKHnlN5rtxrEzrrpyzvZdUVTnFEz8exW2duAHKnSOsTLm
m9pqew5VmDtJx8h+FVSuw0TTsujWNCR7DabmicZz49abhQ1tjbfEPhtVwOrAjeNjwcH30iGIXPfK
iJ+xcJDjN6ZBnKq0j09tlNYPXdoN9/ClqyMJrWKjwQV9RU1NnlRvt1etVYKfRihPKL53Zn0r8yi/
wS8dHADND7t2FiGeIM/dqrq3vlu9qncYmqbnMQEEgRB6KNIqh1kTnIg9QdzpIrEaPtdnRXjQvepq
ssSEpGowGJvdt64YsCikFOEJnHarwuK0JmVD4jounK0eCTjzo11/JR/eXYl6iLeZOcW+XZjDbVJy
7I1orNmXqjNusQRPL10Zz++kF/tbXpDgMuJCeWYDIP3eHPI175N2XeZjAhPOTHaVmdg12IYyfaQs
JcMXJHm3aEtLiJNW3+BhtbsZBFXDwkAYm9EeTagpqr0BRVroKKPTQgDtI7Ahlv591iNWOIKsJpcy
BykEjwcwKP0pCvKbCp3yrJd6+AJ5ONvNlldvIThhfwDeIE52nIqT16beWWNzdzuNfceDgjLG67KU
2c7LxktWdxVIMN6oWNNDcz0jMOd+MLQMzViAjlXJkYYgQOzzYhSnrkYqcgxuNait5D4xPOi1Ke/t
ieWaL1ot8Jvant7J3Y2cVTVXxQy8SbJvpqb+yqaSpV6SHnmWYHSm3fFLwpH9kDUWzlLqiB6kSpq7
0GmdM74vhDTYT5iiprR+bIrOQ2p25lPPYPpWlR0rYimHuywuURN59zjXxTBM30AaJZOPQcnaF4U1
HLUw73dBI/tz3yrjCOdoyfrU9dNgWc3NaHH+mCDL7Yx4jG55slWvtteVX922cL5PGI1YtLQNIUsv
/Ib6kSxwDXS8tqKWyO2uprGx1o4ULUIj36fvaQ0nBZkmw0o0Wf9W5WhkpCrJtMJP0PCHRGb9RM1T
uykdclnUH8SBb9lJ+r0w8T5RoFA/u2Fh2xuzDPOvRhi6u6Ieg1MnA/eqdwsNvNSsDpHnIomnwFIm
necbal6bnVtTeJfEzZtTKqd201FwRoem1p6CFo9LYqZo5ZnDSbYvumdqCHAtVejKrA6By64aY+hu
q7Bxr2fNmz6E0WXdyutiHtcer/FVNrTaQxRZ9msd00s4pix3mLmpKF5u2nT2zXNAG49wS0gshXGm
aYTu5AK2Rupmk1wlgeXunBaBjmtiiA1f9zQywJI2vbF03LcUa/pWxMYb4ZPypIWFde8ihGPxGY3r
ofVMboOTfoNxTvjwJU7LL5DQjSF3c9v5/VTEC2hXP3VumxxCvTRWKirKmzLUjUfHbfvN6GhIyHVp
7TQ7QcTEGbzBh6gTFYupWi6NihiwaG7hd5rvbaSyFiRlNa+7offupYUhoagbfSvwMj1YQRKZnFUr
8yYNavgiej96t1kIrhPLaOkPwrh2AzXwa89NgYsCeda0x6PX6u4Gr1n9EXWx3kIIQ4YO2trZs/iq
/CZrJr8IpuammrOKGsqq3sPj0/cjJFAflojmD8PszbtAKueZWUB/GA0vmUhxgo1zc617zSFNb4O0
erHqzNloiXdr6LC4+PlEy9wx0Muhc8sLV0mbRIBblHawsV0QrkayDXho1/N7XKm8Zg8cDEe9G9dW
yeONFq+QS9PkOJWk1k3AbLqVFL9ddYB7ErbayknWBm3ECUs+szsb0C84dKsn4PX5hTyuWfkBq6od
z7ti25sd2MSWY5kWS2evw7a5ONIZeSo48SsDmo3anCCm11Ow76okYIOdAn91JADfg5WF0ufKJhRY
VngUlDkmFpGokvG1b0grctS7s5WKVsNsDAdbTGQZYcPwPsGkzMXhOciqc4T6meq7VHBbwXjDMD0y
qRbQ0MRw34ssfBRpmT2aOjOgiVnB9Flz1Zcqbb2rOV2q3kMrOABRxcMSAiHAZ1HyBEOuDg5x16MU
EaVMjkmLvYNVnow7Rkyv3HPuDJsPI0+cxiODiZMemwI0jeugh1OCQ0wdrYzNMVF544RAO529GhHY
S+PQb8N6PEbFMG9CBv+XGYU9Me2H0Aba1+nxmVyB5Kc0j3nqyC/g0XU0FipX6gArxcrJSbbMvX6Y
KCFe9UNkrOsOOE9lzG8qAoTraLduhZjogf5ZZ4TikdHZDJVtMewEHRF+Cj975IhwFWcy32SUxPFr
Mbbg0U2fU3K3NjKGGy2LAU7FxqmxzFfZsBAd+xa2aZpm6zR10SHzjBcmH9hD5EgTeLOqFW7B4sjG
3GD3526jsJiOLDwu0WTqT4Yiruq7Y5n7wi7UVpKz8mdtJEmfdsZ6LifO/2ZO4GkcVnOcGK+Tpo+I
nhgics/deYHlXEY7Sv3KLvBacvm9aTT3kN0PHuAQ2PtKC6Yj4rk4RXkWr/twMP3ZVTzmmig+xJVD
7LJpZx9XveVPZjesqrINzwUZ+q2XJtPFEvxwiZtt4rnNOSdUqkWIxOHx66Ph34+lto7hg50h3Iy/
t0tFAdJF3LnxIckbjnXaCLFazS53aQse4r0pCk6kzFIFj2xASL/+4j9FGDiVLiUpur7ksui4+xkJ
hIuMLcxcxQc5wiifE2rfQNJEFzf10rtff6mfAgzLl4LvyL/L6ffvucAYF5YNoIEvVemgSXmPTOTB
p7D8+PXX+Vs1x/KFMOIvZSsAUeyfIT1pOU24YJzw0FVo1gSIzIPdffLC4/amVikxjd6L2MhPZv5W
OSEn6mEGN0a98nK4ZqdXbD6/pf9tZegUv6uyKb+3P2pBn/rOP4Wi/7/0o3/l5GyQetTP4tHyQf8Q
j7zfhEdykKAslyqX7x/NHJ71GwQrkDZcSX9KR6b4zcZLwAUN44hrevk8/5CS7N+I2Ooc0iUVBURp
zH9HSuJh+6OcQ+yC5wcXMttcMrXWz9lMJe2k7uoQqoYl2FJmGajbdmUCbEDAtc3+VYS5AwTDKu/i
airOi+NyVbvAJPzC65KNdGJxn7TpPG2UPqaXiCEnXdkaKX/PUbvRi41jW3QSm1pc1WvLJdvFtemZ
LBGAl2ynyIqu+mwor0WI1XRV6tl1hXxx45SGu8uFF+0CJ3B2Zsok6Ye5BqiK28lujiN1wFpqn7pm
kernJtJ8oyM7AfQRJCr9DcOXFA4vzy2QC74BiXeXaMvmCSr4HQ1/5gBnZBgPnfiapnP5hq3EPc2p
ETCfjW7LI5hUwoCVdJsGo30ZgtElz2B7NA8uLNkDvglznypdex94uH53qti7GEnhHsogVx/hqAc1
BNJK3sRR1S2kPHVnNuZwTFJHEGDgzkyrRqJ/JKLE4WDBwMCtZrCHBy1yDkURXjXVrL1zylXMe1WJ
BX+ui8MU1y894gcErgW3Ebn9Y1S17b3ntfAnaelQXxeOyQuqcsrx3WJniaaQdFihPCJ0bkHIkajK
Shcx07rlpQ6bX6neajIaHcLD8Mydlq1EV2Rfs7ht994ct1vJKeh9Fl12HQt10ebQOqaqrY4qmOcr
+iKoybKcZuvQBaGvFXvriKNepyt+n2H6gmsCQxavUsdno04NKcvIribpBL4qc5sfdPRY0sigu5ax
pe0TS0S7sQ6yBxLK0XPaxjwfUeYMVsDUV2xyDngSIwn5NDxXRgq4gmsPy6PZnTrTmxvom8JIV5OE
MBTNS9w/xOTpD00RMTwYDFRQXYbvMQYzHvnjEuIrMoIQVRIVNzE8lpXJOvk6VOW8hufarXTl5qeq
1ZJrXTMk57h8wNeEksCegyk0fAqQD2xOJaH5tR4Hs0J5sdgbZ2zSSzAjS1kbmQmWhuzx3EKeoVF4
t2EwRf7gahsw5RhDpn5tK+scZ17/Dp82PQiF/WhIMH2u+6ajD6KIxqt5xi1I1qAtHr0yCV5ofwi1
I87OOtl4hSO/4SNrulUkhu6uh5sYbPopla8tcilLwaLubmVX1F8U8Rrfqwb5lmIWYuU5tdPSUJO5
e0jHAx0xLhNhrE8NNG0DLSBo4UyuukAaT0YvoqsaxtFXFsb0n6JGTqHvKOSeKizcL4kjnFNqjZNA
WaMCd8blhvcLs/JCSM36bM1xrqQVocjfCJN4jwi/XzUxVGu7UsZJdvb0YVUKi3QjZVlsAjcoXpKQ
FZWfKUpX+GUV6rV1sAis8D1XBzcoWzo7eubdFv36egH4r9kd3aI/esgYMe9ntjj0W/MU3bgknXxW
rpwM+67BclTFaxMH5WYeWsh7pXSOlmjgCBlR4vI6IJ6UXccdDSuN49ObIHY9FNk7vdesXRmLdFxr
XhuYG9NR4lWnUhI3NTfTXhcVBQlFHiecL6vsEE60U2CmIlFFt1d7p9zY5IV18uQZqnxN7YTEKcnN
LOgOQQjrHfLmUH1BpIUbYRJd3NcC0gK5zKm5mI3S3kvLwSzayKTn/Dlp3FxmYLclpyuFh9bsabeP
6i/2MA0fdRYNr5NZyJPBASrftEPjToBhJxX4XmDUzLNekK4BgOYYXAZKkXVt0H0pqvswbao1o9SA
UVDRsAjCZG0XztGsJmp1KDC99SC4M5rGwSFJuW2W0qx3o8gfOCx3u0YxecdsNPC+KCglkHCmAtNr
b2/AD8zfZig1+aaXVDKURofUWkY9DCrhJpdRyKzvrsystqnQNtVQxc+zFrIfnxjKU/HiTiknZYw+
bAZaUI5Tk1yCEYlQ9xL7IhMoQbPM1J1NgcydLZ3whtviyDiezgdG6Sf2nMVdTWL1rpNNoK9EnARP
A6QQAPGYxlcFmuhxKQl4cgt72STT8nfnxlVxI7oxv4HDhjgS5lBP49QkIIgZF48GFjr82dy2edr5
Yz7F5073OsxsTs1ZtMnzc+IJvl07pQS4yVjiN2T/eKuzQFpJ1djXQKjsC/Zu/WRZRYALYG6De9NV
9iGJ0+GBXaBLTqxnu2rM2nQptLDLd61Wl8T7puDsgee/x7HsHEJ+8HeMnfNhmJS1g2sHnjmo5y8c
jsfSn2tt3ocym1g3Tlhy8P1v6pb6kRT/UL/uYjlf6e3sHKIYPSQfkps66wAH1bpxCUqM/9xkUwih
c7C4XvWTGsuwhCls0s3iduVNCBtqt7yeD6oc5TW8W5RpU3N2CajeS5r2PYYIfSCa4c3Rt6AFoRWP
bPdXqh7B6VmwjI8Tmuatnqph502ed+hl1zypoIReLa1+z/vJnggVlAqDk4MPtRngvZJCm8Sa8EeE
G8Lw6tvBEDlLjsSgo4ZVHc0EMVDeOjMvOBWC0+x446HhwUgYjKI7cK7vooy9d9kYermijLx+odMo
+iKGIKXFRqt2ZJY1mK89txouv4iHtJkZlk+hjLON+yS9wUk7fAFfO6zTVtqvehm7F30qeOdFy00T
loge7+ZhsOaNUrpe3heT9wI5DHpTH9HRDaWn7qQvClePkF8H7zXWgvSeAG9T39iKhebecOCerWbb
TuleSGQtrnUbPxDmQ1mIGrwbFMwl78ErX+rzdK/qcD16BlxrI7KdbeXZjh+Bmgr8JBxuZ6njoW9V
1uQwfrXoxaoMK37Tbd7iPpAwYW3UQDICWydFVbN9knLk+LwrwzQW3ZFLVle4ivsCfeCtDuZXxt7x
Gdt/8Z70o/7kkSl5kHVYHcGwPdSFM23Aj+YHp24q3+l64pbleGdn8ys3wO/AXd+S1n51uqH7Ci2H
CcKkOGfVWN2rQ2X83nbc7KaW2WYwc+2aXw5xRgUlvyBU+t2YrR7BpKpTRG7cnNCVujjbK87jt4Y1
pJOPFTSqV5XC1Prg2p3a5LM+30aIWDCoysHKtd8PyP85Pf3L7bvjAvH8BS+0LKg8/ikF9/kxfxye
WLv/RkDbxoe0wH9Iwf95fuKUROshjieIoFKgGnFU+mcKTgjB/wKhgC0VTeLPU5Rp/mbA2GEloHP0
sSEk/TunKNP4CTUgIJXSI80/BrwlFwnkx6V4hTuJxq0JOjUuP4YULccEBjbA8q3aTqe9A9ywwG4U
AmVeAH0n2uQ0P8NQ8a0JyF+w/811ONsiqkfanWqcRiwO7PdZ6aSPitg1seJW03WJtzB7jmezvi6b
WXxLjHCkI6RLx24lgLktxWXcUXexZpePJHQc/dDUXt8fsQKr4aTQmDYRGWXGJtxwpK9senIQOnzZ
Be0Kv9e16KYqXkGEpCwoKWZ9jUPmS88kz106wvfUjyy0psSVH4AksMB8VtJ6LpLDht05xirTjuIT
ndDDAZne2WuqU4e+zBMMLHEx3va1ttOTTl+Xuvc80Ouxi7SsxTYblst3hTf+ebS4HWBxxrcPKjDy
JMvMxaAuJQY3GbTrrswS1lSwGiwesQViBzKtapDdAhw5K37zvMpi7jh66bF1hGLf3FAVldhXg3Ss
d14RagYaLwnUw2xTogzYr9HMK0eFY7pJFCWJ5kCFzU65VUTT1KgPJ3jd9BRli2OPc3mxJV6R99If
zChqjX3CjgZeBCGWqu+cK9bnYMxmXzK96qzQo7RLeMRT0AtJ7SBzoiY9WwsvIWTEExcox2eU3XGq
daWjS/aGLu+aBkoo5mBt/MZUXyXfPTzi36nQZWdz1ovGyuW9g+N6yw1/YQ6QdndeqgH+G1s7r7+m
wik92oQVeKFUGlANnHXJIcY5aWxUlt4yWKuNiJkegygdLs1EWELEccJliXV0PVUpfdpszo9ukpb0
Tol5S/FPukvpRZRxNd61dmdSTKJl+jr22Gj4Wd2GR9dlLPdNg1fb1xM32LPnxnOWGZN1oJlbbbm/
Nm+lXmXveltLA4mysXF61st63A1cDM5UG5DQajx5bAwCBqYRZiiyGOv3ZtF9iRKzb/25NK0bjVfQ
4hBWhV9CZYqrMDHzLTFPbdcbJjFBvtwJc0K1k7McbwsK5hanMFOlKQMHk5U7dKtUF+nVktDBaIfB
ginXLg49ZRjnuA0SBqI2M6/BKsxHpjCccolgbdTxZFIG6UNB5KTLwrMdIUqsO9O+BrQF13RMgy/M
BN4WdmnPqdIwN2mdFsdOOtUjuIcz9WnW7XJlX7BpiDWKAJHCWp7mhAMlD+3Wd43KYiGIL5ZXoBLf
SzmJS2ml4UtYxYDyahO2Yp9m+ybD0jbFdrhLkj7dAdoKqDWqmm/6AMqispV3H5oarhDIvtfAyJ9m
XVwKIyGwSRTjOp17C6205tSdNMOzVdO1sErScSCYY+ivdPyxqe6gsKIuZsK4s3Wz20gIi981x8U8
3/JqbNM5aQ9dm70Ds/FItGJMWGvdVHurtLfN+8oYxojMR1++m+4UPmDtDwX2H2V9xatOvQRBTD5H
pR1wFYCChCe8qjtqFgZBhCUdCVO6SZLQzwgYwihCdz9aNg0clAm5q87G1NpaoeRC79r4SnpR98CW
DN8gr89DM9a3XNbEO/SJdkhUIisNvL0God5F3q+do6s0uIqQxN1vo11EN17mxvs+KItvaFveOhOM
PquKoLy9mUqT5jUhaS9K7tpcuQdyzeM65eq+l1Ri5eyxJp0FqBH4Q4tTUqBTTKNFdtJx6vicADpa
sSI2vpRZSFl81BGVHqSZrAHNWa+WO3hrQ1bzXYlw5nOcHJ6xzKOgG0l50rMKpaN3xndaxUhw6Ub7
PcSGzeqjpisuixqwH7rxohNVvMwSOaqn7uhmKqxyKzPS0jq226tAG8Q926o59VmCpfW2LJtw05S1
eAMGodbm2JV3NGOULWGtiHAzjIqVyUrnO15csS/6wnk1OBFo65lLazNzy/GjdurtFVUXw7ooufO7
A7KH4/b2Sa/n0OcdabCnkvojlKHqyh2s6Fh6qmJ4w47bwtvilfWi6SOeVHtvkV9L/FoPaAwVU8Yp
R5JOCEbgtBJI/mFW09T5YDI+6Ig1Ngj+HqdYvTwR+Et8zajVNbTd4TZztA2rb+9U97oVrwhGRgFl
FFp6ioSs1xK95EvW9LR1NFl1ciqX4OwgG7b7FJ7emd6IVOjiNyjHIGafHJjUOFDAclF9lT7nbJ6f
Q7dQN5i1g6cqDeKrbgT+GeG3epTKnDaRKJPdhHlzE0xtjVWiAJxq8tOyVmaR1x6KbO5JRTrdo0mf
87SKzaZYa6y1fdsyaVYRkbip8XAZGwd941gMGgpong7TlYV2mPqxotHCLU2D17EdXswR17XVEwkl
AsnukVTjfJSxtN91Pr/ml0ER30DgG/CyCu95mi1yiObMg96lnHkpJmriLdYM+9rBJ/lAT6iitApG
U0qSFaFi7Q7jdVeXaosBCgTpf1YL/yNrKpiqXw7H54+v6q1Jf5yOf/+gP6ZjVgiGBCwHIuJPYv4f
24XPwdliZrZdkA8L7OHP4dhgjwCAy7VZPwCk+ytLX/w7wzDx459WChg0mDVNA+3D4Eo1fxqGM6PT
kCCi/trIZ6+P0NQ53XIVGZRgT8U1XGtzwjUF1jDCbLDoGBQIDg/WIm40i8yR5S6KR8G3f1KLDIJN
wL4eP7WRdpFJ9E/FRDcUGdQ57l7MRVBRn9pKv8gsXuvGZ32RXtJPFQaokr6p4Ob5BHCNc7vINbBq
6q3o3Rw9SBQ37SLreJ8KDyT39AngwHBc8KzdalzEIEG56FMnIg0kkVt6d1nk5ndKbzHoISQ1gNXJ
CCEu2bR5LdVH6m6BFW+xQKDiBPS+aYPRHtOKqXCEmO73thw3ZkSf6SrGNPjQkd99c5y83sdNGeAb
moHX1DzFb6AmRs81ZbeTzw2lWhthr2+9yGH6s+rozhrtZNMLs+e9KorxWoUDT/m6eWRXDBCGAZSU
sMlE6Qujmh+Ktkt9Icev6Ugn+MroU24CWh9f13HB3qaorOYLTH1GgJrf4WOWJvnZHfpoq7XRfFQ5
u8pVxMy/znrXWVg5hASTQItvdK9J9loWXsigJFuAG/RwRBaOfqiWezGUjBNR0V1TSxUTcs5tesrA
dt9zZ+y2KSKx3yLjXVzCc/uJterJqcVwzQ1x2rMaNd7w8pZHYqDtve1S78NtUEs3hV6RNVYRNAr6
S7sTnB2xraWjrUHsFrdaK4z7djLbVxgp2feJFfqD3nfx2uYAdMkbSzsbFMWGaEwvvFZItRiqPW65
bv5iqLjfSrcq1gX3alywKYA3YWmgLdSIwt40Fyw4sK7GdvQ9OuzqVcKFgx8LA+k7WAT2CrWSaBba
bIBrH0kTbkymi9ui6QULMq9uIYbm8yoXJQEc+IKEBs23Xu/dq0/WLHiX6mwqGfpdIUhg0LvjR01I
w7vUvHHTM/xeVzMEpiys3D2P0OwjKcLkRlTYKeI0nC8pzqBqlViB9k6CzM1XQdhImtAGm6g668ju
qohth8N9FB1jzpUrqOvJesEFvRDeEs+K3vhr20vFJjKb7hQ7FXuRsqr7W0q25leK8HQLQ0U1XlE9
FD5Qi2RdXNzKHJvCXd87bFLgaaOSczZMLaPFDNTPpCykLByWJjVUpQik/dpuWidFtSs0NnKuzUM6
SYKDTub3YE08nFcwEnB+MAFwysUKlD9xG6mYazCgFmEtNsj+1ibWKnFyIokfBC8qehKi/wbrSH3J
wzy8qMjU6Vu1jS8Z+xWAaOQgn5sgcvDWuN10j4RmhH5VZNpmTmS0Z77Mj92M8rXKNWcI/J468X5L
N7iA8m4AbdCsIs3PGu6jJ0cWWN0cuwwoYKzrgDtJjD9rzstvmRRUA3Z2Pp6M2cl5yqdWTJfp1GtP
Yd803iaRlhcgGYQjQEuZIMkmRa1vRxQ2wvxuNd7qmZDPqgmKzg85D1T1NrNL1rUnyVZ3xNVthDnG
gC2TSZh7VLtONqvKUXSNuA+IGE32Y+jkVXvXLltQuBcwbIvjXOnAUvzWBTVRrc1eT4d7lYyh+04/
ZsB5LnIyMViPOUSo2tm4FVnQrdZ1bfJtQuaQKb5uqRQPLpSf/4hk/0okWwiIvxLJzh/Df+3f8gpT
j/r4IaTy+0f+MQw4n9YB7omm+KvNwNF/s4iN6ARGFmox1Kh/TgKMD6hX5CVgajNFLOLWH2YDU19a
dfjrEKi4lnAi/DuTwc/GGaIqfCJOgBTNui4jyY8iGZG0kXABbW6UhWDqnznB6Xb49JcX5f8RUGGi
+QEn+flFIFgSU+Hn/BtJuC17rYIxSy1VCkhvdJqZMoLe8fFft5tffynGtL99KZOXxbFM4QjLWOag
vyRhypw7UhIa837sY8oKshghQSfwKJdzYAbYdJ9LBYpxtkwqIclZ/PrL/+3lJIYHDJpdhZT80n6m
ggIGca3B1vFhFsODnjvPLmbRX3+Jn7M+7vIlLERX2MU8V+2fKLRKaVMnAlnvLTk8jNZ/s3dmy3Eb
abd9lfMCUGAebguokcWpWCJF3SAoS8I8JZCJ4enPAtXu35J97L/j3PaF7ehoUVWsAhLfsPfa1jND
mSaUMMwZr3Vcpf+e+f7FNwfm99cPFOMgUidGtTYmtkBfp6x/+ECtpEOJyijggOGBxLqiMloSMrXq
VDgcxiW4HTseO1bISTfo9MQYjTcdeyMkH4WoRETlRJ9nJjzkWNwWRzgEAbk2jQqwgaJsaTact3m9
MTuDVIOKRamgqDzikbW+mPm45zwekDuv+UBi0M3nmTCn1ZUiq4gdhnWXdpL2PC2sSOrz9DwzQDwz
dxmTjUWVRXPXBdXVRQP6QkJrw9pcoNNPiOp2BjIiXYeZsLLhCBD6kWCYIL2P4zpGDyA7Fl1Ot1Ny
WY48UG4x3aqdVVXfba+8NJn9G/PGxwGtBBNHvzq1+vQ5QePPS+Tulh4NchXctKhol25fdA6q+NqI
nD4fvzGE6o4eUXPtDJYtCxj62SZpzVRk7t0EYQNpuBufzMR69jQjPuVpNoR0nSviRYHC1ILrBHgz
mo08x5/UJdfBhXUlfcrIQCUkgbCPnsZYEZdaxtuc7IhbhpOhTHG/xlDebxyMTMWWicAwr4+mJMCs
kwNKyhovuHYeQPGU9iQ0fTCVLflCkORag7lmPQnhfrRrT3tJCyXuSRXl7/HBwF4bo2CAKjJ50C3S
WjMhoJJCf09v4qoTtw2p96T5dsWOpRmXSNWxtWwIkMzH2kANIc2dykr92W7ILZ8Vg1stzUz5KjMd
zFWoz8aZSJvkmqXMVeqsMTYxYuko7dzVX5StcRaaiM/kK4vHdmEGUIn+HANhe0VlPFxtGBoH7KrG
rTFZ7qGquRbYlmU7OdTTvq6s15TJF9P3DNZB7lnTwe6z4FFHpbMnh1vcLonWPMhyjkxEH7dYi9oO
pUap78RIfFTjOtSZWFqo7ieHDODAljcooollXVL3IUOGE8cWEOJ48Ay8CAlmhiJlO+u8TCo52VXc
YdwdH4mL/8hImb5B5dreBtBxg9y0IHVFMWWS7APJAjL2psWeFBFAeZgBIBydtu9u5kZfWZ2J09xX
M88Nrmh2MGQHJfqjFXfzW4+oew0UottLcu1mSFxzb00B/uGSsgnbOuRM5Ole1Okdr5YUFn7eANcP
NBSI53GbAqPW/PjVL4Y6jP0k2CdxPN5MTAFZEkpmGFjl9pTShLEXbOpMW6dpiiWdgUMCr+WW42kx
U+O8bjt3cU4oVQNFhL6BCGLXS9+Qeb0EBqq1ZBj0S4ZU5WAq6zMMu7Pml8lT0ehs4j0+aXAMp8Fu
UPLHhSBxF+BUTNwrBnzietwlv9X6Dq4CaqUINOxXEnQAvpHbMG/8OFHHmM381tD0RzAUu4Ht+CHX
sLs0SG/2CxGZWAbc7qMwNI/NdT9qUduJZiexCbz1iiScJm3dbT/tujaxro7TBmFtFLjbak/1D1Jr
Lfazun/MqtECW5LSaqz1dpriP984drvcxWUx4DqK2/ljY/jlmQNpQSYboBM2nVfRIPUxA1/bjAyZ
QlJK0H7p6ZnZ1j7lAYBuj/n9JlkTj8vKqO/6yj+WyvxYVHidzNhAU4Qs3BY+A0EWMFFcaP5tEhff
YjRdyAv6rSdN+03qZIjn0lL3Le16sHFK7j2OBPc+m2kzwPCXR7cyxYFVbRE14zJ+auiUmYWLNZUF
K8Ecli43ECiLaV2GaOWLAXidOdViP8IidhF4s3ozyirvN41TWoiv0mHrorvnPnGnr1U1IzjoaiZd
fR0WuAKendRBSBLgGqFZK1d05WSHQO6dbekDlZeLZ58JMh87lAWLomX0tQOeXBervfebZ1goPFTA
997FTo4P3/euZT8Ze8i1FWpIe4YqMoOKLmyoBW6QHnA5NjfNJJ2Dg0zp3s2M4pBqSfLZd7YVEXL7
ck75+FU6fTQ4uSLcxD6d91xeLTKlQkc3MEVpQ2E+2Z27dUFBvwz4Vj9Pyk3vXOEuL31tRQTSwVfM
WyHupNEOoHhyrjx0UgdElILkWy4yHp7f66I32RSIYocjsD/yfByPKrc4Mzp8L+4NHn22hJFZ9vJH
XfHfIv8fi3yg6n+oiv5EhF2L/NM30X+bf67w33/s9wrf+hCw0vaQb7Fu/jHU+9e4z3Oo8jnQPPTB
+k9mdNtg4Y1jnFBIyjnPWodyvyuK/Q8Bf52u8/9gb9eZBP7uxP9X1YaJ/4cz/6+quF8VxdRtWGEc
Ejx9n9ghboefqzizEzzipCMOgSLylhAti0kH4PTihsxF54alXKeeEqfHfa1nqTyqrB4e01ZT1b4A
pVAAB1HQwHDVYP2JpQW2Dxe12U5JmIBUzB5xhumwPWqyrwI2BQtyobukMLCMIMmNr5NZO5+47d9K
dJoJf9VVcX8+DUWzPPYiuKLWBHtS0xBsGgKwSZg3mMKxzltu5bh6wLmRWb8CBUI+MuifAoLXyMXT
MvNS12Nx6gX7zKby8WWuJorRZc8AhG66q6YGgoZmGJd4MTWgoVrwvTcFLKa2sXB/qAp/XKJyVq4Y
DbGZK2hsy9gH4WL3OZwHPqj3rBPhpV/4/jMY3z0/PRqKSQi2IH9PvR40YV7J4wJoJYQ7yw/2zojo
1mQ0kW/cKqiCF5UvXRLWpa9/8ioM826rgtAxCV+v0NsdUP6xk9ckr27git/Aopt3fTYEBA0iwGMq
EwhYVVnG3mvsaXBE7lMDm22ivUppYX8biOnbuNIyzsLvA30/Okb5PBclNByVSOOTqNYiupjw6vHU
SKd7vy2170s6BuFkdfGpSKf0q8Zhedcywti/v79+fVdc2QLWIf8+mnBa6k3NAjX0XFR4O13Iei8l
OemNTzZ71vAhI2EctmSArhb6ITN5bCEeTTdyKIrxDFE8Tcn3M4rlwJBJWLvUIU5xby1ruZHHQLdq
rSlOi90clbB5SoI25ajMEvNTi6nf3Rnt7EMjK2z6yaHiWgCHd8pl30e8OiC4vncyVJ8Qfln0ls+C
nM2ntBXzp65N+7MPB+6aExyyg5Ek3IhC1DohiExu4g5Zcz63oLpJ+byhZc1CH7MlyqqB6l0B/Avz
hXGjs5h9vceRjJXb6diGw5R1V7QlGql6nPe+3Qf7sjSt76MLYxN3dVU1JMWRIRUlJlLBXZDrQ3pX
lA1/VyDLduc2MNhMVvT4oIifE42Xk5Rd9Je4CubbbBmL0OIREi2DHt9WLsG3xN+O/t4YAmMnytR6
Lqn+95UPCx4hGNggnGFZ5e8LQ++fhsb+5AwltCxHf6n9ac5DKux1pQxGjjQ98vaqJF6GsMfxssv8
BXyrh/QFSxAeq9jHFoaJSIBhKpuH3l2qx16z4CrMM8bszDZOMqlRvEDq21ZwVlZI37A1A3s5YWAt
Svb5oxWOpWN9RFhBk1jNePWIh+VGRd++sYkoC2uTTCXQ/nGxqwdFwmkzrDHScU6OwdhroOms/hbR
IPJT3ypumEs6DyyYwS+mCt+t7vU6ljHSO/ONrwWUCJDpZTROuvdJITa/jQ0j+W0WeQ68hHTVma9+
aVeaBFkUI3S1BrjhnBMzEOr8zNtCKC61UC4AXBJW3j11cGhyrAdGupWpAhysFfXyEUuwzmyyS+8U
TQIRUG1DYKgz783O0yFjYDAGN5y0OuQGUmMJey8HWEyk7MELrDHfjRwUxkaWox4p151vxrhtHlNi
H18Cfn8LiP0y5ce2arw+cpdEnCReUvpfd8Xfj1Tim2pl8m/0TkL7SL2GzIi6FaEozfTqwuRgt1Gy
djdFld8obCBzqESGESA3IUlabtuHIlDTPtWTOhzn6o1Uhm4rstnEMtF5d80stStGPA5/aabLLhin
HDBbXQ5oGP1FPJAugbyQnT/1IYc5ukROpd6V8ev7ydIVQ/w9mKriVDbcoWT+Ghgr1ruodTm0JnTA
z2KsyAbTsFygzoZtxlqYJ4xo3Ho/JRzPDIBNm9thNC9oS3khhARThA2Vd1KqYrkddQJf2fJqQX3H
FHi+gyfXzFHTLMTKSngswjecm/ca4L/l0j+XS+tQ7d9DpL8sl26/TdlvzS/l0vpj/9YOrptO23Ws
YA04Yiz6P9pBHVMWdkGqHsqiNYb830NRy1vXo8hnfYZZv9RLlFIsH9iokucI8J48tl/qo7+rl5xf
xnh6EPDyDkMvhx0sqee/lEsdwrJlTOr8LGA+zW82wibykGxvsLc6iAUOO2uk758PGRrYSjs2Zto6
ImRsWx+IktH3iG3nrwJXM0sivXXCid3CcjPVrveNpsaL2PG4YukONV04WqtNUY6z/YR5dPEl2XUS
iG3/tYR+wp09g0h3KEKWPA3u9UwbvEfVSAWzv3UHgN5PVg33PXRHNeivZEmU2bx2xNB/RNrodXXK
MCyEk+/RkSukQ4TLJotTTOkZDXHX+k+p6S0rJR1rG2eWAciM6R2e96q/9iCHjK3Ppq/UX7LOGxa5
r1vlm1XY6xUBAxkZPXg09O63VOvFzuva+cExyxqjxjzm/Kg7a8vntsaoffvfG/B/JU6wDJch7N/f
gK+U7r/cfusP/d6tGB+Y3pk+A10QWD9cjr93K8EHD4uj7eK0eRfoMmD/XbrrfNDXmwLhAm00GgXu
5993EvqH/48Aiz+tC949ttiWma+yNfh1wm0ot1O6nlD/kb2ShUWdOPcWLpO7pRz/w+hI2+e1WIkB
g2KTC0Hrl/0HXQsGPt+oj96aDL2omSQ5qoznmU/gDATon7K8fjVk83rEaZlIppFF0xX+crJQjJqo
mnRer1qDzke9ZZJCEgYplRNZh/UQw5mwJt+4Apo1r3+4Dv6iD/zTLN9B/0sBRheIDn89JH+a5Xea
3tMOMadaBKDkqqw4eUpD+efZWCCVx0vwHJv6P/3Kf1pY8Kp8WpbtEp/3ZzTa0KMdHX0PPFJlTA8F
A6CvhNeTxRWs6UWJ/p/mpUE7NbhIeTnbZUeClPznXzPXtYk1qggY48TNjbfSmmbap23lW9pnK1bu
699/rOu4oP1jXBrn7/suhnUdHy5a859fcO4NfUniSR1kM3UFi+WYpKhlQUO3UtiJBpyx7Nz5ZW0f
PWx/l0459XPdEoNHHkWx1OjNeu9CgocpN0I5EtL+2qowD5w+gd//h6vA8f7i/aIx4d5ns8PY4lcx
UA3jIMmrQR4cz0rsq1YR2HDTJyXqm6RZ0U9dYownSuK5xNoxOMaVe3C+rLHrB1MHlXXKeDAcYTE4
b4nVC3dD3C/XEl4tUvAW37ibADmnJ6WbZMmD8DLuKvjaFTz0NSJSmj0QOk1kAB9nk4RqNAzGnSY8
UiYlXI6bVpunCyzW6SHOGOVtFqEa54tPiT1jxlwmtfWLzsxvhOVMDy6nhBtlPhDUQ64r7YUYhyC+
dIKSl0CUvLMgWfSzxqbJBDlvfOMqnSCaGAhQJzgrgbIfp3oez7WeEqyIi5WpAHMeQjXXg0Cg6kOO
oIh80yAdPQRFJ3wS4bv2VeYmUDyhW8cfmWmTUu2rT7z7g44zvQqDDiZ5CMRo1RMI580X+nT5EfFV
qbh9tVBaXDRQZVdnkH6ULRlRZoFjMkeeg+nVbQae4dgkEJKDkZgu0hb8pjS+7MnKnpA2FA3xM/Bj
ouYkAs63UvI5vud7xcI2rpJQ9cvid8Hz2C3Om8uu95IlqBs6sGHWDvYdWVvBpBHr2at4uvy4VlPW
p6hamLAiLykmypC8YW5gO/yy5qzaft+PRK+HmpiL9BR4cVYdi07rqmHjMrOW2wEEykuqxuDZbzlP
I8TIJPFWcBPcDTYk+63pffLjkpabH1X8OZhF8NwyImZZUGdcGcxhSDRhxQLkc+brt9pmemDGQJKa
ck0+Uu7u9nWamHeEScN0hh2d4EsKCGo4StwcLSrk9Xcd7QChCmOuw/vnb08DVjDp29u08LyI+Trq
s64O9Lv3PzPEeHErgvg4N5b0oPG7PqbeoKIxCYKd7HouYBwFtCrkpreHvs/j+MZg3dGCJh4l0NvJ
D0gvQMfLlIpaSgLyRmx8N7Cjap2NXxXm9ITbQ0fDGaNgVbsS5fqaU7Bq68HJ68fRGDw10cdqBLj1
PZkq+1mX+Rh1CcFil7atnXKTNqwcNnUqh/hsLsEMhAqAu5q1TuFW7JfsYYRnMr70fPzsY4ic2/e0
nKBOINQQgqDQnRJhjY5UOXzO/bW14nQ7rf7wuA7mXQB/qksxvbDxhejs59ad46+7FjUe2KhNrI6a
6epCLXvPgOVr1+Y72ylc8gtT41Ovm13EssjdgOUygJ+nw2VMO5ZaA7PGz4Nd4G1JrZ6ZANEd043y
NHWwfQhWG6ljGtnozXLnC5l87XqOTYYd3qnOUveu1esg3sjFns8oiiq+8IlZHPL/BLV6uwxfA5aD
ZHJrMskiLu4A0OAw1YSyqZ7xhOfFz1bdDzXzQPsjPF8NtW73VhseoSZsJ+1Dhx9R8QctLjqhr4HD
c0ECVGrwPzacy9OFxxzXshnXRN+5WsxTeiFxGtQLyerMYp7XsId8BUcS2+YoNV3ec8NXIuVdaxvt
6wwktiRfZHybGjRKueNyYDZmAWdQz19yzNpLyPDJOsZ6T5K1Z5H32QZ6ClIsriMeow277GoLs6aO
en6NZGdYle9AAFqQDy99a3yuhKYtxyW1pX+0KgHSKDRadlWWMDACuqZlfYE47LhbUdOUB218HrU2
eYD6lB4TP7h6ado9l4N4m6tpPf0z45ndkIxyiHx3rI84553WyE64Wc3PUovZ+2Fihu8XjN4TG8eC
7kaNRwfFqYqssSNJJzW8GztuhL8LGPPcT9Kc5G4B1FOlfhs1U4+STFUI1XG7djiRS9tRLM/j+o5F
s/2lNCz+fMsTS3x00sCMvwT+mJEJ27Vxs1tISCqhqhcS3lBfaGdElpKPrgLPuzAh+jR7Pp55u4YZ
lVo66VgDUecGiRXYJ+P+tZl8apF2cPyzNYLMKgzF19oFgdhmWGk5LOwyEUhZ+xljQe7fadPMY6FC
6BBppdt/JdkpODvvwbmFu3DRMIqZLn2i+yt3fL2UGI8x+Usb444mlrO0c03O9Bzj7LMyeTfukAbn
fuSrAf0dcA5WpCqDUV7z2DMQgQmDdxw7m8lKAsIJ2qxijlhw3gslDnOqOAeVk5CbhRbZP7OV1sLc
b3jlnIcJQAs4Rw+txcu7zsgKzZt5jjeCF7bixX5bGHvJ8P0I9NhQii0ozvXSH3XCrIex9skYbUf7
PErJiL90FoUSQ+u/1lbBk8OwBFeEuXTOGzzy6aHPHM7p6j0ncu4wQKxob4+KYaav2f94W8Z7kGWX
5lQSsbYmpXpYlG+6kiBflADTw6CofSuMF1tjKSE7MRtFqY/jhWCsW4OQHyvURdC8jiYz3XvTWSOD
s6rldx3VwkvWDLC8i921JagyumSbzXuZJusscvR15XlhMtnuSRY9jhvYufMT4cPOq5saHKyzgCgB
6mxiWI49i2AfaSTXkR6ZzA69dM/2Yvk956JnPJWNpp9amWrfB9EF+1SOwbThPVPlZJoXPJsTNuuN
XzJHCLtgMK6WIKp+kzBWLHbCs8m2TKZs/UQ7sJFwy9HehrL1CXtDvzDUT/H6jeZ4ld4WuSbalj1f
o2Z0dA2DuehCR1HSkvRQ+k6sPxvajCKdz4nS8sm1Mk0+wUrBixRmY5qk/oUFb+DyqELzDEPLT7o5
280FsH/jY+5TLSf7aRyAoxmUG9AzUXDqNnksJOVl0TDC9h3d2dxXDFhHRD0kpxe2SO+salBhpqXz
ln8QMmDyPJX50iL6SLtL43OyFCrVPk1akJ20AXGK6lMePbNfHRApQOuFtrcr5fi+43WjWoeRp3vB
jT33cdhV1mPic6Rb0LZ3hp4QGrsY1UZMU3dsFILqZCiNS21zxKArATaTM+Ikx5eKZHCr4juhrLi2
VBMDOmkqjMSdaiLuwJEgkPp7DSeGgLX7YLLHI9c1hYHs9PtgaPV7JtUqUih93X6uDuyIuy21cfw0
uRJvPg/RiNEv4XO2fW/rg30LsbV+5NvmuVxP5YknX4WIo8B3Q+hK6FfuNgnKW1nYqLz5qO51wMUf
iRSVrPxN665R8JtDK9EpIKduXwYlugj1YFXGhcqv3sJ+0L8jgnVO1o9FQQVQAdd67ZGe6B+0fPmG
tZUvxJbcwjvUeGMaVVIvGwptTaGb4gncb2Y4mpwg6aoX4XnFaTjkzY3sTOB+Frzh274ouUirlNMm
cwVX5KJWcH6MYLp/mIsxZxtC2R39fRu1dkk/dVE+fRS4IwYLbAH+JGwDNJcHPPHaQ4v2lqIfVys4
urXw/fvX+VP3Q9K5YZAi5dD22zRuP3drZBwPMm8GsNF44oGneJ5x7XpBqLY9GSvtfW1d3o/Dv3/d
P7X+vO660XXJtrZtOsWfX5eWvMQxNrWHKS/dt0EjSLHqp3LajV7K+dVU9Xxx3XTlZaP7/aeI9z8J
I3n1dZeMX9vlTazWkj/q+EBwMD0x3OZAohR+AWB15hVlP2k7HusXghnxlm70VtCWrJW3aQM72Lx/
AP8dmf/jyBz/5R+ulT+PzHnYpv8neit+jZ213n/wX1O7wP3AJMVdv7s1RdY0+Ir/aClav1rdRPr6
s5KYcToTOwba3FOrCoDL8vepnfNhjYdloK6bP5Bm/8nQ3PZ+vsRW1etKGWSAZTImtI1ftbeMndre
nTzzvFBMJ8s+65N5QEpp6ptq7m81eu1tW1ElbJQPr3wDtHB51czSRWiYGYdetdo55r1v506rdgnV
A7Kypb9tkvoAS0ae/G70IoD67k0ja+2J8HG0qHWCli3zV4N45T4ptPk8ygAxbSQhhnuj7ZpNtT7m
XczbG/4+Y2dCugBTq2IL4Akyf943HkEnORRZeutSM5/YXbJP6uLHcenup76JUGnrq9vfOHQ9C2Kf
Mpdsdvdk2IirZBFEFBdfJYrcSOas1Col8lBY9XwLWRtgGYj4SemMyNm5dWWvbeM8N3azvix7PBcJ
0ZfmXqud+iWYVb7t23XTW9pbuNr3opjtLac5EHFzsHalV/lhC4fpYFVUT0aFw5ZPyo6G2g8Ocy+z
C6maTVQZxnJoCxP5QDOvrtxWHTBx34s50JGSFgsPMuI5JDSQja23Fs5Ix4qSDE/yiG+BcICyPxWZ
d5sa9Fw0GZdAr8btAPUtqOShtVdpI3jkzYx6lb11ohPBou81HOEhKS7PYMTZNOLT3mKQHaIB821U
zjIJhaO5VCvyS9Wj250mhLOw4m9aKrbQwpjfLN5Oy1iJO4DVIqhy5Jwx4dp0jnsIyK8c0DmGfmGi
hV1i7Xm2smZDq+3glsU7bElCZUyb9DSkK/PRZKt7hUWFG8zwVQT2BTDQZDiwzrQ56ifdBlcP2djx
KXyki0sfTsE2MPLP7dTaNx2BPHMdE8PlWF0kQSaR/pfsOaI99FiQ80qcKUXeXZveffan5Zybo7dJ
cFfvtDrTt4wF073XVm+Lk3/Ou8He500s6NFHKMio5U6dGXyzIT1HgwqciGti1apt3JFLwhfJIygx
VIcJO1uTsGI41UOofGMJ7b7UoQ07R4ZgxufZXgykc/3NpBVfltmethNt1TbP2E85dVKFy0IIEEgA
IsLqvIu8pCUifsExbsOMD2lfuqgwxCetH9BUe1McUWsT09LM3R5tor1tyJzYuUhkdrGVfxT4A26Z
lVU7y/+SBL1+mhKvC53W1a5E1sNaQuxhR16ZZZdKERhb9+z88yKd99D4xBVDnB+xliguC/uJqO+X
W2Qg5Q6kwUhnnbq7pWCF7CCn2tYTVLjB1HT4b2LZ6jiVttDDUhB6kJjTwUKz6eXu0TDhZWWJrw6m
mYB+V+ZNr+ky0tjLfYR2zKfok01nEh0fukkwkgEIslh3GhKcnVz/CDWQvAPNcLlzu2U3pK0XBhJs
BY7s+qkgnxKEsdRPxtCPzibgKZ2Fo1akW7clDHcayJEmHqpg3w/nmLcqzx7adP6gdq7pTveEatxp
dvElQxOIQc8nO6vD5CQZxUTewufZLr1z8IhDAESif5/i1MeC3jin1SW5yd3hiTieI3hs9+TDblqZ
OxeX0eZ21K2GkKip2yxj6UY2Iy4018Fv2P4vGayK2JAPJQBx9v2ZsZ8z7VtlL/OuFMAKBu+cjfz5
3qv3lPXgmsBu7bxEEyG9RxvNa62Yepa/MezsrWvwxif+8tSjBj5463CkLFgpjr4cQgqteWsiv4kE
/PFQT1xxO5veTlbmW9CtnQaQXXBJvfMUm2kSVl6wlTOoem41/PHdN9WXNBQLkCxH5GhmSxgXcCeK
XV6aagvZmqp1KNoIAaZ/oIu/b0rzs+v25zyxSTt2pmd/7PHzZ+4QlrPlApDM6msQqJcSrnbEqP0b
+DTM4jFK+jEpr6Yhbzx7EHetb56yBrG+0zTlbem5eFzFQ5kybomt1A9hOH8XgqTFLABM7Cyy2ds2
fsUYG9y2G4fyPJPZRyK08HE/ADEoMTP0VvqZdIngOttEA5S1cbO46D2VOXe7wS9VNPm8Yr0s1w7B
zwM5u4RN8hBiXDAh60AyC0+/3AnpOBu9cp5ahL2MHbvsZu76YyIwtkGU0Wh8iMlioaJHadW5r2Ux
fRpjKQ/eTFyeNMl+S8p0J81h3E/1pO0ISHVCr1LB/VAypU48LKW2vb5xUnU7eq2BKS+RkZeGPMAt
G6jd1GWMw3EXHI1Ue5EBEWEd9BMLBgZnoZRHXy2CsyYTOCdj98D5m51Ia8S4oXHKwVHEdgCnkR7Y
BIGzWM4u8UaLBKwWCJvdGvvEy19GlTno9/3rPPQ3PRN2MnST75bWeqeyLuOd5pXLxm5dY+c0Hkh0
u9JPfkt70JCXyQCwiXdA8Mg68WecnV+YytTDRxtYCN6AxNe6oD5MhPEAFQe15jfjM31QRVptzmQ2
LzcdV1/lk6MpAqjfXmoW603GgMfprUNnNplCVdOiXPtoybG20OPPs+ix8zl9w+ld4CRoxwynrhk7
F8tGAyVeG6Jxl/okLNV7QZg3a/ODqK+kTYZM3IpFiP8uxP93QVLwM1ij/r8X4vcw9H9ahv/4gX+V
1b7+AWP8SqRCIbtirNiT/6us9u0PvoGVC7ed5QYQeWmafl+GGx8CzzFdCmjP5T8r/ep/tLurzd6g
fGV24a075f9Ai2L8ug33SHZCIeysO3eWdr8uF+NRS4hScpwj/XAbR2a+FOTmtPEJl78KgZwgFbNy
ApQEIUvkAcUnH3HWKw/m6aNTs2mx3bx/gWXTvyR01P9gePu1qeXdmXQXDm/QtFx3hSL/sa0MkAXG
xhjYx1zZzZuT2jjk9bRes+HXQWdWznvQnFQTbYO29w/f4l+ssyEj8Lf/NDJY2V4GOiKXvsa1rV8W
2gCuSI2VWQeYM/5UdTHRkKPMgtsiQD0Wua3jnfG21S4fk+vdTHaQfSQuPfs8LfXy1ZN9p6J2ma1T
UpKhXLiy3A+lkMWWaZz76FFFzSFBNM4xHqvhbLRWu6NWJqyYoF2W9hXnNKuF6j41Z5ZARLIABvQ7
kKEgrbxIygVrsc9wsNtYLDM3KnfNVzwc+EcYtm+W3mc7zex7K5pSXtAE1rtmtmsiNwbLL3YJM+gU
Cmiah1Zm6y8azg8Wn95VkulRhvbS8Qz23LYmz3VKGL1pI3PExlKHWavisMDkvslJu0AN5I2qAxhC
8dGmZDdV5jR/qsn+wCqOe/DsjDlFn5iHF5/kSLxbOnrEDcaVNbuHqPIDist5R7CxCzsaia1mm2MP
PMXsLoHU8kd2FZkR5UmH/qjR3aipPV1EfjoF21Hi2t8pFA24rLmVUBn4CeLPrnMZ8djpcDVkk27r
wRvlcY2oIjfQrIfLlEnKPMMaASdlrqHvkEvE/qaOh4JywnFbA4F3sqyBrkKnMEkycyTVK5AblijE
+7YkZB6oA02NtBOXeBnH+eTlsw9i0q0filpMEEI7U5CFgcvfFkApN4k+GTvMbmInBtSlc2lq+8X0
2UOlptoVegbEQqmIOzUgMtmrLgv7UFZ9jcxPS+7nke8M3hsrw/awVPqyDcp2OMwZvOLdYA4JA/0c
2zfTHaq0UNG97tFsG8B/fKI+fIPtVG7Kgz+mPIRKz0m/2aOu7g1ip51NVnvVN6T9a4Ds0lm0Q1lN
NiKMLLLL1eJYG9cjMD7i3ntis8XKjhxNyTQ7jyt3fCKHPZvaTefVjQpj7GBJmE8xZkcfWsPXOk/j
DPiDyPem3oxfIYBWBlsqAMjppkXvpd/2XSCyNxx6JenqtbLN+74nyG6RiwW72srVp3WpHpxnoD9v
C9NOScKSnAR3RacNv9WxzMtIBEOHPQs5crYdiEPVtg1uxFuWxPWMnswbjK1U2pI9zRac/QMaZcbm
Wlwz7G5qUSWRkKyNP9vBiC4OI9saNjM7tcDCWOgH5PUpj4KhPot0zNqoozZ+6xtvTaGfSy71SW+O
MyuiC8C59TAkpIy0yKy+zxdJiJBsugCkQ8CrifV3m1McCrC0jXHb4YygFlZ2/zJkbg5OIVO8exqf
5dA1qPezZmxfWdKzklBQNzaBo1oVpSM38rbX5aSx2pzkFz2nkiR2XDikj8Ujo77WbJs30Ze0f61W
oq9dj3KmAHxONkS+7cBYnj2ENig0FebyXPaWRmJMMVoLILEpJvcUGrZtG/ObI6XQ25NPrjH/KVha
M8QAjUeFvGmMZVSf6mQqsx7bhFO/QWVnFE5Ab3/TiMW963qDd4wvt9F2I8iufKUxtPsOssf9XKcs
pUl2NVEiGPn0KFHj39tNw42VUabfC6cEB1YnEBAif1bqiFdpgNurhrQ6Vyg7AC/yDrh2YYIca3RY
6s7uYFn8X/bOaz1uY+u2r3JeAP6Qw203OrObzSCK0g0+ijKRUchVwNOfAdr6bclp+977xt62Wx0A
VK1aa84xVxSE0RBWXet9JmhIYjNIWxDpRUxuNyZcd9JXQwIgmm6MJz8JeF6XxJ2wYaHMF6vI18lf
MxUsC9mJL53Rf8DU4R7GIMicRRwv7wa3sIpQy+1o3PnJgsIw/JTANlPQ+bGdLNoayNzPiTVGYN41
WDgJ9fyjmQ/KpRQcnFeYpQSdjWSBboWERWgKCA0FE5IbG2nECahOQgDoDLmF2rI4qMavHSyxrXGy
oCgeAtOcQWt0ETpq9pmZrxxMoR0QF04QY+mZSE463ImDMEEZT71XTbtKWkDIEcJlLS5naF1O7NgQ
glnwu9LqPv7Xl/1flJTow0wqur8uHD/0L8nvC8dfX/B/IuZFqQw1AXOhQfWzyKi+9WMN2Kj0WwNG
DLQ9dZsZxLfC0URFuVSFC/fpW8W4CJuRNi80UGpNhM//pmJ8rwh/VxUx1ADpoFuUqxYaQ/wL39dk
glFiIiYWViIzNZByvqynacs2gD6hRGQIZoi54xjH9YnEne6rMU3pTqXIraamavdtI+n/L5qbbBhQ
zaWGuk+mybnS/ux0giIKxUMPOoqY7xH3UulCALjXvElVzC6DEaHlhwSjaVnvOf9jf4qpPpjnFZF2
G5T2WB5Fm7U4rExwl/6bVUOBG/YS6aIaD7E3GADLI4/EbsRFPra0euRHftAq4QGMshOsAHEmaWDw
W9oWYTIRDQfeNlnF9ZK2WZoxtQ5djv4eNBL5wAiiL1FZJrvGM2d8KJCVH6sSe8TcC2vPlxLEDwza
F5mU6SNS57ZZ12WS3RHvhCizbQ4kacUkdEfDC0JSMAQdSB6QMUDXXZ22RiBGwu0RUs2eWR0zONcO
vZ05lyxLkh28OaGvLitjafyoSxLno3aguSNhVuZaPD1okzHMeqjHeRZvI7t2TG9nAi8ddmOki77B
6B1HBhqHMh+bfGExkxJxrmlLV1wFsvTMcjz8tyL8LyuCuWhy/25FuM2Ll0SUL79fFX590bcpjf0T
KGLuPRMrwuIF/d2qoC+uB9flGTffPQr8q19XhXdrA4+rx1GGp///FgaLzBmHHBjmQObyun91lMS8
8P15ydBxpgYmB0o+gUFg0g/npZZ2bKVcoznavQbZyC5odY49UIvev3M4GYiDE8QaiG6MCFgOWnfQ
PiS9k2FFeJesKEqCGZFcGaTRTiOHt30EKFqcYAGk2bUna+szo3fvkzO71TGhhXXqZWaGwSLxaADZ
lkdIAlib8wDE5JhVN1ndaOJTldSCKnCo51050RGS2AvjOTHrbTnKNvg0Ih7x94CYY5QnzeQ+j1IN
/nUyHQ/WRZrQd8cttrHwMxBhEJO7+TIuqPThnZouWpHH23pJqLnpCTHp461WlLq92NvSRK1KmfqW
vBC2iHp5i8d8ri94lVDoJIq6BLPTlNnRvu9cMGObEign9JMK7whcXIiYgekAn0VudPFNEOmSsQi/
JxFuUznIZh05gc5UaBw9fPBJZOivUhYdiWx5kjqcsnLAHNgtKnpY+boc2lkjG2aoEK2CmNdKGlb0
HdH8+TPZmSH0MHte5+4YV/UaX5mZQOmC3CHm7OscTVPnAG0j+dDB8gmiBI2GPcY7M1dRe8F1qh10
CRpDhwG8IjaPuGPYJ6usS6pDomnjLnZqk3Y3R+qV1emIstDZ3RmFdLZuUE8vEI+BhhRDsZ7yKcFu
2SG9RNZ4A6zV2onOLg9C9MMur0ayP5tKIC8fi6VHqEDJJ6A/ykqElpvEt44ZVKA7CxW6kK1Cu+cE
k7mx2HczgcNtKcuPUaX1RLZEhb+aES/cFpn7IRdlfAeTprvKZPTumC2NnxJcj+S+wklp60TdLZvf
dhpFSq2somthiglea62ZawRMHH48MwqlkXqXIMijp4Sgmb1KXO1WU9HSDG9JLx691rqJ3KjYaZmW
zkwrmMI91Y2PMiYq3A+Na1QPoKBzEpSiJFZrppmWWqdl66m1mODFVExJSJ7pu3JDSEl/kBzZd7LI
4yfErNYpmCHdkh/kyEc7MJhL+jVKZaZdbfFmSJujseXNgN1iUVWb3BTzaqJoIIqbzIdWOo8ZlI4u
G2wLDLHybgxkJEQ0pmilsFUO4+0Qx+aJHACxR4iADDWbuNZD0bV3nOGrp7ZTFZuLV3+RSHWNhqQZ
lKr+kStdbjDA2uupq8ldmgp1F7ldcqxobz/GOFifB2suy8UFaL5motVP2lxR3DeN5R1loYKtndU/
g/aJ9kj0mw3MZWyKkZc9BLk/PBMYXHycOHJ9tGSfLhx2P//YYKeCIc4T5mp9u0M+a24CT/bbtHZP
UoCsxtZd7GA7k6gRVM5Rqg5ORkVYUw13ItAIFKH3Ojv4o2gM6Om1ijIFqaTm9EkKgsVdjKg4IeWq
WKUIfEJba6aNkAPZHhEmWH6XHhJwkaxjTWe22klM8EEV0lozn2yUO7e91n5I5/YhqzXvq3LgyjO5
WIiBjrQ8Z23WM1PGNrNPJXrlG4RA9YqeWxR6aXwI7M47T5IyQoihe5iBKYdOq4tXd4BBV8tZXJka
zF8outpmZWhgAINS1nCzY/tDnNjO2m2wPzKVbSZgHkF8RhkwfOodgIrwikk0LPX1nDPu5USPPTSt
4xfGD+nPheTw3I3NjTlEcuO4UoXJOFjPJmf9vaV5pr9SUk43plrSrHOXjk7PqI0nzk70i9EwLmg5
byE91X1xl2cdsUd1bwSbd5X52KUV8JEoRZaYkECi9uaiZhfS7nwGldJ6GPvI/5LLEl3NkA4o9nzo
6hv4PNO9rUU+nOzKeQFJIE6BixeYk4/BOjfolrrGRoV4kwYQFBRJIKpHeO/jZGjdxYsD+lnxQCCP
YTmAM7oUik7JmXdVE/p3o5GWcSGEA4s1ydjrXlevDXvevcGA6xBrUbfmD4VZkMHWcFDB7frGVjda
v/jG8Ym82qJ13oRmf03rxrwxPOBT66mhjYcsc9O0gNjTElgx5Gz/HFh5fgNQmMNhNr8mqJ7hc3Ko
s5X6IPT2AVYgk2qjTchopaeQMhbdpjSbd3o6B3eN0YqN5prQnG1c9vtYSy5FPsZbhksRY7TWwG/n
MDGOHX3L8/6aMcW9b0xUawlHx8fYw01sJG19lBlT0RahVHF2BKgkp6vGs6j0eE+S2pSCH3D7Hd4n
ccedWyKuC+Q1nUT7tVEMSYE4GAVlj+0/xW5kH/mEMI6geK+Fg86AIZ9TXstIc7aFOYmDAXpzrdNb
DqdOT2+0Foq2W1Vi1w9qCO1B9Z9MolTDwhdEhnr5574zvmRNneMWNuebEdk2vMhOJlfbhxpWdYIs
uDIx15OlujcD9ulmMKbhIdNdZ8MYCV1UTC8UebiP/k+LHpjFdBfawf1OBgzlpw5cOzwjyyBgPUBY
D0jLx5uQaAc5nIiwStZOJb+0ul18JgNs2OKaz7+WaDc3xPdyXX3/c+IXP7ek+h4Q4ntr3cvhCDn8
HSmgwWpyEB7AktMPelbY4Zga5hbNrnEz11r2GmQ+KUNFou3gIoDk7qLiLusL64g5Od3WfdYccGHU
mwEk2t4ieHrLwUaFGrPdXW4m4yktBcq6QiEm6A1NC/UJG76qxbixvK567R2Zrvnsj2CpjPUwJe5e
jhaaVec825gQKtSFqLYCcysM57XR67uBNLlVxaCf/tG8Y4nWiIPQng34vqskYaKXEgu44gzhbnJd
XLy6vfN0lMNdQ+xNSWIFMOuli3jvw7Q5ZmKOt1WLsgL/u7ly08okLAxrwlwsZ5XibJWadh905LIX
7hDsSXGPQ/Ls73DHXyeM5lsIDeT+CA2AdjGBCRmMELJwsUMyL8J+BuZqx4IJZDLA6Bkt9LCaZ91q
vTJXrO3eI26SdD9nYJA4bP9MMC38hQnGXFqSK2amtcNGlifsB9ZwJ9FMvabl1CBh5vYjbnrvqrG6
czWQ9EFPmsHoLOE9QT0cVIlBDDgrQ9R09o9lP90VqfOZmL4P/52l/rezlPP3PtVbAhdF9f1J6v0l
3/orpMjg4CNgkoRlC10Zp5Vv/RXTRgtn0XqBr017ZaF1f+uvuD+Z+Ix4nad7+i+8nW96N2Z2ND1x
jjMr8tDDBf+mzcIw7/vTFCK2RazK6Es3mYIwP/y+z5J3A4f8IUivWU7bNlijEUOI0ca5extEtW3f
2W7TdjvId2QQR1HA8JGCO3XXeUQUi7ogNmIN9wihWGwWeW/dsxJRAHx00IXk+toFoLiqxyrf0w3V
5bUvGv1rqdfgDnC0EUCzbo3EZwUfDBET5cjc2h93IrDBcCRNdiyzyniz8B6Acesa/4u2qEoVGNqj
l9vNSogYOEQPzJCIg2gXz+QqWkGhEwCWMiVgzj0MHHBaVhjixVuHxqWtffB07YtPNjISf9CJwFQ8
gjZGMo/xp9+o3E4PHg/ZZ7k0rxmWIS9rKze5bz0/JztAqOkKUDEKQgK9ynZj1XxjZmRzT58ceHGI
1yU5NZwRaaMs+dXS/ZJibP/QoZzJLo6ptLBLa+82ZUWXJGwolDiFO7EI41vBvxSogNw2vU+nB8/p
8fpwJabnaGI50KjZBqTmUfyAkDEKViicOHNNfPxD6kbJaZZKPcNfYYt2baUf4soaNwH+fJggRkaq
iNdzdEFkYtUfp5bqMiYUgYrCo6WldZWOt8ohrgH9xOzTl5LegERiyRzM5pQ+mKcSwKcZzd4W5J43
fWI018AGbLmz1iYjFxUGRaLCVB8shgaURAQWJW9eiwQridN836X2sJWx5YbOwjZhbubdNTOzP7xg
eRyaU0+d5iJfnARSFb1sjDvNCSQp5yU+C9tDcNO2jvtVEocU0j4aLnQJZoSOkygThBITQ6htU2n1
DUkg2XTWq0H36qOJ4dCvWX6rzkd7kZXIKBgMQXu284aWwVylhr3SLVDbFedU5E+roezwi0Q5yr4V
UxafPlVt2JYdlggrrLuhi7lWszF6D5g2yCL3NBXUT9hZPKCbguyVKaEoXLU6vZg1IsEFfkIKOrRx
9HNYYGoymsqGBMZ1Vni5xy4+kTY20qfrABMqSkDNT2/Gqk9OblTJF7NMXArbTqItxSUyHVRMxi0S
N7NqUca5erKfUBqJPTLawlj1BsXomtxmrd/rbeltqzhNr6nCJk3xNUKKERCvebIj34uwJ05pH7bZ
QkCso3ocb2YA+E1oajboxISrGdbjEkykV1o7rzLOLPEVF2AKeoVNzDuruaT90Dn6rs29ASmpFcOV
N2wN3pBHcV5oXnrRkCeN2zGKCk45hu62YVn48tkETb/rEYABkdQ77GZ9Nt8xlH3V5qDimSJzSq1R
2070MoXVMYlskrLfxsMknhWJufbKnwZaoVRnCJuiuq12/EMcR1AuyJllJZoeQKgqcTAdBEhrBoCm
uyv0xJQQTCPrYIm6fSMF44Mz4FSxUqebH8bcHOu9zBMD0k40qdCvNaYhXaefZ/J77uxK8jxGdpCV
myxmNXMGXAz51GS7WVn+MdNIkCTaQlPqRhl0oz2rq+aQd4Jv7UfdpjDiiFKcayW2Maev0Jxt606D
Aw6hdUiK0A0y8wRAJthYfqYFGy2lpRvaiTIe4bOnoW4VJtc5t+PsS9t42QtAJu2D1RbjJ2rbsWUk
b9s8a7YagQDN1qY0OJ0eEPPaa7IUsm5DulDcnvgP7IFTG7O7FWqReopXrj/jH7A7zQGSMcGhqlE/
TgUzaRSmBO6ghiTp1m1jPJ8MCfda06LhiyDvQy4UTjnYFO/1QA4OwPxHY4qtp1HOH21uYYDGnWIG
FFS6uXd96d25DoP3uI+msDcTmLKkUumgt3pzA9OThGWhpLqvos6+FKWJr5wORWmcZSvEee7RpO38
RljPTa+eY6XGYNW7KdYlOvCFj91T7/FcEe8znMu6hI4wGd09DpWMczX7V3xnKIxX6BPtYpqnfWl5
vUe6AKe7ODo2xCr7F9vPje1/9dT/VE/RGf7b3vT156paEsFeqvT7/vQvL/y1qvJs8OEmsiaamQsN
0P+d3GlRQnGUDiigFkXTIub5VlWZVFXQG1BJ/drW/q1HDTGE8RdMEN/AOr8IlP6F3Ml8p3v8bnpl
+97CUPQMuARIr9wf9U4F8825rHW0y16VTyG1Dbe4U0gC1iIlgk2A5tmiBQ2DdCt7twlWZte2B06I
qETmBizPOil0LUDl3hdOmKDv1lZYXAbkB681XYlb6QLaotGsh3aKY34146Clk6d1HT79yQ5nt0Be
rlkYbDdoUmsktTRuzU2bJfNu6TDQQJvYZRfsFyowndPGPH+ITA0qmF14yaYNFlYYe1dDSu9CENPf
aWKGWsBi74yx/J03JpjdyeX4luPSQnc9JNU+9eb0Z3iF8aucwZYpXvPsTCIb6KKDNUveCWfAEXGX
e1ZAEMOwQNDEgkOD6lCcxgWRloqkP48LNs1YAGqRzlFtJRasGpUeolovzkb6BGDXFGdiUAxuBxKw
xLuIHxgK14Jq81t+Zgi4eCYhf+lHMs+HTeWBdzMX0JsZ8MvbC/xNzkF57RcgXL+g4fQFEpehC7tN
3slx9MmqI/MI9uoFLJfLxNuaiMr69RLfTTZ2rG8mz6UR14LKzsgs1z8in+pvBmE/d07cPxiwYf0d
QjOodqaWxVjTFthd1Q7Wkypycwuowd+VICSh4s1RdIYhDRzb0mmoC+hfjjN29wRB+NnGfTfPLTY6
dsZqY5fGvTdey8Vo10nikSl8rvYAEnapDawLLafh09Jd/dASt307dpmzDnDxaZ3fr513Y1+Cxc9a
zH7AMSK8t1l1R3aJfYYv+xEAgRsCLc5DeG3Ttlqsg9OAidDVnHIv8RXqwujXOeks99FiOhwW+2G0
GBGRUkDeRD1S2siWk0EXYfRuXgwWH2MWRM6W/Ir8LZDy1YgCbct+hf0xWZyQ3OToBBZ3ZDfjk5yL
gEQuuPREopk24n7nTnC3rdHgn2BGJ6vSb9wQFsLzXBLdNy9ezGRxZTqLP1MuTs14wLNpMJkF+J5o
zxyx4kO9eDudoq7PeE6Do+d3TZgtHtCWbWFdvPtCx4b75t0sqhbfaI2kZjXgnQ+zd1sp2j2UEovX
dFpcp0RV2zhQXbuc8KP6EXPmLfI0uQi+jNnGt5r94mIlCHLxtE4auIkHEye0fHDYVnG+Og1Fx5NB
+mC20Z0sPbmt7t31fhIlH5U94wgdjKywtlWwMC0KN514/zG9EAVgIqOsQdAVsCLGdYv4Gyq7ITTn
GVx1lR3kAvlaFUxaJKxHfbarXSu0dnwY09SWoEzf5Vbxu/Yqt/Qx+5TnfTtXIUHrlUesitPR5ard
YA7HDgFeyG0Wx59KI42LdZYYlMG5Jkq8nTh29I2aZoNDnZGqRT4vJ494HwbI/gY7bJ/H+6n37U+D
qGT/6uWBkbsACGBJjqti6MURFRRsFORynCr5i0s+coadl9Ee9WjP/DsfXGrMhkPv2uxbRiKmRvjR
fzv1/7RTeyDt3n+qXwi9f/D73Sfi68//79AVL9XX7/ofv7zw205t/GQsc2I2gcA1fzH1/dr/8AB4
gaDBHvEN3/XbPs0rIDu5v6WN/Nb9MGxo1O8b+78SmJCO/X3nw6bxAr/ExveD6w8D4Q+q3wYjdlsG
gSCxsauobhPBgIeu6AaARLlJTedZluN4JhcM5vVQPxexs4weEdmJoWBVnpM8rBkX0g8sKwwq+hPu
9ZgeftFkrGRQvhBkWIfW8NC5Tpq3zSZYvX7nXWqAjytTGdcMZ/1LYJVnV9KF1OQu6lFH960ToPhA
2FqMlNAMo98GfUgvGE4QXno1rsBKNCtd8+eVcpCMpvp8EoF+dY0Ov04rX5aKeQXYd4N1gxyrPn3r
ioz9mTPZxhP+xbPUThK7tK7j6i3Iq7M0xvtIOQRhp8PWNvMzuZxXO5tO2CuY0Wbaih7FC1WECEUz
vzp0VYvReAXm/dxM3Zb2b8E5MLE+wp/dp63vrqQOo0d0S9ya5l+M3nrOx+LF07Eu6rG819v8vPwC
Pbsgg5viLasrbd3h7ttaxcR8tcSbNyzejlGOj7El75eh/9rHt3Voi+CVCiDYGYm9j2MidweTE3wB
+EiTHT+MriOKS49mMphrlUN5YVwja/s5sfIj6sGXtslAhDoXUBo0KFy729h8IWmnb6KfrjZH1e1k
9VsiJVHT2QvGF6m0QgaIOYIpnCn4ocykxUzutP2KMiDZpHnQr4GFiFNfsx7H2vJbJuULcwCKowVX
2LMiAkLqkP/wH2jNfJWdfu1NuRsSdEA+Hjdt1E+1J7Q1qtU3CwTixjHSc56rE1Wjs/cFjags5RsK
e3oi/I2ee+8WmHosLcw73mhMEfAmMGtvWic7MsR9au0mYtVWj6XuhGqq5LpKWnIGRPpSjYyyClO9
+mI+jWacsoC36SVvvOdU6V/8xroNyKSAyYjL0+z3szO0+0aNj3Pj7NO0xhDZWvsYCwpdKR9nXw/O
H734yRVTgmiI64nxwEIAxZ2g5p5hullaq7rTn6rYeA0Yn65K1SLUIIaXKdVj0w6PtireSvo2a/JZ
yWMu1aMVGckqT/ua2Q2V8+xqiArhXq3ff3ejcpmB28+iqbItwdxgn22Pfj2v43sifsALJS33OfXa
iT46tyNbxKVmRPiZdLlgTYDJFDKSGe8sl9uuUHHErIyB5YRMek93Zjw2whkPHcFyBzVqgP4Bim3w
ypS3NJmmLbyt8UinslubWmG99kb3eRpb98bw83oJMBEpvtaW2X0WBlCaQy+f5UvkCQIQUD4gRs/s
pnrKq+ipVGgWwtnugnRVMstTSXSxq/wzM+NxDXEHRyTb3WylYd1P7YaZXwJEAqM+Oi7VEpAsenRq
XnMptORaCYI+6Wg8CY1pWocHizAz5wVGWPtaVSDaKtpym8LFwOxB967nwN2WjCNowInoavTkX6PO
wJGXma+C3KFV15Q02UYauso0tpZH74NPsZCMuA0bJCGhwvcBQcIbdsrkppty79nT3MtgNvIQje2b
JtuT7ebH3206f+Kf+KF/zSoekCJEL5xHH23Rj0iANHNt0FI5IgHazVhnm35pnl1Sp6FNY7j/4NZA
xfS9V4N3C9jQLMcGruq/n/t+FyQEMWSo3AlAasyjHpKXcTQLKyEBmQX977/XomL67gS5ZGPhg+fN
kGCCXODf/+6dpOcpK4OjvDf7/AWZNcFyLMeZIXEYI2BmiCkn/ZeuxF8i9r/3vhP5tLwnbH2GEkD2
+ev37xlbVZD4pMFRlzkJvrDxEa5QsdYsey81p1jyQY5FgeuyY3X7+69r/cEFs7x3sKAdOYgD9ftB
1QW4Qc5YG6p9V7ZWmDEOv054PZbl4kS3Jt/rgXqVncLDIImdz8aO55bIcVIap9eEPmtczachBuiB
GnsfBCX4oIFseV+eJCBn3O4c3hBorBqRnSu33ZbOeK/K+El3kjJ0lX0Z6OKvlRDBznFE/SlmZroG
IDGFf/9N/+QWsghDMCEgGDq6xh8urFmkAbAsGxqA2W1tASYlmK8A/Jt/+EUX89Yf7iAABrRIABlw
K/3wiwbSYMThL/dqUNgHjlLXiQHqRqc5QTEdZGHn5+c+Nsq7YpyuXq+XdzgtCYee47dmZF1eShVY
2zlQdHWKNUwsgRwetcC9WO24S3yWeweMExMEooEbZdJ/c8xpV8ZmvYDYyC3W2+6+ytWTgnWDgzO1
j0AOSjyZvTiByXuLUnzrVV5wFZUvdshl3yIxP/kgcuaek4aqrX0yOfskqdJ1XM5Ln1qdcOwWa3OY
r96EiQRlurEFg/e5dfCYewY11t9fsD9ZYdA0LnFoAFZNZmTfPxUzY9jG1qxqP0vjvZxQrGxozIhu
kNb+79+LCvsP18zR2adwUnqBsxA3fv/Ut+aUeoU9VXsnH+8JbzqWpAj8w1v8ycri4XGz0Wka9Ch+
7E2Bl8v7QteBPAdjTTqDAtkfza/LSo+1ddr12EZy094HmnmRUZBsAKUfEZZ97LLsi488cYVWt8UL
m1l7EhzZZANWp3oqzzR83mZXEisdMekpLJdBgWNJ9DBzd1Ok7gawxQefBgviCT8+2BO4BGhRcgXp
hmywoKm3ZmsmKytozN2g6FnpZvrmoJLChJefR5UT2MZYAdsEBarBEdYhyK3iLL6mzXsvKjPZgOP4
BZL+l6ui/SdPLNciIF2Qddi2HfP7i1KZNelKU1ntjYKDwojCep2SdrsytZzvjD+GnDAngwzhX0pM
Xeuoa3UGQ+UtY4wnnwESEpmKoVc0S3rTKLWHRH+WWW2Fvs6ZmiD7SzR4uO8j55LQGURaxUpUg6IP
cXs96aZ8nTt9lXrpg7KoDoOGL9xqapcn+tNEIbaqo6TeWYXEpijvY8ddDGTcn3bNwte5o2QQQhJ8
GRXBznTmp6Bux198u3/5I/3JQ8KesfyP/imntx9+Ixk3IFHkWO2lX4WUOGrlST6OTYcvquN/uCLk
EP7xOfHZhVnWDBDQf3gmG9uaaAMN1b4lxWJjuNBN/Cg7RuxUgcH1AQXOwHfigETubb/KMirAuDi7
OQXgICIXKxYJfFhoGmajM0KMRT5XTf6XLjduEFrcFgEMiCSg2leVsEKr7l7LbL5XBU1Xb9mMuc1i
K3+J5FKlknqRzfq5GUggU8JcU65uyCnwtz2X9P14yYTTCtHKmutgARgi1lpntRy3dTT0q2Luk4OC
b/d+CIoqhQmcVJljNcjHtOcg6dP5Xc8NRz1nlo9tH+uryQ5WxAPj8TGujZYC06JaM5i8pUvDefkb
reSfAArmhqyHcWvYbbdZHqNOORfhyUeXkQuwtlzjeYJVWjRUS0RVnKH/+iGSmm7T0jdqModHrI+a
m8BRryCXQznwA+MBP6ekw+IYoBS3C/s5S8Z7ifmEjA9nDxv5SPrbcS6bRUzAA9z3xZFD8a6M2FnS
eOTG5OlwZX/GhfQ5IaT3mBvOZezgLZrttF4ORuhN050ktezkU9kTOvFstuk/7cfunzze1DrEG0G1
4o7Sf9gnIS1kjWnTy+y86RVoyD0mvgv1BT+ew2O91F/vR23RE1PSB1R67898lfTbSXZyRfb4a0VD
K8z7KtsEcHT8sbU8kIFxsyY4tdoEapj2hdFpHNBymB0x1kHiwuLXRiuCc90SXzdD29wg7glgbRRU
+R6TAo01Juunp9Gi3NJbq8aqkQ5rFZNNXfhU1jEHQ/bDxAIBgnF1GWYOj/3ICgpm574FIAQApDiP
w3BvOyDSROGqDdY0K2zkfIJV+YixElKyoc1MrKdXt5vrbVv39x6nA0BC7mVkE+GQOTxaGGuWar73
vu2v/xG1/oGoRSauQS3x186tBzFA1Fq/4JxOq++mYb++9FuPzf/J4Y+i7+bCg3u3XvzaYvOtn1D3
UFD8Zsr45tVwfgKkBeIKHqdr4zHgrv+1x2Zh7mKvc3gkvlnC/sUsjKyvH9ZqEAO6g3uMP9PlvP/j
SWYg7Klqs1TsFfYBuQmIOaULUaWQJklu2LoVCzm2y8y/C1ILiqSZVumF7rgIxyLx/RBolsGNmlof
UXFPV+Ga1cPYudFnWPggQWcLCaEnZ2dftxYSVdJfnVO6HM9I8kI3IBVykrDXFOl9Cc4S64Y6n9wi
uuI8RrZjEcbdFM2mCVJ8je00UeXRWEbDMmPueOtK1MgrL5jsba519m2CdfSaJ5G91gT9gI3eaNYR
fQBGZnwxVRZqVmImh1F14E3E5J5NEj1rljNkBkNpWUyafOvAqqlXG1U04yedkXMQwsLsf+ZdDNzv
doUnPxoqmnl+3ZBz46E63LwTdbE7uy3WiV7k5JJL+jA6hevGmvXyLeWC70G4QhOvHBlDHU2jr7Pr
sALnhuw+1rOGfSPik33En9V9rKSe3xPCDmAH0vmtHKLqscbOf9t37TidVKNiBzEs3a0Vaeb+Mlwr
jAhNR8OAYU5q/07lfK6GzYN1yoiicoV+BvaLnSnvbk7n+rMR+/41KqhkVqzluhFG4NeQMxVSbD2/
JCENL4Cqy/o2N5rg6hBRjQ/GDpx9x++3HTEz3zDfQNWZJPImGZCIqndSbOpU4sEwGv9O4xzBKSVh
J5p8h2Bk9iT2GOMxgtVwSPEMHLUitQ8gEMRt3jaj9jAzm9m4XmYgcGAu1RRQd9mbTafbz1rZ850N
a2tVafNFsn99ajG1fmSWixAmoPXlLj5W/IZa6W8g4hGaxWAjuFPIeSCq2MEDe1R8p6wZnEGgcGKs
HeI/aeB1HTUzgoqwTzT54s9QpfLOCG7q2vLi7TDpqF9UVqX7yGv6+QArnMNUGg3ajRlpo1xL3Pob
S1d+lcDmCbL+kDhMjVaxrId77PwOQm6iUK+1rxnWyqAz9KFiEnxOEEjLeI2KC6G0n6GGRY5vtLO1
iwknBYymZZmsp5XGDwGJ10mF/wm46EJwCPD+kBJqRVyfBcyAZ3No5AZ6n7+NW2PG6Q8RWeuPvQtZ
6lCAjUg/mnUX9EcMYQ6OIG6fZy+KtQfcA7TI8ujslSWK4bHvPiZNeYkCK74pqCiC1wwt3miuTKsU
tnaMS92rQo+E+g+OBbUgnSF76+g9NlE75Vvd5f/2ll4cmjmWTyni91ALEnEGStFsOvawbDBw9xTL
OQ1kgeEDVkjkE7PTGMCPm2iPVWxFaIuB2DB+tsoa7IVRh2kG+NvNFf6qHsT/V6fiM+wnPVXDEmkz
hFOv1EkDiX4QAz3VKajuxezf9Hgl4IcYHRp8oY4yzYaNp9KC1jIyMfz1O7px2leAcJsGnNO6ieYd
CRkZPCsTdmzdexfMOA/93BF9HMuFquA8Ge2SWTcgYZynQdyC/b03LMv8/+ydyXLcSpqlnwjXHDOw
BWImg/MgcgOTRAmzwzE78PT1QZnZndll1lm5r901u6YQxQDc/+Gc77ASoBWGegGQ2QGzNlU4DQLl
oWaWfcx+V94IqfpfxeLfidVKPojinIEHtdWz9Chui6npcT8BrHaqfnowx8Q+tA3qnzkHcOZ4613e
BsuxcthvZ1lfHRYTlxCpbH1sMg+AON41alcG60eTYB3BOHq/qu46zGUSKwThMam73bFNUIwWniGu
6Prne6/HA4XQ6wem8faI3C7Y58mSHMBKsi9P3D5uCF87rQ3FTDVNxqXAtHuzVMsE3TT93Hz7u9Sk
8yn9Re6scGwoTJruneTi+STqdHhl3jPwYMzGMe3077HzquOSFct+6GbzZTKt5NMuXaOOIJM5ZwAI
NfkNdBnn0aNbAEXouDcSsPEBajZ7VYX37KjA3F6ChHmDNgz/cVRZCP+Jq6moQZsProPYfPJW/27p
W0lviC2o2AdtPiAnb5O3sIVzbrt1AthvzEi5DtofsikbehOdl9+UX9U492mmk9wKDnU/hMdmndSH
mhPxjhHA2A/TiIlhlusdTroGctYMcNWug0eb/3HtPW3c00q/+YQQiNgMW7wBPSAElqGmjjAylObF
1UV6G5Z1EDIjc9u4GvLRj0uLqhGIN84wZ8Yb4sKXjifLtO9s7C3ISTKNqhBh49FHIXj0lV9eMErA
v1CYH1p8k2/AhXsMbr1sd/mI20fY3QZ0ax4Z9os7uyjlLhj4TY8Vj4FDzKK2+lhvSxsL1B34ZMdA
WecXv2y2aL/GumMOl9k1ru4hmV3uQW+5SMYkdlwsrbvbZGKvTTZOTxlGrC9NyNRehW1w2ybWpxGO
v/Ncpt9QBZHku0gR9477Kh3XuPJOkR1nl+DviV3kVWqT17RzjgxYPxNv/BlYrXtcG2eI1gTTJhrQ
b8u0hLuhggXn+933tiYuebLFmXRJuDqmpX6liT9FZWHAYA7s4jTBTG5iawVzuXqJ+UCQSLcv+7l8
lKZ3J1N4Hoz4xn09WPg1LHTBENyyblb73qzXuw0xClW0/xqL7IU1BKUU9QXTGLL17Kk6+SYZ7GwX
ceeE2+Fauu1WzLRBPNDVRZpbbp/JJP9uleWLYXnsz+ZWfGaWn5+aPPB/gc1/GifzNynmQBlzUjcM
/0NWTO1bF4S6LoV/CZdkvVVixHBpEwae0guwi7/Mskw4O5XaE7SFoDGd7FOhl/psT+pMcuCG9jNf
83kpbyueeWwbEM5MrPFHqxhg9Yji2E2VujSDfnbWrD+YaybZbG5J7sX6NYAkiAd7bJ4Z2wPgxpQB
lLO2F+YpcsLyRfbgIvv6oEf4550R/ExS65uJCuVDtK59j3a7wlzn4kUaeK7cn7VVmwi5RxZtWa5u
lGQnBxb6l1/PhFiaX0w92wwva6ViU/bzKVAY4XtHOfscmDtUVy87UrH4T3DI0x0cjeKArFLfW9JP
HrqkuXR86U3VHXMcZtnSO7Hrg4Er2OCh+NXQA80CRr4qXnWpPLaqeOABq7lInSzZPI0ZiRMFraA/
efzrCHRxuNJvjbb3dqRSvg1FftyKzdaU9/BH0tiZww1k8BtdMBi3GhetIe6Tub9fK8Qf2YAAF2hg
oepP9qJw5Hr9MvfjgzIHLH/ySrUGH9JbmbQNiY6XZYSEPsEwXQpec+y/GTAgFK+sqnzHvQWoFNx6
dSsJ9ekia/HJjGPMtT5YnSz/N33wf8R627o32q1/1/j9d5Ty3//g39s+UMooF0zPZXPiuvi6+cx/
WEuEA7rDIa6KsaVv4cf/vyJIeMkw3cKAbQtrAZ9pyD+0FdZfJImxRfNsQgi3TvI/0kBu+Lp/nmUT
yoSiUsAJ8RBjblSQfx2bhqJnbJS0xg1gn+kREwyRH07nnutqLfe+GvudWCfrya48oDYNBDGTQ/cc
mAFVTdnMLwt9G3prBMhmOwSMI8TkRjCHZSwbs4h9T2b7ckifUpYEDstntNgbUcyRb/NYPswW53k5
p/jo8KhFpoeuDgkxQ7N6C2p3SgTMrVNZz4OE66GURdgf86w7Z576Fxwh1Ng+KacL9vsvYWC5COxX
9lC/bYUtnvToxyUEzlE0nntsZ9eRkV2M9VMOhekCw7e9WXygBJFu6/KIIQyxWCX17UKm87lONYpx
oGYXBzXgYehHTg8ypD3yMIS46zzD0tHsLMlu0vRGka9bVoyLkMtpFZ3YA2+jzHJb91Z0wQkp+5MS
pg+dLTSvdWneyETXjCGxTKcBGuoyKxe8zUFyGISqYx6YZh9Ik+SRtEQ6QoWPvbiL+bLqm5Vcm4Pv
Gj62GzzLSUNPNzq+OmgrRQGqpW1ieO7pbMpqfW5dbv55yd5oW61X9CreWTv+9CHNxooyYFsYAe0m
uVPdYol91WR5h6DVyExxM8nEXp9lh/t03OdzExg/y0qbTMOhyBkrssC+oCyXTb/Gwm0cmhFnwI4P
xmF5IgwruAvTkDzaGZWCpmmfWiaLSGhPDPr00a8lxRiGDv9e13DYDJZb3CK5UWdDFKy9PaE5yN1b
v+zIcTUpxfZGudLFQjDmgMWTXt4ZCw4ZgyGqJr71iGp/7bpr83f0Zfk3EiYf1MPFVH+jZPqJHDyY
mRs/s1s58ksu6ybf0JodhWoxP8J9q4+ybQI/vccbTxTRATKeGNejQ/281Yy0fN4rSJpePBvTgstp
b4RFVYOZSRHXWgfB4oimgnTkBtLMdc7lotoD0FM5xmYlzHcCrPXjjGu3JghYttg8c5M4BhgteHJM
MgliY+zRY+TLZLxlpZuX2A586j9CJvSVoGX83DJs6VPSFrMCaIgniTNUkb/itoDYSpW9Ja4s6zuj
WCwzrrEr3K/T7JEDZRB8HI+4aSRcZynRFpvZqZHgpbH822kMZXd57pglpARHdPq9zKsQ+3nr2Z9t
5li7Kq3T+5bwjXuvzQNKX8XEM4PecOQHwHUhendfpy2yQllBK1sw73gEAb5hHKE581tza2iWAjkx
AnFivosiOWeBl5A+5BuMzvvBxyA0aHdHlvqwwgaUPl85POZtTTUskTll1j4T/UCt5MuHNlDp0W+d
KDMn9z4spvQlqZi3KppKlxI4XT/+nPL/Own9d5NQm3X4/+9CfMEV8Kvvf/36Z6EheKjtT/39NgzM
vzwQ6qgG/3ap/f0mDMVfnEk2ZBfcAmgbNqfAP0ag3l8IDAXifAstx5/77h9Xoe38xQW52S9Dlkvb
RfmfXIWO/99W8eBquAUdwTqeXN7/dxXvLx1JKbMrz8bEyEcdJ0YixbRPjHkmGr5m8MAF5Vvz7WAt
S1z3UBLMXttHnzbj1NZOzioiAcPBHNe861vHe6FiL/ceQ8Rdmnq9G88d9p7U0984r1oc5bZrfw9T
aZ4tJSqAVi5zrix12Mz6X6NUw3my+/QIfzHdEQPQxib+43gFtHlcJiGYd+Lzhq6i+4PLmCauoDRx
MOK3ciCIfJddX59HDsaDyL3D2AMKFQPaoKnI03uzI8ZFLnn1AhcApgF9HlJuRLrNt8wc26MFHfHS
T9U2vbA87wf+M5VFukY3ibUnTa8NEM/XshiCW81W7WmcO2snK/8R23V4BVbV7oI6TT/JcYHrQFt3
Wv1xwpBN85EUojt2nMSnOSdJC+nUY6MaeCPwOA+ewU240gbdSz+8pLLcuY0uHwz6e250i73OMgd7
KKpNNJat+9zBm93PrSNihNLObVjo/jz2q3FKjJXZYZkZFxbCCrZJi6UOhxU4E9FcWy/DPtEGBtbS
GcGESfrV3oJmdJsmtXt0lFkfrNZ2+dR+fVST1V/93KDHGq0XT9f658L4ed/PkEASv+wf15IGZV68
6uARzbkDCQJ8Ii/8HyP1vJLLp6jz/mgq2tBxIoOB4i95m4K8OXAAel94GcuFdblVXFPU/myOlM6w
TAz1PqiheOfM2E+0q92BRC8cBwKTCKG61lY9EPu1dOGPoJPz75Qp52HdwPfMrmq5573BHMwGDHh4
oV6xvhevuBaX7wa6FxQmqyuuRlNON4GxMa6x/GZRHmZqr1JmyXCog13GDPSSCE/e2+bUXIl2ec20
wT4bxVF7CsamhF/WGpcAD+u9VXdkKbUQ3lDYOti3ckaw/mk0CLc+dIRBTFHIxQ2jYdTzhbnGoZAW
brBVd/Yhc1QAqg24JqM4qz4tY8DQaQ3dNGL7IGRcWeD6bZhNFmlIKWAatsiRttb6AdDkKUSSH2Wj
bK+dZ31vqtZPblu70tkN3Il3L+/8pxoYAhBU0zj3+egk1rEC7I+rcwpnGf4k7q9FWJwsK5el7h/6
0Qrqn8iXaLkdiRovGMZXF4wPUfRjxqAALP2Lk/TsE7vR3KeVDC9z41vQUpO+WnYq89ST0kZdkP+0
TOlJORQzr1Y1O6XeubhVBgLEPL8hdbB3g97A6VxYgqrD4/deT2o9JF7BLgEyRSJIuW/nIRbwyu/a
xa/9d+oMq+32vbuYj5JSMvkqEiSOLtCPiBOOG9ExkBLRtfPkutCbyNNAZUBgZxnraQteEkNY/PCN
ZDFOgZyAlrpNNRtRE4xjuZv+RF1urbFzndN6ixwkhbWEOMiTIqB9AmofxBTJdtYPYHWdL6bvQ3lk
io4nE9kPo+HJyKke4K0k4V66JX8lOIcOv7EW5ouNEbxmvF6xwBezyo+cfXgOhxLraWSFPT7KOgXn
z0I2lM09IXVW45Fw22b2cFPCihK7ppmQaPraT4lLl969njx9cB0WK0JUUxF1Lr9jBunJ8kKis3VD
3d53UQkAB5RNHc4IO23vKkOnPZd5yHuv3WTnwigZ0C7Z/nE0rewo/Sk4NllXPkirul0BQPlRZ7rN
rc7c7CZRygfXOTgZi6rA37yWIF12oxyxfRaedQn87ogfotjeVcpMM/XyfZc2tnEgqlw8+xUOLs/C
QBPbs2tEniElouexeQomn12ux/oJeKjFRMoOb8CT2VHVdrAttJMiA2JuFq3rSExH3a/Lz3Zpf3BH
dXdsG73D7G/mVTCtQWSJVjynq5kciIkNXl3SOB8dDJRcDrI6V+QC3zdDQDaasYjLRC7az5WWFXmf
uet99Nwcncmp5qO+lb6Z73qSfT8m2D0NWZuWOhVuq2/81V+vSHOCKG01uvt5KRhv2Uw32wYMa6oP
DDscRNoC99VgZzAJisl29gVDrQfEbjjZEIz3lVSvq98M58WbxqPZSbJriJPH3W6yCVp73Mozjcq9
zw6q2HXaCm5ymyM+BJ6wY78oI5Qu+lmHjhtZJqu5lLCPBxyzpDLgB9g7RYj3h38AqDb07hEcrIyj
cXW+2XZLntvkhuo7yfPDlV7H/MVCoTm4A9bc0kzMk9e39ruh+fussEl3kCrTA0Gwat/Joborxdy+
jbyHV+bc3QPgvPAW/aiMmacVt4wm8yON4nRXNu4aE1/vnap1+mwDJ79dwJ28J+wr7pLEDPmQ3qMS
qFdccQFJNE1ti7te46mOc978B7fw9RGDZfcd+SAWRK/c2cx0H9F96jpy6sA718wh8elvynV61x8z
HOpI6VoQc9GIcybSd3QeHhM2xtIVQ9yNSmtjqii7gLqbFD2ZiL0D/O3q5rkAMttvbMguJXjPsNXO
YUqM9MYcXg1rHAJia1LWZw6xpSHYGZJ+tUcriZg0ZqYOHojsIQRkdYCmNRKlZ6Z8mpiD1Q54qbtp
2DVIDb9bmuGWdhg7Rr4oOAk6ML2I+ieWSf6z3RUBIXzAN/M0e+m9ReWP/1vf/0+8RDaDq39T3+vv
/b/W9n/+xD8mXfZfruAVAy7i+ZBP/hlSK6jibcvyqZEZalHg/3N9T0Ad/8vycBk5iKj/z6jLcv8K
tplZ4NDP/i1q7D+QOJjMz/511oUIzXVwN0EipKHYgLX/OutiQGxMbcOTP7dW9z4Zjh9xTf8MtFXd
raYBRM4wmdOj5nzy5+Da92r65k1F+6waIsBE119GEB5RG2ynXDMa5yWxveQ4NUX2QNlhfCfgDwCK
14j25AQJlgsqtLR/kL672By2eUlpYDDQ98+r2QXWHR4Q0bz2VWsR5ctwo7GPRFjhcwwUZsIiFtjx
NTEt4TTUTpQkZeEc1jUVbDXU3HXtaxXIAfOdL1n6Xwjn8SzsG0k47P1MOP0hqxxLXQaHF40FgCwx
XVMuLQuTBXRy5sVvFrhzS9pTOK0YCGCbOInGAGv5i3vGm+oKKl7UrsULJYIxbonFkGF3xEI33wuZ
BF+pV1CHrRZKgHbfZY2YsP/027WGlKBQbNErpz+WyO1uAmGvW2JTyJVZmKxwZjz8/WECgz/t1wZZ
+S5oilOdIuvWMh/IUZX2cCoMHexnEbgfy+TCkLDT7JT3+XMKH54vayyuLRP7U2HNb0UDG7KAAxqZ
dUjG2pwC3G/rNHvPdU5JsACPIaD22jjdTQai8b1Pa0mcUv9g1xrcipxC5CCp93PQyUyW7vyxwlCJ
STnC2WGfU12+6Ym4t4UsoUsQOD9S4nz2dlKOz2sw9lTTRn2khn9Dh9xELBzmIzHVgD4teaT3fJrW
/A3D92+URMPN2jfUYmV6R1nnx/U4fDR1f6mnRp7KAaY89JIduA4r6nFy3iimh4cOO1KW1k1UWuWb
Eka+G1lz7Mt6+gUuy7vW3po8zCEsTMgSBoX2JiwlDa1knXB0Joft8EqJji18N02AMlMweGwugIon
Y9Vdg2G29pCOxRnSaX6QenWj0UjpODekD2C96VgDPvkRZK2+aDQ4e9W6BpPdxQEqmv4C9t/cu8bw
zLJKP8M+qY7MMjn2c5WfZAmlcszBJgPcp8qR7ngYGDefOReyQ9dZ4SGtXdY0mREeJ2/+1bhlfUa5
gRuZsyNCW5nLGA3Mj4amN55cWe/TFAobYXE9ZaBdRwxHl9hdDULWxFTtcVTnUWDpF9OVIuqq8s2o
kjMJZWTa94gu3cF4dxc86Hapi0vWYuczcH39tke3+xxXn5kjmtSSWp2brCWxDfFHeUvO2HjjeQNv
PGFD7c4mVA1DmofHYSIM1CUlLBDEBxQTyxxyrY2TVYrxCcnQ7D9XTsk0TFi1xIyDi0thlzmw4Q32
CS0/e3tCgLnTuOEHYa7pMS8aC31p2oH3sAf+Nh4sMJfIWX+OVUsycTJND/hqTAgaPBZpOIGUCbRe
vlrFobpPfWe5jEMu8afMyxweBx4tHRuLJ3Tc8tNu+SDz8Nts2zlHopIg9NLjmP1mPhfyrs1hy7BO
tGq+Q9/bf/RU1og/Micj/2WqxU0mwxqPIsyerDWsI5nq/MtKJI5L4R39rOGU0KhpG8GS3GUZjjNg
3bI/W3sPibI6siDMIytYv2lyc978XOm7qjC+80q9W2suiKovG+IDka4YrXNXCKvcdZVV3Egj/0r6
oNvllsrf6q4AhkgGS361mDIDWBhXe7eSWPiAYusVqGUJlC20UfE4VXMxQzjEvj3dTojGnrCeGs+l
0/vfLaKkWWqEhNDWYVdgbMx4jeGPWvukkfqAykFcPQBPZBMOyByGYYClkzV4tnLyVAyxMNTgrcW/
4j3W62QfkpZ0ZRQ7GWHWE0lfKErzpT/NJlCbKNkocW2wBhEWGvkIh/9DjqhywZaHPzurf/QpgmZ4
EsSs2MHwzVs2Fp1gnm7Z0xkgTQAMGKEJ3ZUacGSQH14Yg3GD7T87BBv9ToqVGMyGdOmFVGMgeibn
QbDc5XNQ3q+GmK5LHkLWWkaC1KW2It0zhZ58a9zDwiN9MHQ0BZoVxJTmY6TM7rgYKaYCe7iGI6cW
RoQFZyW7fzFoeQZy40beDL8rNeenMSBQrgzQwDUbOpB/W3hqtT4aSxueOzElSEk0QywvrH8uG4ZQ
kOURjxuakLIch/8fXiEOqP4F5DMJjgGSaZZB4a4f2jOIChDNhvqtW/+1zv1mv+J7OYhekZe3hCvJ
MaxQMqkJJcOgeDHK9gvhx5X96givtiISZt5kFpYv73FhCOCkfLFSLMVh3hCMK7rLk+GCZWwVMTrg
nvM4SBmvAQxamDyR5WXVJedd632uG95RUuXTvgyfVlOWN65KwBgsLLESm6gJxZT9lmegP0LWyuK5
LH+TFhEetFo/U8Wnln+IkrCTkmvSmAnioYKjvwzTH1DjZ5IT6SWS0kribINSzk4wcbmDDoHwQ1SF
+xuJxS9nyKtD5VIwTNp5r7uR+J2yb9+qgI9aO4eos1EPv7vRQdbe4zR2OETBu0HIbNyqeAytRp3F
H3ZmicN3Bqk51gm4+Im3i1Nqeg+WhgtjsJ/z3IOpnDLQLzQ24tHLqx/WxuusN3LnSDzqoZj8JYar
KA9IyOtbzAhkei6rE0/28qPPkgXRv+dHc8jPMGdluReoRN56Ya0PpQ0vjds0xHeU+aOW/MIUP/40
lMUHr305oGKSwUvru/xZW7CvGJOzV+k5RqqdPo6ErD24Q1J8kNj47HreHMOvvXOspj/ZY5ASB5cV
Cutcwi8aMaPziixvjrXLMn0BD+esiWfRUfkp3/QEPX/duKy5N6H4TBsLtZmWaMr4niMLpv/9ZK7Q
u6BZnHztBp9z2YuPER5soZLhfhW2UeynKZtOhRpsgr69CdVnoSUnq2IhSoYpLtmJXSZKdp4IUT+1
Qeg+4RzsRcypaVBiWMqKXcI4f/edHdBB90XKd4ohsYkWv/OOSpkur4xEc3pC1bGOMRxcbwfS6Rmn
8xizW7slXaL41pPf+0Om7aWaswRGXENGYpvaXwTZuejOcusnCGODJE9IiGVkQK05q3njBedlBhlG
u4v+KTaysPrDGJ6hDSccnldgHdUxlN4DPPabBE2ET5q51egTsvWCx9mb/K8k9es4s3qfyHM3fyda
1rmaY+7ugHBXe5dVHn4ataJeahFRNoPdPHW2Q/jBwq/iTpdWgLgwaUBjD2oE/tkFxIgyqIPWvHGb
U7MrDokPz3kbUe0VPxfzEc84FoxP6iPel/yd06x854obv1WzFs/Mr5OTKPz8LNyZijdpvUsrJ2bC
OU46wvew/L+lFvmmN5OxMNdbs+6C5YoXIhMktCiWYxdmcFOc1dosI+1IRY46nBn2YN3jACTtXQTr
+OViIzkFfQMHpSiGeyfNutfGdruS968php0NF6WsXbAfVFd4f7qhbgrah34Ghs0JG9MnjeFuDZWN
Y6hSy7TPC96HG7YiNTPijRU+J8HqfUvLjSM+BZqbNRidkBexgza+dB4LYad0PCZDZfYx+TOwosYf
n6tVLsx4Mmlc2X7nH4y/5YHtQL0x9HSFxFWKHZlTaRA5TmkEUb8h00Wik0eGMuyba45XGA3PJJeR
Rynb8Yfc4OtG5mP2Htb0pvuDZ/9Dah/qqX7BmYF9TPjWcd6Q7sUGd19qZqFN2laxMtYKzXGn3MO8
QeFRf3fdzl3Zchc4M/ZTYY63tVzHyLEKeRp9nT5Yyk6Wp8AvuuZepxnLwzDVovVIJGHpRLFQowlc
tuib0UL5+kW5maNMi0q/nZ3nZkhBL3KMLSx9ux7mTVaH0VyQdnVTaceI2XObe2D9stvZfcY5iuFW
Uzp59mnIPPfdIucHU/icKv8EWkiZP0IvSHaCkVl6m09T3iI6Fl2xJ+Jrhi84TrhcWcRy+gxdczsN
BgEm8GeedDvQC5BjdVxdwJfTsJDcO3fq3PFM7sbBzm9V4eZxYo3+7xpy3E8hN4Vol6PPPLKdeenL
MMk/TBO1fk16FbI6b/OIrivSPKCKv1g9pydvrCnBTSTOcctY/A3QjNjnHqfzHs5TeeiZRn4XFNY3
MyPfqKI/bnwljg0fe1mtdnhUKlffMu3UT/NsupdV5XNsgWvcuZkJRcbManuflti1wP5QHbRbglQJ
mLADXnjnOC1jfH7G154qco9UN4wJYSr2KXcdxTnMdG11w36s/DPixmnX0Lg/IQYID10prO8uKLxT
XXYqSkpOpgopR+QDojrmqT3tusbd6IC1x9fbZ/OPKiRuAK75va2z8AtA6v3ET8K2X1joYK3l1JoV
scTjmN5i8A80e2lnU0977UGF2t23aHAx4q9bEHKRZ/s5qTMC17jGE2KQPxGpqKgJ/fpk5IkNb5mb
RM4eOciEI/axIYwFPrJtH5rEYYoV+sb9YK/Lk5qz04g2/6pLxKMuBNCOCtyo9tWSZb+U8pxrkuQ5
B22bot8mg67sOfhHVSDlzap47SpY3ChquHTm5ZFJfHg36ZTUKLR9p9LL3T2ybA7MvgHSI8yHICCL
qu973cTjRm73sUHIhqxbCrs2uCuhA8bMBsu9WSVOVIBy+vgz6bbnXqLWz7P6w1D9B/x9tiwMxB1X
myJq1PQlNBdrAN/kvNTEpZk0ntsQdRix5UEcWoBBRYDAiElcq+9uaGf7iW8rsqT+pgKaiDTYLWtL
Nlz1rS+QD7HmEc1+HCQRdNq298DiyJ7Nw+QCV4MNBGELUZ0KL6ZmNkVsSF1U+w4G/ZjCQL0Fky55
Wnr/aIrSj62O2WqVpuUD8wchdqOjx2A/KTHd9QP1diFYJ7Xb+EcHvTqHbVvtiTBbT5hdxK9Z0qIV
QzGdamcYd7PRWo/FgJ6kVN3PIdPDxa9JMBNB6V+QcO2ybFFIGTzyiXCeXnADTOwGs/SQ5u0P+jVK
sUVij3PWoj7LUU1lnOKSf0dNS87hNF9t7DFvlFIvudG2sd8N/k3m4cVp9Urh2GQkRK6brnQ0up2c
xs/QbAHDLHaUFdabNDjyigmgpPK6IJ5dO3iHRFlHzLVxdIhgYq2RuC9rU7rYOkrrRi7ZbW7Ij0H5
PaHu2XPnQfLlJD3MC9WRTBUpf431wbC+Qkwqna8eGD4RQvj/lVG/aQJNfytVIwdKZeARb0DQQGxo
NSJP9uqnYBnQcDVpYe4GFSSfkxiR+OppAq0RLvNTS5wAGvEgQb7MAGI+uD2OY4p/9KFOpWGXj3b4
JDmwMNDaLvufgjiJEX1sNhi8CfXeE2V3QfcZzWuealqdZMdXpfxriSnyfvKYX0cmvCvSDEty6D2L
7Ir9FOD0248iU3cWZMAz/8H/KmXw20qtJ6doODyCPLuQKFpeFpfL1bTnn0mpWI2XRpnutbdJcP2C
+PBKX9bcL3nVzbeOKymuTNJERmubBSqJhjMkxN03PZTN7kCVh8JnM/g6cdpbHAme7qb5BNP15E/t
J7nXF4AAzONzhZQ5Na5JiNlgrWC5wea/KJMUndku/b1fetVFuYz/AKb3saTUB0CPTzxx2tsunR7D
ov9i68wTnywuLhf52DpA0BnM+GfpkCzhG0N2pHdhgLjWxj1ivHfkWP3NkBjkX3cebv7KlsdMqHSf
N7V50gXNWeeO/VnibmVyMTQM8t0vlPDh42gIxnAJFPmsWT7LFJOFNSz2gZUnaKbB/pG4k/k8B265
8zRGE8gPzfzL7f3pmbMP4rvnkuEo2vHStQyj4CCjdzCca9UFBnOWPAeLKMryFHry6gwV+N3VdkCh
5HOIiQNCAvpakZUX8irR2K/NocwX9b03m+ZjQy8QOA878ScyQxby5lIa3xsAxve+qIxTwYXXEYTi
61NQFh2SM1okVCdFtiNqEi0xnGu7XpYf1Fm8Wqmqv+dIie+b2U6gm2bjTyP3fuO1WVQUZkZ/aRlD
P64aCaCb+7OMVS5m9u7u+GBZmbPedYAUVDT7dXNkClqjkBjYp5C54R02CKWPtyXXO4XJjg06XEgS
SpBHOiIx7kxs7BAVuQxOeTK9LKn7SoXgPrdJCqG2XYYT7wHOqa5Hlh4Gb3NAiDRZrNZzKlBT9xlB
ZmaffK816J+iTgLofBaSgoom3biZLYqaWxZwfdQOU3ZDDTHoAyHrDXyp3BsvjuT8ibwB7OQxTXCQ
MySCEzwzC6OmqWH5SZobyru5UQSAe0331imnvUHbGJDf0fghMYswM4+LKoD4cC58wA0O7TvE1+IF
fLTp7YJ2XN9H+AcRr3HC0IgBNUs8ufRXe1Tjrc/T07IIn0lmaGVOPoJS3Y4LC6psN6ZUTED+ItMa
gPB1w1YJccp81KXnf8IKDHi1x2I4qQBaOQnjLUVr4BBlkBrVBEvE1s/uqAaGTwJpOJoOEfBNGOFb
9cdplBGXspNpglSPmdrytJQQD2KbF22/tlsIht/TeGuLK5oStFa7yVa/QRvKPSuCx8WgrF97T1xU
6Q07V43El+dJ+6jTyXovNv3pDhspKMXONR/6tgFrjf8weOrdjvuUs6x5qMgoejecfLzYsNfHqGa7
du0WY3gvlSHuRD0vR+u/2DuT5biRc23fyol/DwcSSEyLs6m5yOJQJEWJ2iDYooR5SkwJXP3/oNS2
JbYtHe8djmir1aJQQCUyv+H9nrcGBEDy2tpnlAXeQ0CPH2E+/MZrw4itP6Y8ya661h+AGi4z6drq
eUuxeVNAGh0f7wW/jZnMclB4rr0RGNamp5vbrmzFuP0tFf4FeB4oO4d2Y00OQM7R4ZsuUvjCKko3
Omvv56ilP0iLzoK+Xuknc/aiqxQNxBq14vQth/T7EoqWQG12aR9S6VCgFZjwXEVp0nzsXafajQan
blRJDjOW1IZkJ9maUZvua4NBqxWl0WsVau84jGa3rWmCnmoBvJbIXpinCsLAB/x2OyxFdVJsGOmT
a1fJkO2kM8511tS3kC38Q4GD2LYd5noP7kuu7TpjlRhq7G58QCyfqN4aHGJj/WQS351U1Yy7viP6
p5zpUaUx4gdmmIa1H0Swl+llrKO6LW76LvhiDAJliCjwHIqdbmPAWryB6OGs7RQORtLYxyoW/j3Y
NH0cJ2e4cg0PAgWOUDhVkXX0RIxr6s3qqsVy+AbbkOzku8EfGPyJ7RBCF0r96TWaCnjPEuh+6KeU
FUVYUCtT0zNuWeHOA96/rS0a2AYLfR8PdbsekPses7aiZlNl5WStAn/exLYWG4RBCC4deAqGOauX
BNLJmlRhPgCiBwriCeYWfK+iDiyCPN+UjjXkD9oBtTnFHDaps0xOIfTJToaH8tihfUONFcXzVMU7
wTzaKqjmWyeb+X0zPLe2nu7GrqQOPGTPQWt9siM2awQT2wR+w4ZKyWtQIhkJIhoeI1jOTWvk5qaE
+LKzRCYPoyygqaYPs4+tbCUdwKmwTDBqnu9wJ0ItkTYf67ZJ78HKogqzDgRW3X7Au/mzoWmDWJiW
2CZIX3MmQtZwGvb1wEHN7NJrEaTNeeybM+Ol+bQyK5+jXSyJYJwbd4gSJ5C3TBI3cLJPwK3epOH1
NxfYu2L/h/k1Q1KQsM+6keGSqNCnoa41dLzmv9aq/7c5DTwxaPT++zmN568K9m73U+P6+8/82bgG
cYkYFKwVX/J3GvU/RjQ8G4tF6Zmwhr8PW3Clv/MvHdxVHcuiF/oPOes/ZzQ8AGSUXvBTFKYjvf9I
mPpz1xpnVzQigccnRDO79Mh/7lr7AhcLpn0hC/rk00Uc+yswEvbqh2dy/51Z9j+EyfdVUnbt//4/
OvA/zoGA8RQAr1w8TiDD8CSW//4DySzsccC2kZkd+rTErHowAxJYsP2fy27Q94XrYb6NDbzaVHNX
f1dU/1sszfJ9/eXi+KWB7uGxeTzsny8eu3mu7cwPDpEMKmYbVDtS14MbUCCSe+CAqV4jTF7x0Sjp
ryBzSr5qA/E6UY5rb3JmnFdTz0hWR1i/thujueoz9EGtny4xTh7S154UU3xsCTfoYMOHws3Hza8f
4L+8CQ9RgVgYJSykd0/QVLLGjXGmyTFjx6olXuyFUTDd7o3Th8Y2MQQUmcceXEAKFKauXwhcfdSt
0eIpkgQLEcDS9xVVGhLBmQGzgDbbgKT3iNNIRktnFE9F0gM0AbuPXqBg7PPX94Dc4y/fA4WNAJsM
H2bIe+pZK+2+n7wxOFCKHTcKvjaZmpoYLk2//fpKfyERsdyoN9uoOxzf+YvWmkygXRobwWGwIxOS
XcOX5/rNlers5mw64AF+fb1lBf0E6uN6gemhImeJ05BaVuAPy9sSbVniD8f1okSd2VEQzfWYyP/6
Kv/i+aEel7ZD0guzQ76DkAWK7QL9pH9Q1pgwLpV+q+0gOWSt//TrCy2Cmff341jMeXi8eCht3m8K
aYTOZmQNHqyZvHz2WkYiAtbMNPHFTQX2EtTgQK1jkpk9IJzwT3WOQExCgHhAIgtXxnGas5pcZqjd
gfHBWjC5xeitTd0jr8OrKsccPGFtfhgibEnXwCskSst0nNVKRlxE19KC9Y1lVmu57cfRnZPDr2/S
9t8Np4E6NJlM43FaHjFN4LwbTlss58GuKn0YcV2j5FPRWY7w06NUle2qrCVptKtvOlfGotlkFGny
0kNepP1uoCe6o0SjbussobfdleB03NL8KHAmunWY3fzsjUXxkfbdVonRehRwP5GajTk1SoKvJ8vM
gl08J+WGNEh/iKMSeXuUTHsMXgVDJp/ZzrKD2znOXdRbsJSSCitrxC2Hog6JdxF5HrBfmdaVkxTb
GEnSvrUr/0mFTnpMDeoGpWgYdKID/iVmyo95ggzYWo1Ao87F2KyG2ZMneOk5rmMY1NWDRegq8fxx
mYTP153AwTTDb/a5wzQoB1S0IrE37pAuTm/TNC0Yi7ijBtvZeyeURO6pG1vYN9YA2L1Znp3YNp+Y
7ys+elGcfatFXKE0MgNGGwLFmPJqrBCIV2WsP3k+KnyvsNTBCYL8mE6pPs1N4N65ORCqzk/KYGUX
yXhHyY7R+TR3Xs2m3eK0g0FCmH016BrcoHsyNiiRGJby1BVW3nxqVzTo8oMF2VreVmEdriwNZpyo
nuqQ4ZXoR9LT8jwZ5U2ZbgIgCFQT+0hR2C9OjKMBeFXck7KiOOEoM30w8qwjLi3M+Vb0BtrBaRkW
MjlfSHVHew+b1j/2OLi8KtxG71OeE21rPL0hNrf2UyZ3GASzIgbGm/vGtl8ruFa7LLaMDUxDv1gt
kd0HEtGeqBknuiHUjCXrKjqMU7+LY/tshUW/ZW8bjgymT6vJ0J2/UrH1hnCxAAQr6vOk8pskdGI4
yAMq6yjHYIlC9gplZ79WJqmhhSuOGUmqsIGOHtHW3MDD+BwDAjnEXWc+hGKetqlyP1K9RbZQllRr
2nRtpG7w3Dmhv7OVot+s+xH34CxYVcOs14VpR6s+bQymqZB1eWQtbFE4CYniYuFXLcCMKNhTXi0B
3vsh5d544sPocIffl1yDBKoqnJKagcWFnGXDMZTtksh3AaqNCWqkyLX2qm2NawdAxKkzUK0qOoav
KVnVuU9aj7G1CdE6xMC0vpvpDbBNtYI5zEnII836/CDsxDx4Fa+LayBSZTqvoW7Xby38Y2kGx8Bu
uzhco2Euv6hBRp/SUPRvrtdOn+xBjVcFZYZjNgQdQq5anpRp1PsGRfmawfzh2KM7uzMmKvZ9PtEc
XdH7a8URzJE3NxvRuMW2MCPgE8asP8jBLHeMN8VHM8NYEemIhHGApiqwwXQJtylPCZVv6gTUGRzY
xqe07DPgJK5uLoXDjVv1095wmaRoWjPbhekwfRs6NVa35gSkIaQGvZ6HCXVShbKltsB8JREnh5jD
RbDd11sqwtaWO1ZXnsuY6AhVZWPF5nQNvKH9iORB3lm8qLdTQuFsk4Ud+kQTMcVXkaoRhI9J2pam
6ktMl2znVon3HJO5n0pGlJ4Mk/iC5kmMDdtIdDIQ8uG2Y67ciHHGDaYITbPqhUkwY7rZQx7J5lOa
2tkmM+dxA7xJ3xtODYEkE/ZxlE1GZSzon6uuhfdC5eBtNmLzkKeSvUdxk01N+OXmVXg1I3w8TJNd
39rxHF55LQS5abQBH7k25cEUVyJGKgbuHNvsOxRe48bpbWvbdDNWb0jX72avpl5O64ufsYK8/RhR
Plz3yuaTZH1g7oeh45aYcmGegClODN4oB2+ZGHbuBBsD/SbQIHVnzbR/3XwdeH14Razi4KvlBki5
cnU1uKxXYVOpIAYenpNBsa9XVnOVYo2Db7IjLToMRbPHPtq5ppFnPExcIN5g80V4ASCIj4351+cx
dKhBw8ntHkyv5leI2R6UCcJGebH4hLbxGqJhuqf+W+3b1CL/J160rx1t7pmnZWhU9fYtZpzUHtHe
HYsML4UhT+NdZYfxtioZXyKvRVDZJQDlR2eLABMKQolBHa2HYa/qYYr3PH4v+6Kk38Qn1RYNnl8T
VXWUOxjddoUyN8oG+XEK6ADX7KxTiyTSt2R8i4ZLF/Pxcrz/d47yd3OUDiy3HyKhv3g2PCcqgp72
M0vu+w/9PWOFCyddfgtB88VYiXD2nzA51Ndw3ALIcETWNpHj30cpg7+RkKJ9Nk3bdYke0T//mbHa
7t/42wjAiCd9y2Kg7z/JWD3xl1FKLk+5nL+ST4F6ewnHfwi3/cGtqgprFXJWNFAg7yscJM3A4bWb
mlMCfJbRgs9T6TvLcEMUf2CvA6Jh2tV1Ekf9rV25CYNKSOgcLxThVkFPvo+nqGaAp8yfqnIiQCEt
PzZh9xRyCi8TBM2rSeFOJRu64dEH7NXLZ6tzgc8VI+fMAOLtzQnL6hrJS3CSk3ZeS7PJMaa0aCra
NVHfaskenju3Mr5m2tMfOPAK/ZX508BLrxJsxm4pYG8V0FE/0um1yaC1v3cHkGwwNXFFoITcg6ju
LCHYpSvjyZAOg3KMfgzbGgUF488oPtpioc17lq1vhdKoXbLY/5xnOeNJLRksj6WyrAOI5OiU1oKu
ZuZS/jZJz7ehP47OTjSY6YVt9ocs5vKaAwPXGn+WG0fJ7JNKYa06IpSEeWyJOfqzZ8tKp2X2jZEt
2S6ISWBu9wgwTW9/wSzhQ2e8sG1zhEOg/sBwdcykJibEq2YeGu+5bpOho5iv8bebFVQ5bGlCs9mF
wYKiJprsrLsGLGCzM6AVPinGWV77GpXoijy7fpGRBFcSCPGkaZjwlNnsInoBgXgKMko1q8kitY2S
jsM0rxcRTGfnZCOq6hikBaW16JdaWhJ2XdLw88keqU/HKMfWhmrKbDciLrwWKEPt9eWXOc47eFHR
A3VX4F75c1Nc8DOODe/+VJfk3lYwF3AWOpqtqfQpnF5MBbtBkhDlMXNSm0g7wTPyRRvuYRcGzwSU
TMgqf4GuLTN0T0yLchtFP4A/9Sr4ALoLcCmMO+e1BhrY7mUHxWeldDtfB2hsuM9CkCREIsNBHZhA
SxDGQ0E/JNPrLpvz+Ap1IR9gZK4qoqcFyAD/y7B+yclVgKeHA67aDnPK6cbXIKg31GFd6zYc8jHc
tR3GJseuHhJqn2iK3oDIMfwF7AoNL/Ah/DGJZvN9jgCpWWOTPLTDCvAX/4HuB3+9dpeb96ktzKvZ
gh2xVqPmd+aG4o90KWVoou2B9gUVIGqpxloaNTcR9pZ57yeDe7pc0fX6TO8Gw+UozhmrXTXD4gab
jlH4PCJY8NcAURgakKM1zHsCVflqEof7a+bDqmvXVPVLg1nosEI8qw7M/znyHKV9sM3sxQM0sROg
txChbHvdWDhcrCI757YmIr9TjA7qI3XzyXi+fEo/J8s/5JNEO84EOh/WqV1WmcFQ2m2gcpSdedYy
MNa6I98zSvpmfoSQRhGqypev1EJvyzNJFwFaNwWLg3wL4EtV/HswJQwuUvNHOmRUJN9ZhWUY6BKK
Gd6Ys0N5aaMOsjDFtEuaOv+GCocVmbrGsqbEoiKLHMMv9hUqQ6wnRaF7SH6ZXmsv68ZNFxCeAAob
H5iS0vdDOtUveDpAIjGrHlZeHpeFWAUyqE+dT0ZSOz6IMMto0HlY4CP6AnreelIQ4l3TC6/TYAqe
+TJRFtkEWw+4agBYyFVbv9Ala2kUpJZ+HFjF+xRl1g6yFQ7sQ+QQu3ftl9QAHEqrntciD3L96Lvo
BD1LsbAtNSpuhgdwcqkTcHdoY21mSnByXXejyu2NE5Q0qHlkKCs0qT4q6MD70tQpJTFRVr69lSHy
l5XVQoSMolQegTvyfCccNp6V57GD9EwRcsFivENzJLeSOWqyyQ52OVYWtLsKSnBHWzMEUuV+HK8x
HYhAe9XlQz7g0An4LU8rXJBj6wMtCG+H18X0VXqFfRXivnNIB1+85Y4HDjzqtbcz2QJPDW3wrzZ+
7k+940zHumDuYKKkuIYZ8gHLHfVMbt9ugG7RC88Dn0BWIB+0tJGfBMksv6fLnekDsywjc/6KdS1I
SXvM22t80jxQVqnH/ATUfPtlylKa7yOBI4JQT5Co4r9TOJazccZxiSB1R+CXhLN3cqIGBo0qvjpO
EIMz80lZIYw1sNg67d9ShHoQBYgarMkE3BjcmltxyunKNGeyX8inJsMAA7OyyNSHDfM/9Q2mGUyW
GH14Xw6K3WTymNww6v6Bfho9mRGHki5omUpA7m6f6oyOx4ewtqvnMc7VIzPN97EzNA+TxQjvGLWC
LFV4j6VHJyXvyYLvGoBpmA7mZDVRbH6KrFFfy9B/miPL/dhDVdlX2gFJ6IxlFfB+QPA4oF1cXny4
iHVQoFuy7tsWGpeLns/ZIm8yT2M1IzEKm848o8WvUI55YGxSJUBX20ojVeoYZ89HExUj3mzj55AJ
yHyNks2BGVYgDj9MTZ73a0PIfEuQXa19bXZPFuNSL4mFtIKj0MYwL5W0Wkknj4Nrs6pHuHSa4/16
zPv+trPMz0sP/KamOk3vedS1u/bKsDtB9Uo3A0XJxwm++/WkU3HOhNt9G6RWn6cgqppXBmLz4Yyd
cRiRR8zZMcozRAON+mRNc3iOY8EQD1h0RiUEDaQOu8QcgArjweqqb23jTqkOGIGFcxRy4OIrkHd9
ahbKYehM6JWSbniBMBBuIqxd74M6cO6oDUS0LssY1pzJqNItU+DZjRkyTLXBA9A4SyZUN57sxy2P
iwl56eormprlZyrQjOlU9Yewr82rzFTPHUfiFvmRs6AVXoQVHdMxbU/G5MhP40g3j3duUqg5WgFN
A9ftNiKFsyk+3PSeAiFAySfzLDwKTCiXK6+qtTyNcSe5Q5/8LpZ2volqZkw5/IxbV7JUzCQ+FaOP
80ouPoY0lVdR7tLhtkjSKSEtGhOak6JG6ddaoB1iTVoX2QGaZ/JY/CxoA+NIIUG1rpCE2mc/ku69
j/D2sVISaagCScf9xJgmznpneN0A8gLVFMrjD67Z0M9U9COFres1ygRnF3RF8cjADs4LKeHHzsKR
GredHAPfepnGol/MBDMKq/gePyV7h3Hf9GQqNVxPrW1+xN6PDQrS3A070HBIdJu0m64IznZnDvu6
7GP+1ZL1NejF5iF2gEKsIe6NW4z5mHCOx0pc9TLtz0jzSeRC98iwuX+qMiq4ZpsD08fv9znuYwom
BdUQR/gEFHqIPgzMDiBa0EjRm9a+cutCH7SJvFwGsQ/NwuV76AAjMbRf4IKCorbHmGXKYoc3oeiy
da2dZoccgdMxB8a/Qryd72tmFJ7RT0JTr7V6BDjp7VrdhCkFFgHPL22TTbOQhVB+rUytxEPMFEy7
wvkUW1RGEq+xz5IUaOKpv9ZKogSwLA0Blf0UOq2O/bXHfvOWNr37jVLniLmX68yHOOjyL7XnNYdA
BeE2X0IrmI0KluFE7QhpRbWmQuwCZm5qtJIDYx2939+MtbA24ZR3azBVcEo8z7rO0mK4nVu/tj9w
vmHDUmIjNKwxLy3u0y6x123mwAosdOQ+oDK1Geg2gmVMISUsKEf5RyYsM9ohWEKdNpjEggw9Z3cR
h2w05PqEZKvdMpsXaOYxfFrhhAE3Fj6X7LyTHX1CO4iOerYp3uJg/RJhUPswh2OKK2kU75qsn05O
6zi3TRk3ikJZY+DU7iALqfLuWotm2vtlou+F07VP8Vigi2mua3/WmyawmruirdovLrvlfugadQU9
KdyryH8mUBt3lGQ2g6fkmZIVszLOkGWYueLEk6NDmPEaS4J5nlajVOhR6RWgaiksd37obbP+Q2dF
HrF8rJw5VUZTVzbwDPAgYDQyJhYZ91noGkYAZ8OgvA9yo06c/g9a6xSkpxIeh/pO5ygMNrdjqN09
yAfvoQLjUV+AHuUF7mGX5ms3BvWNhnW1wlWt6Y/ZiJoGQ6wp2yLlilG+4BpgfkwKfqVGjF/L8L5C
DbBzGD5XIGNR5n+cY0YKpa38yLuPrLq55/Q7dgUn6Pibnsb7PhQ9KMeVJO2MNprk6Utf54fEOCNY
ovCMUM6hAEjSkTBFS40tJ3L/oWRw//t+7uVCeCRzIiBZst53I31FMN/kXAitMJLZ2mdKgOo8sRpf
g3xtE580K6o08Siohd91dJfb+LHdFtDLtX1wSsxuI7tayIY/3mZtTMJDV8gsSlpbT+6IO0bSJBOh
RK4OlTa4qtt5xIPGWBDB//rWBbSov1xdWiYuYMKzISC8e8hj6hhA8VR1gOLE3z6MEQQTL2uspzJt
yaDog3Pzg5zwAWT6ilq7KvtldCHyclrQWvymW/e+2Ylv5cKnEjb9dSHl+88TMZg2geZTB08peRxt
yg9OEltP8+S1b4ESv23jvu9DBqa0he9YCAZMcBvvvXCghU74DbTVoQTHc2KItn5pOY1fM6ODqYIz
5hd8q6W8jQa/t4+KJno4rVthxMUNszI5xx27+ZYCt1R3hRrEbWG4c32lLLAUQ9wF2yGrWElyLkNi
9cJFZxqZdkAVR3bzo+UaIc53OlOHpO/JLRhZeK2cYeweIakz8j13AtT9unQZ0v88k0QCO/U1WXoU
OjYJXkQCmnFMPBWeTZc8n9o39onymz8P5aMdoK1adc0iSqeDXb+YhdT6FJEQG8uBaZJVU+E9zxgq
t7sgJVvc+1EFM50/qO5kVQt3r2KByUYr/OrlUgAp3Ebc/re8+X/CSCCm5YX893qcj68YBABTrsqf
JTmXH/uzwAmO9G+8Lw5F++/cVDq/fxY4hSX/thQW2dgs1v3f1TjB30zTknJ51dhfcZT/R21TOhhv
kOUEZKvoZ8C6/ie1zZ9fLToA7GmACaWJDI4a6vsNfK7mBuvsngHfIQeCzfnanxW+RO4Kcnv7+YcH
89tN/HIxrJoWX8FAutzuO9VC5OjF5L2T59gg9S9lZT1N0C+fcS5adtBl9QODkK/BkKrfHFQ/7+B/
XhobENP3F9bs+x08MTKhO+Z9zuDluHSARcJ2mEbYLoR/4slGfgiawFSU3NoQ+/jf7OE/b5nL5T1L
UqL2A04RKjPvDhDLTqKSJpR9zguD4pFvEKOsza5nF0qq5XJ6Kff8+mlbP58bf16UpSKZD3Q5Ot49
7rIuwz6qA+vsWCVnBaSlowVTodmh9gqe6w4VhUxsLt6Lnl0l7vruzaU2us8Nl+fQ0F/b11Tt9KEF
wh5u55mT1vUtzjm076a4HuqQUbtkXij+LYQ55OUwLuzfaF0WVcQ/D9/vt3EpvNMeAOIm36lQ/NG3
KV/E1pmKJWulx1dQ50tNzm852jCsra51Rnvu10+P5sFfr4oBGw0EXgz+/+cjn0Kil2pHiXMqBvHE
vBSgI6+Mv5mpRvYsZv3gyFrcMlFNWXiKqUL/+vp/fTE9zjwmUyCbsW7evytDEJRZk2lxdg1XPyTL
C8Pghb6Phr9v7f9Wr/YuwLg8YVsQYVGw4ILQXH++13DyutI0e3GWyLYeaJNTgx4SaBpMe9vtm86k
fB1Md3k7TarMtTfyshjwmu7xQDF+83X/qxu3YWPisuY5cAverVpLGlXQmCENdnqFzVp6WLmc0L6b
wyops99JnP7VS7IIHnkv+Z9HjPHzvYs6NRPDHqyzatFsMz5EnfhSue09s7oGxUDhbqBG2jQJqzzI
Z6KHARkDKHPcSRihm6trwx30Q0R9F0SxaWHLQcN+Kzp6NXE80DUtp5S3DBk6jMAA9G6++/VaufjN
vntFPIvvD7GWA3v+Ijz6IQxP8yjsfTAu5xAWZbObCcwOl3Wju6J+UQpf0tync4GpYYAIBwvmKIHk
vm6noDnUU0HMmGQSbc48zkxDidBs33xl6odff85/sQsuHCWCaJIF0pR3b7KBKn9wwTacHfwtKdMv
BXJRUyAXZiieGoSP34OWf7uylxP0p7fYpdZDdhIghXWANb2/YtFFVmpmU3seqexd0x5xXkOGIPmH
TWm7N219r2yXgneYhAR55pBiEzACXHhM+oXuZ5dT92ZXSANSkx3ANHgJEpv2j1zWxOURtZwa7gos
W3BqB49iOkrBk2Hg/mMhVL+d8VD5jRPh97Tqx++bw5r4k5akkBbCxvf9yNnPAo/8IzpX/NQaidSs
NqlnpHfwIZmYKZnOH9epNzCJbTm072HmFWG8C2LaDytsOG1zPVGBXFupBaei6LzdMEdGd0Bi1wtK
lRHzdyAWKS4BOaIEYsaj8YHxuKjbmF5VKQqiCAHWdE0p45iWyZuRtmO/5Qhwaxwq6ARIvy7PPbTC
a78t0hNakOp2SKkFQ0VSGDRiQ218EpOX3Ylqyr+YWSs2cISY16BGONd8viF+mzCIc6+6KS43Scf5
fUXPtbBRE6T1fWPG0BaZgcWGV1atuXG82Edn5nlG/dyXeTpu7NDzHgOcKxFrpFHmUk6jGMJASKRQ
7bsBRTxUKP4fOOIxXVgWbZcdZphzUKf6XgJzxlmIfJ2U9GRFPTlWPYRXJso+jIUGOpkeJXt1NkZI
ZMCcu9IBsmCBtC3iqK7vvajIGUENZBxu/HQMnqO459jNWCMeVZJo5VaQqxoc8aItoUGw9eBD8+kq
x3kFV0OYUPrsNoSAS7u35hRok4kfI8vK401oowXGN5mmpqY+552Y2Mx6TmbB/EVNY7pHm3GFGjWd
blAVNifka77YRVNVxAxQJdo/ol6Lbwc85L8giHPpd6DEoRCZqk1gFxF2LlLtFL7gVUNCPZrm/Em0
fnJlMYy/8YkD/pi6qiLnpzXoBVa4YyKj+gyjz/kEDBJWtVvHbywU/TXqw3RpG0flxuz5elDRdSXF
mdrBBtAb1iysi5oLE0oNPgZq3wpf8TfZMBOrsaConwzHTzIA7j7dlKuyxCjzyRvCygxYAPlUeZvC
K/yFpT5JpJc4ZQIdt/h/gc4KK8lMJgaG7hhzTdiy+ZkI6k9GTOGbj5ulTD/QaSj8nWEuwc/s6AdY
GDzpEkO3azNCGstub8jXxh/p7kDjwNCliML8gzZavrEppK/LOB1dsMELlpbZ0j1LJlblKvYFh6kE
io6Rl/DqlwBqbALBc+ZLpbxqrE1T+ZsxGFleZUTnHoQjW3Yi4X54NC/X8+TK15COySpKTOLVLqd3
hvoPX/VwDp4pI7ZvLRUfLG9cNh7JPuTJItgWCn94ipcxrciisPnr8bPhw5FxVNeEdeFz72JcnU1F
dZ2VmfXUYErNH6pyUuxuYH9mO6OYmcugiDZCdPxOhAtRC76UwOd7JxEFDr1F3+HhKIuTetXlNn+C
fDS9ZT6MLYZiin+KmiI4BV6lHyzH5VD/LrZa9khiOP8Uoq+7vjQXw8pv35pgeZSXnnSLT0FPwMGn
pbVB+wzREJpywk4L/6xkum8usUiWMxZ7R5OOBmtEft+TkmMjSWQ4La14gCbB9iIa6BPSDTtPLbz9
EKfHnV70xUv0OFk8e4HkFH8i3t8UpdHQvoGM0/QV+RW6cfJ0WtgS+dzgvCKMDra4i7dvdc5p2wRR
85JmBdGvTtrp4RIozFlTTldMc7uvlia+hxLPV9vwYWB8pm+0AWiNJSiijwCHmXSLeaXdKgSLCd6r
OrGM+O4ouRO8Vw0HT0va34Z8IjM1CcIrnOqQRmT1C7wzTvMpQxOyDa2AKL2d6YDTJQRf07SKTw6X
jggKPdxEK8VQVBsuAQ7TyzSkZtrr35MfezmTpzRA3IlJsgSPA2koZQqa+eCb0ZnoSReOfI09JNl7
jh0+IIpKChy+UY4pdkIi/AOnQy5eXl4hgT6Y7rlWSxjEydNt1Hj25di+5UHLd1SHPsEd/xpAb1Nb
rJPY26olVcFdD+XghKCAbcA+unzTt2Vre0dup7oGI+M+QIIBXmTEOZ+WLp460FYUt9DmiMvBEt6a
oF9gEcmevxl+j76XdL77m3qMjJgZuZAcULglqxZVNg1bqpx8mNBhAWNJsVRlhB886yHxntIM5fK2
a8xkD+maNXIpQ8bFyDPFLoP7v2wCmIrrhykpeSo5/N2TO1EAarBev67d5fLFiFzgoirIO1G/pAzz
XtMxUwfC/ebQhDbfKpZj/gYa2vIcRkLQoEzCZyOe9L2eIvcVSAzvK37qgNkT4HCbyOGNV6rlk1xW
InZ+AtBFwhbgCGL07XchiYyaqL0PdGiNR79avqC0kWxNVhU2h0JRCUvAuzBxSjra4ifVERRZ/mJD
aQFLfpxMil52miLvoMOP72FKGiLxkkMqRNkZ0vriIsk+HyBSToJFUFHzojd0Du8vd8hJRIzcwldE
B4M+8pLwzqNRv8wUGp8GBOlPCVu3uRpJaZ9QK4snpmv5WrolSpv9RfT0XVKxHJvTbLKi6txAoeJf
VBxOjY2thaI67S2UyX1PJrM8NcSCOkDQK/J5gzSel97lLrIklK81BBJ7XS76KRqUvFbzBF7Qs2d7
B3MJRYLTRmxHScbLZcmlwhy3ygFNwJIHn52F+iFOQtfejgMNmilxUPM4mN86D1qNjDrTM0EaYyjT
ef1TsZIgvCk1pUA6tPKY4X9XbUH3jzmkRJefZj7Aah7RqI5E7CE68PW8HC74+i17n7ZSY19Fgk2e
UCRaUnImx8HAF6yJeXkA3/eiJXEfUot9YdlYVeRx4lzWLlO+HGu6q9VBe8n0B5NG4fmyPiUchT3u
hf0ewy2Z3Xi9zxLxzR7Bh5MNV3E0AdH9viDg5fjfag/syJpqqjoYaRmA+QCmjWpVPF1WhauzpeqJ
Ixz9TQZ7RFOK29RZqg1ZayTVmiaSKJnLvKiZZvygvcaiCIGnOfqeZLmh77V0xsPztZIj/20iEFIb
ck9xKyS3wJITT8jmq3Ej8og3ywsbThiUaNBJahZNn1bs9nYi7hjJmM9k6ixq0xAIsBBxqMNlB8TF
hxo6noI8bEgBy/EN1hrvAHg2FIM4gCBkRvY0rpmiZFOoIjWEu8agt7otmdLCbr7HoHhrNxPXhR6p
H4pJkhLUpGrYhKBRiRxmPZnmGJjwHS3ZGZtUKg2zhVhofhyEn+hD1w9lfCcWmP+xZBu9VebAp3D8
btE/JYzobkwRzuqpc3qCkMjIgmdzgYyXANy5Xy8Y7yWQhsfe18WdZTtfYiM01hnUhIOTN4DpFDv7
mEXptwge2cpDY7Ky4Wxm66GyeYE1mjq4z5xIUwLyoqPkGRChTO5zlk4856TmC60cCK57o0/tnVn6
uCRGDVZp8aCLY1LX6Y0tWyHWnJrFkcxeHxa1CiZgdV3CgWO2JdA58YJraTZDgsxwpVoLQpnWbWde
NcvmfwVjiEIkumNiql5WZDA5QG+jsqjCUGXrsU5FWPMYpRZfjypq/tkEgodkO7O+pwI4AvTDsJAB
BfalZiDGKZaQrol9/ZBFGM8hBDfWfYNE6ZIoZ7SVrkc74FUN4ob+lan4eKhSKDaBkBs3CHn4pPpy
mIQx+/aMXWn2tSLG5HRBfrBF9GMf0cmEz+H/Z+9Me9tGtnX9Vxr7Ow3OA3D3Bq4mD7KdxJnzhVBi
h/M889ffpyirYylTd8s4R7jYxDkbSCshpWLVqlVrvQOO8B5qHiLYyV6aX8UwPQh5NTEtM3tQS9TT
6JyAFrwOHI/2Se4otxM2T5Hq6l4d0Y1F0Yo+BNNJW6Wmyv6JVgGzNfGIViOaZm9anjyf4qYTRgRH
YLPacihS1kQs8s3cdezrpETGCVA+5auu1/OPeB11s6wm7pUA0m7rmMkTuIi6SJmxMoXyLcLraFfN
Odv5FyoM6Ae9NeUK8b+GFVcLRwUjwhxX2mYYBRZ3AhWXIDOiX1oW8MtLDmx9LTzNaZAiKHoOeL5Z
xbqK5iJsT3g00ai8QVeUkp3hEJWo8zAkViixbaBex0lial2YNHze+FSskaoDrJcjzXNbjh6b0TZl
NnAeNuk7o4KJ1vcKwoxlL82hVlc82X+Dl0H/tvfN8dpHfOUtEIdoUbFCiM6cdsYVyEohYWImSCYN
ei69LCVEGxDgcFJ7qZVaf6ECZPvS5JpxHzrN+IDcTovMbV+Rbnf0gsmrVCoXlXytkJSdxxRXPgiR
5hLmi4t8RFGkIZarGcQJAwDXbWDl9sILzeB9ktfea5Mcv583CZ4KUWXI53gID7eOlrtvfQlIe1YM
3AmV16AiU04d7+WYSpxY6ap2ipC+Q8yzdFrz41Sd+S+A/XcAdhoLVDx/0eF5qOo/fohi3/7LHYrd
OrNAmpvU9yFSa7qAqu9Q7Co+QSiF0/WYei0qdapdp0dGSlxW4HJaMLZpTlDv3KHYrTNI16ZgRdIB
VSlI/J1Oj2nvF8OA1mumpUDixrAI+Vm6t/ulTm/QQXGGnn9ZJVazzuyUVCZV82qtDYjj4RFB4os8
kXJH6xRsr4eaPULTCxy+uovIL5F9dN3GWpW1U76mloDgkRaTNuLYgrQqghLahJkB9FasmglJ0wtQ
De0Uq1w1YeMKPIkO7gb7o9iY6ZGBbrMDAcgQEJ3C5WBvR2hylwOarF5ie2+xysQpujVKd+6Y4Qen
694pE/YHk5Lh7YiLFnLPMWDUVpIXtUALeQI3RKsOCFEv0ERs6ACLRskt7gzMUK75J9gtlyiOnyOC
/ipw87Ba+H3YXZQg5W7GbkgRowS/NAokUygwTfDwtBWgU/8lFh4mXqij+OVAbasl3ZQAgzPQUaZl
gHfyuyF57fnIXgKGzwHB8LElg61if3qLAy9Csja4K1sfYD8DzZEKOVt4oM28GTqq9esI9OhL9FK1
V+4E5MomUFc2NEIj0ZbGBZ4ozsy2Wqx9COszE6QfMn0MoVYBYtMzfAVUCd8Dt9cQnInyC8qSVAPA
lymN/wItJkwJ1EHW44XVwp7UjQ4puNgbdchtZDVABky86syxxgy1vsBEpn6rVxCuqBeNylJq1RLt
twEAXFmlBu/DaK5HW72ogclhYW0sGoGcg7X1zk1x3XC68u0QDTom6XL6qUSA8ErxAQMlA26LRjSg
I1Ibizj0vLtKTzXcVawsvrHDpLiNJyCfEye+NcuTzISUWpkIqUqu0GFsP7qlq74aiixcGp7ZXw9j
/lBPcMF0GM2lWwTETDB7Vz37Shma2lyzQRpCGaaeoQAcbFJa6opWf8B3CbU6PNou/Qmu2E3QxX6C
MWILVX2SuwKT37ClEZPkxlpIFbyOTD1cSEbagFeqCnNetwlD1uVJeQN2/BO7bXMr5SrKxp38oKfJ
J6vrsLFGXbK4bAXuMhYITByslWqRlIP9EcpI82aUhElr68YgFSAKo9oswJzyBOx0TSzt8LTouk+A
+TN5oQwczZaVVFSwXAU6FLMfdWlYGCxx/GzlV63AkUYCUZoXVJLnvTIgcAngtDOUj2PlfJTLBvIj
ZcfSQtYHGaqAao0OI7E8R8ANRKKAsUK+fOO5+YPM8QBTcAF2LQXs1cAs236BGD5FK0DC89A31QuP
mHPHHeCFICuJZViwtk2nu+wx5CBvRhidTc+rOvWmmoC3ttuXHiS3/GMyAXNLgdEt5WoVCtRuK/C7
pUDyDhOmV6B7G2C+oOj8y2iC/qojhkYXjavgVWg3Q7gGhBhGy6CCVzHr5cy4qQzNXVoaMnOceJVl
kddo0Viofim5ab/Xy2QwZvW4TmVLuvDqyj+PbLZ35HKlleGS3jry0K1SPaT01cfRhx7GxSIJi25t
BxZVPUT9RQuUZAfZxFlUhsYritLoqJqIwpmdn8ztFqZpWCSw7CLUXzIAJOetXgXzVkm8m641OkYg
HEe6H7JxacCwuAGtK73rcAFu4nUDVXORxFVOsdDLSJQlLVmF+doc+g/4EpmLjAT6ssdCemnwt9ax
IWc3SqwVtJt0qcdvMytUSuN4zVuXEfU+IlVZvNJQOnqDkgFWQiaZiW8gYTof8nHATQqx27kTRxFm
Abh56r3VrSFhoc9QtrB67JBsv/H7GY3PckU1bxLhv41Hb/hKFQVJLArwK9/w9BgNy7yBkFN9QUAc
e3sLB+2Zb6bKIoMLeomkT0wJyy2vg7j5xMaCvU8dtxfpWHSsUiQiR/Syug4qeRLUX9SU3WZp6VZ1
rSc4mLae8tqjNXKhSQi3UxnN52Vqh+exhdk6KLyLCi3GmcIGu0zxhcAURmov8BOWL+UBkqXrRP6l
2en9UjSA12YNT5Qd215VOco3jaU46z61Agp18Z0rjIytyrPOSdYRXUXq/mtD7UloFdtg3XNib6e0
MWVztaDcg7k2kiZIfsvCWkvJ5lLWq0LKXx9u/NwjHcR8eR7FOYJ/Y+QsDOwyr9CMcFddU6zRny2W
qC9X94DHMTVI8o72QAwnQoPwPDa6f1mOzmcbgO6lZ5RUS71m2UTd5yTRm6VMxWyJXuXbTCn9S7us
vIumg66AMNpti1gC7HrM1hMVEdWmNV6hhJWsSqnCDDy8a+RKetX54cuecb1ye+zYSjm+ReV4XPVm
hM8z6nEGfNq2MlfGCKRSj7D7A03Z1BzR++GtHlGP6xrG9a5oAs+8orBIwW2oZC9bQlFSypka9Aiq
UtMZsEXTu2yQl4iLjvLSdx0Ow+j7OdKHrkK+fBHAkhiFZpdgbUQpPq19pMQxfoIAroYL9PFfG1Zp
houxHUllKmyuaGdQ7kKkAGYHVpzQI2QFVsGANLsxw/O0eKFmquQv8rAc32voh79PMrm/spCmwq87
rc6LQcKUrE2sHh8htNBo90QdoT9OGQOwYhcDZHz6XERMO5LMzYCSMGeLJryCgtBoMwOFzDsUkoOr
RBg5aBrkVY7mqwGp3PtCbaTzCuWkl9VgFyt8ZBWo7Qh6zZKU8BpR88LMawDagJeR9w43XnwzQqH6
llM0gYmjIZJXjnq7kEfUlzpYM92M3Q2CbYZay7rMG7Rca7XM8X1RhwYCNDuXvDIq9raZPfj4z1UW
YqZjxEF7qBSMGEe7ahv0IoElx34koUVRmCR+LrqWtAp054ViSGY9z+qxCFaRQcU5sx3ajb7WIPGM
MSouCqGvLPpQDl/ZflncUTzuKtprQzDPwMchEe9yggVlcTEqfg8qO+pbeSYPpQW0DdfF97HjOAu3
cpTrJLQToZfaDx9GLdBXiHifayjcI9eNSyRdobSj+0ftbl5l2Ah4AZIDMymokDPsJWyUB3GIJQNC
djnBnPNSD3T5vev6QsBMdv2516C6v8LgI4VSFNXyPCjr+gPBe1xqDNIaCt9n9NwQyrY4Ys54o4Bv
40hISjrQGpdd3YTDrGwMdV7XQAjnuuknL9KiAtZvRj4+A4Z/kxtdvnK6pL7uGsu4NH07Rzles41X
VVw2Ef52aXyuCxs8h5d2ZTcVAO041Yf73rX9Tw4591scea21q2MBJ5z2rOsKX2tz4XqK59wksqHN
1cH6UCda9X6AfQ3D3dBxOoMWrvaGfFnSQsVcGTflj1qu0woG8w14EbAFe4nq3MQIRTyokgsDpgiU
DfE0uAo6SaGEoJsfWuxCB2wsE8tdSUXgI4khY33gQalGqqfW7sBta0vD7NJZRv92SXPNOQdD3iwN
dFCpqbTdLVzr7q5CKhObng44uIE8Z4aN72Your6YqVmmr5QgA2aWKzngSrWt54lwdtDculhKpm+u
1Fa27gEu9ddAksZbuxjz13kHZmROPA/xKFEwUkjl+IOnyLEHkyJ0ruDouldQcuQrOXfBOTFf13Lh
ma+0se7mnZxnlyqF46U0Cr1oS8+XQ2op5P6yuTQMF84Z9J6I0Jykq87MjfMwltLLXoZUkTtx9yaD
+UWXsFzWeRG+CDy61aEA1YcCXk+QaBcsQBaLhQRv1RL5NPi7c19A8yMB0h8mvH4koPuZAPFHE5wf
TbtlnGCy5Amwvz/h/q2JAiDIAG2ddff4JMMQyAVZoJ14A52gEPz3/P+XEJ7mBKD4xfk/qL5k6Cfs
Azy3/+rx7G+bZxNMjIM/8pM2kmN/nv0d9YyClgmkjooAYA2B/dud/a0zGTC7bgMJ0VX45YCPHs/+
unrGEd0CzwDmXcAG/5YZsDjZP8WLCK0hA2kPHao++r+a+PwJPghgoh9ho2Jum01lghSZoVAtHIeB
qmdd0vp8UiB5ub31U/m1Hz2QYgg4T4G7MZUDVFXEr87VPDHWmqHaC6VFBGQU6DUztpnm7Dy/Afrs
lzaAb/EDLd1kvIBXIiFwgCxyQpMjDXDZtZX55iYUrcWpWVUZsJl//dMOkaQ8ilcNJNBA4g08+sFP
KxH795pI0deR6MEHaPRfYKZIadKECX1bI3r7zopC6pWiUfvrR//gVzKTgBAjJAWM9rCA0xVEDlkq
9XWlAktLbTg+M46hFLhpn/1OYkw5hI/yQ5mBuDGQxAPnOAQZ9VlMnagP9HWXAealBUxHAhcBmWZY
W1tstCkwHP8K72fanUNJk5waaEbbso8DYA0k7L8BtH7/86mF2aYJkAtdB6gg+7M4VHz63J6rr+2O
Q/V8IibLwGnP/+Gz4HMCvGYKM3EOJpRH6QdN10Ffa1UHnkCXqnvO1v1dI9pqv36rYsLsL04T3J4Q
V7RkptYh0jOgG0f5udHXret/3RKdVQB7v37Ij8aOIITyIg8jSh3MWoBtulWrsb4eEUldh3ZLM9M2
OYEo9N5+h3ZWxOgc/iQNSq8K44EhPASU2q6mtKOkaOtQDWiuTQBKJF3ovk3sbLuI6IiaA4tUAE4H
v8aNrnW133CGfjCDYWcT9mSxVEWTYX/CuCrsJNeM9HVv1+qVFqVU7grRGsmlihlK4zNZRpFKr24Y
G5DM0+KFVR+cE0F+h0D/0RvQdQ36unjTYOD3v0wUO/hs4/uzrtD3uJv6VJO4A51MZ/n3XzZkExsE
LVuLejij+tymxW4V2jowGF5nUrWQ4p5Qbwu6/68fth/qCd/I9Tmy5ejsLByVDx+WY2kXF0UuXSHe
S4dQkqjnpBpAl3Ei+SMuZv9mLiv7IVg8EkFCS6i+MJuRJzzYzvJoRBdRwU5d5ih+jtoDjb6qrPo7
s5PASlcu73XqBnLgAVXgoR2QgB5cW1JKOw/mcHEximbZFEG2UI9hBE0xc31M1qnoAsv49SChPrO3
JAw2fuzrUY+hlK8hdGMevH70jUO95wB3VcVygjQvWlVZYEorT6miZpbJyQCmmGZhmcHFD/PBXCrc
7FUJuGJi6NN5huhK7HUNr74fkea879WIqbvtaqtgGP0FnSFQGIZCmxdfZnBAU9MzNpFtkEP+WSmQ
NBaU9hIqsIqghRoWH2uBWoUurF2VIQM4g7Y/vMRiEywRtBXnHb5uEsJ3jlsoF0plcGtcIFHjShwf
d4a4xCZk5sGhN8/jtOAZAqBiVj7YrEIYdOqtjtQZ1Uq0T/yMGZLrtFDB7NXjuUTLzbyasLlV7SXg
8Eol9a84ndb3oEiLj1ZOg+IqUQTXjgruS0mtJRQ7ILkFn5TB4ZVZo2ZyYOvAh7wrUP/6mNaRuYkw
/aU5QE16MygOALmJOWe2ALcSYFJf8tFVL9rCKu5Ks06g6NP2tgJPb2dq5bQGSvN4iVEAAGAg0RhY
g2kA8+sCU9B6vb+LgQu/G3Q1OJ8A8hN0fOpQI+jF+DhoHtxB7B/fqS3QstwRcIDEBAKq9GV1HyWe
KqQeIZ6NlQv53R5K/JHzgb+Frrl26bgpd0lE232sGTfM4mnLTrscnhT2Cl3wWKND45eh4PchLD9Y
lmhU+6YOMpEauHXli8RkwuhP4DsZKYy7CDRtj8yABGxoAkgVAWZ+C6qmxsZCoh8UUxjmlD8yZI7m
qOpZ5tXUSpbAt+D1prdAxNVeEEAQuYzwa6nZF80MryxmsDd4y2S0lVtfAvi6GIwESAaAPpALSEKw
32yN0JVUYy63tHzfVfDzYbPVyMZS2Oxf5orNXlRTjRfuhOzL6FzSaZvnOKvfjBZFxrkSAOFus8LY
mKBpoeykpRNz+FPK1542qhcjrkXWQvVM/VPatukbG/OAGxTn4wWV8kyZgQlQbI6ecnkVxFmLMoGA
ElZx3yO1M2J4IleuCTpnDLqZbIKLnVlGONzaEEQxD/BxOUgix5lTlKKkTjsL0vo4vImQ0IW57uc5
AgLCGZo5iV8Ih/ZXQEbQ4g/dJgEwUNZfbX3Ell61mlvHNHDKQUABA4cmIjLNR4Hq4pQKs7qG8PEB
PcqyWlXGYH7pUYbDKDBNr4E6l95KEDk6LFFzOPvoy2Ha22S3Dm0K3HrGyv/kCQSuldVUzzlMn4ND
dNfKUFvFuV115scchA2Heez6TFpmV5qeILXQd/r4CSpyxFlYHecVJc1yYUP1mSOol34K6U7VeLQA
+Y7k0joXySgVnB7M80JQDJYFOeCsBX21whO7FoEJFCCiiHcN1atL6Cz5ZVj61WowmuEBe4cOg+JA
eoUMTfIhiFp9HlNemOVpEIFNw+yU8sHGqnXWB0C3hauiCd+0pbJKOMaHpS2BPwOwTNvTRccxKrF0
ocgM/hSJA9HyMGYltV0vE28+767JdO0LdHIGY5EGLVKb2BEBFI4dd4E+ArVSaNRzLI78xZgNtG6S
rHmLqQE2EG1arRr6VSDF5C8xBmcfnDhQZ4Gj9KtKwiSpifkejlsnr9iVRryHCe/Xpl50s9yTeaMW
LIRr8AfpSyhf+UvodUxqySQj20ywQUkNWRKVgHYus7zGENTsBYyELiIYOqJtfe+VMgEpGx3lzSCP
TFm5BslaWg2cE7uh6LNEWhAPvjorZDDkQHHHOdD/DEMCALMT4sUaICvXtF7AYjQGdmqYSKEeVsbi
bkqf42s88fBgSpCYYXDwUuo5R1VYKyYLk8bpmzbXWfqNb+AH3evwwibwaZ4zbUXNQ7SPwep8VLPC
I5/zG+gxCAxmQru3ypNP1Ant/OuQt7qAFtcUPZDBWqah3j3ASSk8XEAk4z14fvw0fae6QHCUGnHa
ewEdMyX0P1dtvQmBVS0NPfC8uYtMSvUB+4hGeh2MeaZd2KpPmRu0zNzEEGLpd12B4bI5rgY7zd/C
ZMBUxbH07i095eQOiOJXNcasFTXbFwitAlwxYyueq07ZLHXEWe692vfuxyDoXnuNxZtjxYfLAlyW
AxTRwjik9YNomBVxZV2ZBlCQRd9hAzGvoAxTQmuogl3UTi+v9SIbboqK4pk59oE0KxO8TmcmbyGk
5wbKFPmqPl3iPY+BVlnqL1C5il8UqLrcJYFdzMtMoY3SYqdFIVb7nDlmu67NnLKc4aoBBsm2Fszp
0eNc0owd0kFFTLhwXAPnIVu/gq7w2cVh4nVXexE8uka+KSnlf4o6M/LmJTIX7JUIfMzAsHnYeA/B
TUmv60pyOgfPytarNmrQ5WsIzM4yRdxgrZiyBO+irpIS0cghQHwobTCLUFTVnQW6a1HDhgv4xsQ+
7qJNtRHfRt+9lodmfFX72Dw6rdd9bOK6oGdRVXpw1Qd9b8ztDI4NIhpYut6aPQC3c8dvKpxLU+k6
tMbsrRxgdjeXIsSgRKVXjsBF2d1txw7/VWmL6qbJ8/Yc7a9hDTs+wW/M8V26jwrHC5/gdo6drRIA
Kc8BW3ut1b7y1Jaqchq6qERWhLyPUV9roBBi47oPVMIoKACnnhd5m3YLFR9Sl0Zspt7U1oCjNAwq
xV7asaUTEBV8nlWzcVeOVGAglYPv0vUCmc3YRPmqsYK7Cje8t40yVO9sZLyWbT9GcywhQEUiI48j
DrA3XK1DC33ezsL4xx19TI9q9qFaRmfdlVos1HSG6mU7ck5JY8AVqNe4wQv4Yf1bueykGyOo6RQF
WqGtbEkrUd/IU2NVVJaBcagaONV5w9z9ClCpf5/bWv2lM1zrvjNrM1jJAL2rOeBXUJdhFlvlzLXB
7Y2i/L8ofdhMF1adfzV8XAqrEFrBbAyq+krretxnsizFTL0PimGmQ0GbR+zOL6QYXLgqm26NiSE5
uzcOWLpC3hF+8g2acuuowW8W9/r2gw9eHVqNN4YvwIVZ8sylk/sixZejBqnSSxCHNd4aDHoFx7y8
i/vmXY+EKAZvU77+XyzUb7FQVMmeHG2+E/N8Dz8Itvse1d2c/s1jJVSR9TMaECq8VdBRlFDAM+2o
7orCRwKzjbI1Wg6ckHeFUAPzCVkF/qRTxUNigxPfrhAqn1HTsyC82dC3Oc+qfwcEtV9roRQpG9Ra
UPBQVB12vSYO6U8KoW7TKYHhFt1tk9x7VYzryecno/GDwieD9aTy8f0DDo6mZa/FSd7zADskcKKw
3TiboL0NHEDa979+1HSy/lZl4VkUVqiuAGfWHSQBDisKA1LTsUGajMgFVt5CRgcdQNnEwtpWo8L4
VIW9Z3/xM9eu4XXlaiWNaNsY8BOuYAAWXnIPs8u2PMA1ui871rlbegKMmDYPAQlvkFw3pV4h8iWz
01zGlRO65Rs7RK0ZMZbMfTMU9YoCj3FV0T59GYLGwZk7dIu0ntO3AQWrlejxqq0p0Q/sWs1B7ypO
Cj96jWCP10K+ow9nkZ9lNj3OAEwl4tONelVyWHs7wPFex27RYMuNZk+3Soh8WrK2aiNcGDj33NpK
ZHSfEOU2kXnzEmQN6XzOEazRtRe6ZOXjOqxxL3vdIXmop0ut9VwH7hnCyXXv4mBeBtW2NPz/TdR4
/CFiUS+nzsir5qEc7h4q9tnqP/9nS6sVn06uKm/wB6+Devi7f+nXN/rj4Wc9GQLF9rPL+3//i/VO
7Vn0Dfb6MtMXm77QL+8Tb/jizf3Dv/+ly2dI89i2RjlouliwcYazwfZjyZaRHmZGCHeQ6do+8clI
/Wwsfv0zt4P667/zy5+wPxQUjygYHTkU6hmgVA3Okr79qdr+UFj2mQIehrIS7RRxERx54v/8UHzJ
mrQW8xJaw17PjZj91wbh4A7fpoPmnBkytQle+A/HwEF3BdUFU5Rpp+tkp8NfHInNPdv1ghSsDL7U
rLBvQ0GHETyeBfrk8acerAwLDW3oOghO0TQQF5//r0yHw59wuDJspDuOXhkmtXLVAGi9vQ5WhnYm
dL+RH/u2ck5wKIiXxwcJ5YwMzEZ4iF6buMSceRIvLesMtDrTxqF2Ky4SnBMcCtjntDOPnBXaGTmp
rJtCsEhcLLm9oUC1nq4+nWfxv+I6zaFAdPvooZDPbDoqdF62IyEfbh3amaPS1yCBP9UxYB4fOR3U
M0ziLNGq3Q7C4RgYSHxhYIAix3Y2nOhQAEY5dijYRRFiMhmNx5nPce3pyrD1MwCWJrJF2nYo+PwU
gwQduWOHgl2U943CImew6TrcRe0zQqUtUo7t5/9bSdWvd1GQtMcnFOYZ+YKtYJL251t/Oiso/Z2x
hWrso48J5qnOiu07OjgO/a1TB7OChEIW/z9dLLmnQ2GJNFSBKWZtJ+D/fI796+lAAnD8dFDYEyyK
QI7z43jJnuFYEOKgv03XaQ4F/cWjh0LTsKNB+Arfvz9/6tPpYKtnCjAVsHmnnVTBUHyGeCnQjNj9
HOwZHDeoKYGePNWM0no8AB0XFkS9joLddhrIh2EBaU9VA0SDJOf2OtEIKeBjR2ZTMqqnYEN/um/q
1G0AzBryqR47nW1Sc8x00M84b4Ijhvo7XYe5A27N6NaziwhYK9dp5g4mQevo6QBBWka4g+LTdmkc
HjvNMwaCzBtM6nSd5qywkDU8dihIrsVZCmHfxyzpMFAaZxyzgDlPzmeM1vZkc3opxOMXO2aBKGKB
aOAKH2fF4ZFLHDtJoyhpbmfNyS6Q5zhnECb4qY8j8d0J3D4jilAyNx9LVKc6K4TC9JFbB11E+osq
BK5tLKDu8jSbwuTeAv2KTv7jx6d6EBfdxyOHgrAJH4As+7FwebiD6FTrxPGTuv50neoCEb3g44ZC
hE3cPUTz+Ic7CDk2e61KvHjcTE+zWif4Q0cPBQsAUWfdfNwrReL6dIFQntFEIKHfvh2qU10gAvh9
3Kyg/ScABXQAH8vZ3+8gZKD0/qAOTdd2+z65zZRj9NFDoWEpgPw+lfEfLxDtDMkYBQufx+tEh4Jt
7tihIFaYbKamvGttHaRYNnkFmr20OR43023F9ORmBYLWxw6FzqxA3R6hUiLw0yBh6WeAdHSoM49b
x6kGCe34MVARbkLSAPn07S55MB1IKEi8GIndsf00cysAQUeXZ1gZFKqRicLlaHvtzwpG4YyMmx65
qN8Qm09tTbCrHb1pUK6jZ4ZsPO7I03UwH4gLZwCvqGOLAs5JDsLxwBkstEmyLSAXuyziYCYoBFE+
49B+mmdxaKJHn8Xp7pA8KLB9Hw+YrPynQVJsFOiygSg58UxKO3rPZCg0QDPQCR8jw0FSKYABAmM1
ycqd4JoQy/nYzVLDqkkFaingDz8KDKgA4FGPeQn0vuk6zfBA2Dq6HsFGwfqC8Ol8K1U/XRlMB+AC
rJrHvFqAJ05wVpjw6Y+dFaRQlC05YmiPifVhVd86gx+P/OKuL3qqQ6Een0kxFJSzQY091l4Y3L1Z
YZNJkWgxA7cL5DQzKdM+vudHvLRxZwE/9A0dtDcUbB2COe3sPj/ZWfEsJ08dmOGfVajDgh3FfXD/
Ok4Q21lxqkOhHx02mRW8dCEB8A1JuDcrTGRfiCX6LvXcPvHUsmzgdc8xFFS0hQ7tt/7/3lBYZyp9
Yjgaj7nXiW6m9KyfYQehIa4CCflJ9wtkthAPAFF12mFTfY7NFIFiMmrBZxHX4WZKirXTQ55SsBM9
fNjf0aj+PnWBssTEijocAiozNDc4dDwujO2gn2CMOPokritn9EHxOdtlkUSdvRghapYkEzuIkXyq
/Q31+PMXlWxcRBmJx1bPQVGCIhWySGiM73qhp7qJCkNHTgLHtYVFvkDX98fHMIYCM0cd3arH0sWp
zgpBczxyKEDaIhEHq+8n8FODhNxRVabO4zU98fRihXZ8PkElm/IkFiA/bgCKBUJuZWDluh2KE905
nGcAVykwuXRoXIgNTddB2KRshYIaIwEFdnud6qw4Pp+gbAWCivrcTw7nwA7RXYQP/DhrTjXLFAp0
R8YKmNQCj4zz6sEuKlAEKkyv3dZxqgnFd0bsfz+nAlEEVVoTrPS9RAIoHtEB0sLjuexEtwz6dMdO
Ayp3usaOIItk6ekYAAtAadTAwuRxqZxogATLcuwYTMVslR7X7sB1kGITIGWhMWduR/v0tkv9OYaA
7jYN8B006LAow5kT6UBBadruIaeaTxrHB0YR/5CqZcPc/tSD2UAtG0ULMqx/ACj7C1PnT+b93A/i
+6WgxwcP1Y9Y9z/7C7ts+vvPnzDqBXl67y8KKZDts7eMWvHn/+zxQqbu7pMPd93e6TmP//zxB37/
6L1n7X7V7j9eBA/lpvziD9MHw+PXvN0kUPb/b7z5vEk2h2oAuz//UMHkz53xNzeuooP7im312y/8
97/2fv+TMPPL+5bBmKX7N2Y2PceNo01abardnSZhBLRLdn/+50Mx38TB16xMg71vTUZIFDh2ONAQ
ycrNfba7k/jW1qQ5ffyd0/ThSx18aeq9m8Ow2/35nw/J4iHedJvyYXcn8bUFcnL35yPu/Ei//yP7
+geD0ySf94edtOMZZuGKUQ/u994nfHBx2j522M8fstLb/8oCJcaGcOydLxjxINjdZ5re2iSQfuyN
L+83/t4EpGAgmp5H3xcf5TQL9lcktIRnmH+X6X2wOYgiomf4DF866/anBTsZud2xY7H+PjbR53yG
9bLmmzVfomH3Fad5YTLKu//wz5fiddYE1XfD7Kj2M8yNm02Q7kUPBCWfY3u52aA1t0nvd79eDAdt
xed4hTebqtp8QUDvoa735jSS2aLZdewUuQm++IG32RdxIeHkgHn8rdkLqqzem9kqoM1nWDA3QVWJ
/8vzvdikCsz0c3zzCm2z8vDWz/LFs7Q+iCFClNs5/kvfPnwuNwfZE4LqWFIe/SZvH9rN/r5FLUbA
UY+dIrcP3R8XmySv/GB/W+f+AhP/HPe/eiirh2F3r2lp0uZ+ppvfPPTBl71tDH3a59jRxch8zMro
4HubzxC8b7Oy9v+Yb8qMnXJ/caII8WwPWGyiw7WPqvozpCQv/GB/xHVmy26c/vnG8yKKyUj2TzUq
0I9nCLIvygfvUCeLVvHx3/nlQ5pWQ9xuDo4JNFZE+//Y5XPnZ/cPf1xW3+1tIPOf4UW+zpqfTEQB
7X+GV7p9wPcTUdz+GfLBN4z+Q1U97KUUMMcF3ODYoX/z0O+fKpGFe44D69t64+++nYiFglrzDHv9
u4cyYWfbuzNb8TPsxT90dRa1nt2z/vmKf79h30k9zIZ395pGxAA1ufsPR9z8d5bUPxNZ/Isljfe/
srw69t4/l5D95Z1/VGn6k4Dwff1pp8D4o3+2X1wTf+NL/LAp//P/AAAA//8=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AB69EE64-F184-457A-848C-93F8BB29E5F5}" formatIdx="0">
          <cx:dataId val="0"/>
          <cx:layoutPr>
            <cx:geography cultureLanguage="en-US" cultureRegion="IN" attribution="Powered by Bing">
              <cx:geoCache provider="{E9337A44-BEBE-4D9F-B70C-5C5E7DAFC167}">
                <cx:binary>5H3pbtvI2uatBPk1AwzVrJ08OH2AQ8pbFmdxJ306fwjFcXPfd17Ndy1zZfOUJScWpTgyMJrBaNSL
YVNVfKueeve3qv55O/zjNrlbVS+GNMnqf9wOv78Mmqb4x2+/1bfBXbqqF2l4W+V1/nezuM3T3/K/
/w5v7377Vq36MPN/oybhv90Gq6q5G17+65/ozb/L3+S3qybMsw/tXTV+vKvbpKmfeLb30YvVtzTM
lmHdVOFtQ35/eX3Xv/grr+KX20/o7y/xmrusfuHmbdaML1/cZU3YjH+Mxd3vL7c6oS9f/DZ/1w5d
LxKQ3rTf0JibCyVspZQp7fuP9fJFkmf+5rGh2MIiitqWZZv3H/7w8utVivaH03VP1erbt+qurjG8
+5877bfGgvn465czcatnRCPgA4zfX37Kwubu24ubZtXc1S9fhHV+P2XV6OZ6uJ9u7ufnt20M//XP
2R8wY7O/PIJ5Pr2/erSN5ZMo/zv5usrGI6BMF1IARqE2KNs7KCshTFtyvkaZbaN8OF37UZ61PwDl
WYuTQtkNVm2zast2dRSkKZA29X/3HzJD2l4Ik0ibqRnEzyNqP8x7+jgA6j2tTgrufyfJnX8stmac
MWLZP9h2S3hbC0KITYSw1sJdzNn6cMr2I74ztgPw3mlzUmg7VZ4NR+Brc2FRSQS11mxtgn23oGYL
m5qMMUtuY3wwPfsB3m5+ALrbDU4K2nd1f+fnR8CWLTg0s8m42C+zJWQ2NLfJ6ZqN1TbEh9O1H+NZ
+wNAnrU4KZSxgPP07ggo04VpWwq+xIaF5xwsFjahgnPK1yjvMvKBdO1HeTauA1CetTgplP+8qxv4
fnVzVx0BarIwGVVU0o3e3WNuS8mofHg8g/qZxO3He18nB4C+r9lJIX+9qutVewTQ4UlzaSrTkmsp
PudvtpCMS2rKjWU+86QPp2s/3rP2B0A9a3FSKLurpllVq9ZvjxE0oQsIaU6A53eFvGWMWQuFiAkT
avN8Znc/k7j9eO/r5ADQ9zU7KeSvw5UP5I/A4GxBpGVJwjZiG1J7hrq0pQUZQNYCALG4dZxuHSp7
BmH7EZ93cADa8yYnhfR5tcriJMyOADVfWNyyLC42thpk9RbUfEFtwuBWbyz2WTDlOZTtx3qnhwPA
3mlzUmi7edKmX8NjMDbEOeJlilkb/2o3Bq4s/GPbbK9l/hzK9qO908MBaO+0OS20V2PrHwdrmwFr
Zf9EdcPXlhDxNiXfVftjIe4eTNdPkN5ufwjO2y1OC2Vk39rMP4IAh7Nt2Rblcs7LcmGZFoVcn/lc
7uGk/ATZWQeHQDtrclLYvrr7+++7qs6PoZ4R7FSUgYs36hmW1pZ61qEUHUuxNs+RBHnMxM8ibT/a
u10cgPduo5NCHCyUrbKjREjpQjBCKWOb6Pc8qyUWAusBnL2R2gi4PAb8OZTtx3unhwPg3mlzWmjD
8m6Owt18gSy1hKsFi0t/EO7e4m4dLicWUpzm+vncuz6csJ9gPevgEKhnTU4K6XdZnn2DU30ENc0W
JocpxpClXH9mUMsF4YpzIX/4YY/5+jmU7cd6p4cDwN5pc1Jovwk7FD3Vx2FtCuvLNKVJNzHQeYxU
odpIWIis/ahGeoz382jbj/iePg7AfE+rk0LdzasmWWXfjsDjqD0yCSWoQvgeFtsS5+Bxy0RSzBZr
ETDLbj6Hsv2I7/RwAN47bU4K7ZvbIEc9Y3icNKeUAnnOBxaea2++YMiDWt9F/kx7P4u0/XjvdnEA
4LuNTgrxdxnSIeExihcg0i3kORjZ2Oa7Ip3CD7eZ2BSQznyxZxC2H+15BwdgPW9yUkgv75JVv6qO
w9pUQUqbcu5+cfjbTAnF6HcR/1htP4ek/SDv9HAAyjttTgrmP1dVdXec2ApH4QJBDHRmi7OFIpQT
lIuvPzPBfThB+yGetT8A4FmLk4J32d6XpxwjeU20e80ogFwz6y7OCH5LG1Wl6+cznJ9D2X6kd3o4
AOudNieF9tmxTDGoZiC5AXqnZtRaIMTCFJGb8uFZwvpQqvajvNX6AIS3vn9S6L5Dnto/hj4mC24i
T0XIpuJoVy0zCGyTw+C+/8xSHofTtR/hWfsDMJ61OCmUz+r67hiF3yg1QKERA8o7+himGEJndFNu
MkP3YHr2g7vd/ABstxucFLTn2Nx3lEg3wp/Yd2fyB5NqXicKX1lxJDbMhy9spzUOp2s/xrP2B4A8
a3FSKH8Mb4MUke5NCOx//td/u99FmL24qnVk7L8/zP1Pd13+X9ky+K6pj7MpgS5Qq25SNhc78PVQ
uGx+9+dnYudwevavyVn7A9bkrMVJrcmLu+yuvjuG7UAXyLHZ5KFW0ZzDjK1jKGSmSmzCOrNq5WcQ
th/neQcHAD1vclJIv82zxscGj+o4239tIZSJPb4zG0IrGGJbku3f3f08ovYDvaePA7De0+qk4L6o
sJ//OHwNz16aqE5fe+9zvsZ+fskRwnvwCWbe/eF07Ud71v4ApGctTgrl1zqT+sOe0Buq4mTMfm1K
bJ9P8NQBDkwusNVIUSTJN3G5bRZHZn0h8Qxuwiyx9pi4J22b/UhvN58B7f579+CG7QYnhfPlKg2P
5iJwbClCyP0nFRJ8wQlhRGD37/1nBvJzKNuP804PM6j3ndGx0+a00L6r4hCa+gi5cjiEFHzM2K6i
ti0cziHEZhnMrO7LZ5D0E5jnPRwC87zNScH85q4PH4T3k/LxmSfuII9iSXysHzUuW/UQYsFtSrkJ
43wfRx9M1n6ct5sfAPJ2g5NC+O3qGw4IOk4SzUQylCM4u8Zwt0AZBRIC6bRNaH5mhT2DsP0ozzs4
AOd5k5NC+n3bZKv0CAIbIXhUKKIUfY3zTooFm37hRkNob57PgD6crv04z9ofAPOsxUmhDKexyo/h
VGHnp/afUbS0hnHuVKmFXG832GwgmwVLDqdrP8qz9gegPGtxUig/HJL3w696u8oCvd/7f6tjdX8y
HqM4LWtjcu0Wspkms7Dhf6PHkUd/XPQyI/Ph4d7o8X7Yd3o4APidNicF/bvsLvx2nDp0hLpNLu0f
ZzPMbDKqWVvgJMT15wHO9dbuw+naj/Ss/QE4z1qcFsoVDus8ymGXDOc2SM3SPylFRtAb9RBCbsS8
OSuIeHc4YT/BedbBIUDPmpwU0n+OOQ5APc7+T7WpjfjOsFsMDaQh2/WBS2uNPtPYzyBsP9LzDg5A
et7kpJD+iNNra1SmHiVqglQlVTh5Q9vZ+jPf8wsjHM60eEhlzdn6ebTtx3tPHwdAvqfVSaF+s8Ie
wRdvVn11l90ewzDnC2EL5DKQ0rj/zG00gSNbEEz5XrM62xd60yyeRd1+7Pf2cgD6e9udFP4f89v4
SLuKyP3OQBSpbjaJ7vK8jWNRqZCbtMjM8X4OZftR3+nhAMR32pwU2jc4dqnJj7VPFAJcb/pfq+t5
PA1ZTY4Ut0BJw4MceOyLPYey/Wjv9HAA2jttTgrtP/K0iMOjmOl0gVQHDlgTPznWWCJCjnAMf5D6
M8/7OZTtR3unhwPQ3mlzUmjfNHft16PsN6ELhgJHWOObw5XmKlwtcF4PUmJklvJ6BkX7QZ53cADG
8yanBfEtzu+4u21W345TgmQRThFj+RFB2XLIcKQLmN6Gyl5L8JlDhu2ZzyHuJ4jv6eQQ1Pc0OzXk
2zE5kmuGECnOn3+oM5xHznEck8K51+RBseP5luK+DQ6m7KeYb/dwGODbbU4K7T9X41Eqz1C7IPW+
MewRvf/MLXKJilOiCMeBH+vPNtQHk7Uf5+3mB4C83eCkEL7RovIYYXIUDcPqEtiPskZwrqvBzTjz
mkuGB1tsfDBB+8GdDegAdGctTgve9u+/8yQ+QjbbxD5uZEAUn5cf4QwP7AlmcKnX/tfcFjucop8A
POvgEIRnTU4M4iQJu9UxSlOw/VdwwdTchcapW/ChCXvYDDoLmNy0h1P0M4xnPRwE8qzNSaH8R3ic
aAldENw/IBnwvP/samI81Bv5N7ExPH8srQ8maz/O280PAHm7wUkh/Cmpj3XDhI0ztCScpbVA3rOJ
31aS2IiN339mIZLD6dqP8az9ASDPWpwUyn+u6gBpzGPtEaW4MQIq+YfZPHOccWCaxXAw/ZrZZymO
59G2H+09fRyA+J5WJ4X6X/qKySMYYdrWwv4dHC6/Zt25y6wWpoCWhi22/sxssYPJ2o/1dvMDYN5u
8P8Awk+TuFaE6yqtrW8+82JVpi9a1DeAILj5IIEf861tL0xiMXhSGyU9C3jNLjL9OVn7YZw13xrJ
/6FbUn++Hfr7fqblqlmd3V9l++gS1aef3g8X9+/Omm4MmL3VdZtnV99+f4nCHgYzF+7p91tydUdb
5s99YODBItpudLeqm99fGkpibzQiVhYsaWUJIsCCPe6S0o/UAqIYgOPsaWqhvOTliwxHKwa4aRdV
CCgTpmiE4zqEJSCo67zdPMIJiQL3iiAAqs9zsL9fM/w+T0Y/z77Pyeb3F1mbvs+RXK9/f8lgvhXr
r2lqceq10IWqGCXFRgNCJagrblcf9V40zMD/aL2JBVYxpldD1U/eGxmq7n3CBjnlTi5466KAwnMC
YZQXfdwGTtGknlNM8eRkQ5suQ7/x6KumDdrUKSw23A527qi64fSCFCRQgWMPSV6fGdVQOES1AXVr
1sbW17FoQ8cu42J6lZlRSm+TyipuvHqslypopz+y2P6qT4KN/2rTMigvOy+tB6fjcZQ4lWf37EPc
S/EuCvt2Os/7+EMRMTpc9lJl7x/f6rs1Zbd5MVahH2wuZ/7+67+QrsG/99f8/vijvtv5x28Xd7ku
76vnX9IL+/u3gMxmoeuFtPXLzsr+ydpd3x79k4fPWdjKwpr6+cJe36m7s7LvWz2sbL1IUTGh0+bI
uuAM5h8rGweRQOtgK+G9sYFtwz+WNs4ApDhuHYsbJ8DhRBKs+oeljVyeiXPDcLmGia3G0GvPWdoW
hOL20pYcMUYU6eHyFYVNy3jR46XtFVVSi2xilypNfFfgSLrwjGVVGjUOm/JqvGoULRunaQaxjKqq
dP0gCz8YLMs/yM73XkkjDNwoH6qrtij9ZYOdWOdtpdJlmYbnvRfZjklb+jbw279tWZcfclYOlwrT
0rlm02VuWMj+bSREv1SGQS9Hu8sdPkWFw1up3tRxfGlI23coyZVj5UpddF7jLw3Tapwhr4elCKNL
FdGzKCWJE0dN64AjJicv1J9RlIbLYIr9T4lvjMuQ8MntPZE6QdlErujDyYlkrJyS0thJsl65gd9J
J+TTVWhZ+VU42TWz3LR+Re2/ejst3snA9G9IlxvnbTOUryK7NM6Z78d/MDMZnVqa8X/IhAFMgR27
Q1iWThL4xlWV2MbZoJIrRiq69McquqiEGF/F3jRceFNaXKiiyM9VV48XmUFe27EZfi5EWn7NJqGW
/5+w6pbGfcxz2Kn7FJPOFPda72u5ft9uw6YSsXTFmBQKFoRNuL7MYq2AcMn3AtkUG7dfMCFw/QUY
eKOAFFkw6CuYHBvFtGFRYi1wHJzeWAg2JaixUM9hUQbP8hGL6jcSipvEkdCFIMGVOlo7PdI+CYmq
jPSxuLOI17T2GS14YSSuWXTh9FmItohX3KhEfZ6VYz3yZUMHEQyukXvmVz+reGa4OR1i9coOxNgu
Y9vIykus56R+m4i0MEYnjwdRfBVxEw350pAyiZjrK8XJnRrysf2YBFi9K8sShXfLUlbKa1+GZcGc
lIQ1SOGFqNJ3ATGbPlv6iajiwsl7kaZviBpLkOynKRlf05Rl0d9GDQZK3EeQbvTPYxUNe2NrjqDn
cSSqgNzAKbmYLi3mHs2RImnYBjKw7rw+z6Lyskl5wi8T3tWVupxqvwl7dwqLJPw7Mb2QeudPv54g
1rf9flx2pPenMYsBKRCz/f4pYhbYX4bfIhKzOHSbnAkGxW5To4zOq6H3q2ZZBY3PA8fgxlRk73vO
xpq6kEqyZ68aGWR17OR5ySpybQurxLOnidRWyg8rBpuecZkxh1PLJEFYEstym8YhCA0aVMz4Jo2q
MyGIJuWr8jyxeMNMJ6saKb/EwvSaq6ffO8NGvxdaTkGfmRSqbv7eoh1zlRvM+uaPWHPS6cwiqf8T
cI9mvtNHYRu+y7ygaRonCHJKpfP066FFZ8NWHJlyXEUFDxCVizPjzRddaJhDwL4ZKlElg+DHRsIV
GMlorvIpVMl1aJCcvGVxObY3cW2aU+AgPJFgUp5LCS69gr5F8tY24aaY2wDA0vOSaDSrb1z2YLnz
kciJxOei6tuan4WWx+WXqsUUlNAlSskvuTl2lX3WhblZ9L9ARSv2rdUgYHxYSCTDegY0bLYaGhma
0Rhn3q1nT5moLvKySL3xzIANaY8Xo1UNWCJPj18feDp7pz5f7Z5RYZrDgNmeAN+eImEXjfE1CGEi
GJdDE2iGSIc8qHO37SM+cTdM65EWzmBThokQoRm0N2kho9GFbqyyGzsN0ipbliKv6McUR+/XX58m
c9va5wq7/01dLoUbzCDDERjYprLtPasyy2n4OlRNhUVgtrEJfMyhZ8Jwhop1xk1B41IzTdPn+kdY
+O0v8NmZLBxCiOtPUYmLfepI6M/JsEpaN2Mt869ZIgzI8AjSa+qdbjSbUbxmnoDcr/22ildpJDJI
1KpIKyIuLSMyutgpA0hbLfnHAK2ycEq613yIizz9hVjRZuoWqtjOxSTu5lUWAqi462umnwbWZ4UN
E/Jr7VFppGdRUxdJ+76cmrDI3L4cSxBnqLTDs3ws03xcWvE0Gjd9UXhXtV0lke+m02SOr9OgzBrP
yXDcite4rTCN5KNMbX9KXVQ7DRCJ1IhGkr0yJztBr3Ho9bCynsZfnwO4NSBcC2+h7hG7TJk227Uz
uqVMUijILuuKL0rkIhJuYVoCS9HzWtuuXDIpA6LdG9fSM2k5nrX34qQgnoVHQ98wWZ63Pfs1D/G5
FEeiAcYInAlUeGjena3OeIjr1Avy4ktRgYvKM1bHFn9LScDG16xuR0yH7XXJ9DkNhnFUThtUfRm4
EPi9/OiXk2dcVimPps+V0dby2gqlNhAG3qWJfRG3QsOT18zGEho7JbqPRRXF0+cpkXEfO2aSaKUV
YvYBUJ7ZAf7I4DBOn610GIAdE9GIH/Vk+o21LETN6nOpWo1dPPghDIzy/vW2BaO8h00/ROgih/EA
ykMj07ZBA+M3Xg21zMri3O4q0t1wlk/Nm6qKvcpJkrSiqWv4Xjpc+hzK9a/Myjz+uTM7gkWmLB92
RldmOUyUp9fGXGpi9hE6VogzcSVxg9JsaTBvzHxiF8mXiaR15TsDNVVRO30e5TDv27KHoHj6jXNp
RHFbC84khd4m2E2388a6MuugT1n/F5tavRj7lmvxR2sVQ3nLrhTyixexCYuwp21T+29xPK3COn2a
DO1xbjEFU0hYYycXFdSkCI/PRj6xri0NW6afU56lDXOavBXGXY64A6RRENcZOas8lYfvu9ryIXGK
QOT+mW81FA6RpVSfdE5D/fJ14lnyZmBVYsFl6onsPjaWYYZuKaYhf41FZAZOZHIvhA/o4RQXMHtg
Yh3mXQDr4sqL4kZzfoeU7DsKfV+MDosrNnQXT494LtcsBgUFcwOj1lFF+ATbYiCWXpD1Za0+dW1m
wogVVUVhxHaTXrfwqjm/DEg/YNkOsc3ww2/uLVtDFnpJszbqqXfjDVIvaVqGU1pdhgVlWkSWU22S
8zLpijq8mMQYg+u8PtU2NRmtFNypSAk2enpIdCbZ9PWrFtQmpBoQJAhpbQ+pZFk65VFGP1lNwMBb
TeFrAhqDtZp17/kYx+KMoM0LBs3ikJVapFRFCUVjBARmPBmE/lNexnW8SuxI8cuwT/Q8lGOfy2uv
HPCtMGB6iKOfyvo8NlTFzgur6ljtjtAXGO4vhjazMjE0pNpxPgRYxRQ4QmA2tGaIiUrafPzE/E5L
qqYqsbSmZArz28a0Ypo5Y5OX02dFM60fUyMnAGSQiHuMZ1MqSeOf28xo+0+wUitMR68ihtXHugnS
JAsNG0uM90mhpVsLsXkZ0qKHWGtgkeCFYeOZ+A0+FsFUpD7HVDSNCozGFUkbgSUCm0b4bT0/WhTG
q6cnYcajuk4I1pXCZYxwO3HU4IxHST9xOcrS+KNLVQ7psDZvaWANXezCswz87FdiYaaO9Cs5g2GP
88/wH6ym7RVlRjms1mJQf9QtwQppxqbBgoLux/zwqOC5OPN6Ix9qRyZsxIQnnZfBZIHQwyz11ZA0
75WsLS869xpuQRiAIbuPFSL/0ACpAcZvhgyKagObX/YZpnJIrAy8Ai7ScPjxoIEwopDghz1GdvfR
zNMclIg4hm6KZaP91KdnG1dubMtEDF4rAQgJQnBm1I5HBXOwNnxzGP8IglEmntO0MStcrze96FrS
iVfjWRlUsrAcbKmyo8BBAC0sX5lJywbhFLB2jNeVnxr8rZcGirllnw/+rRkm5mXvtVwuY5XlyTce
JVP1Mc1lWq36iST9O94Rc5iWVpTZonBL2I91e973wuquqzLwhtyRqZmSN8ysiL3MssombjQ0beU5
+WCVU+QEWVfxwfWHuAMzdFPVj4kzGCLi0TlOs2/5jUyakfuuOZC2by8Kuw+IB/vN85urJlCwzFw1
Jf00wa3FUiyuhnj0Wqesi0ied7by2VKkxjD90cuchp9bnvjekvGGEneEf5qPjvSb2l7aIe1j1xeJ
f4nNKs2yzM1+eu3ZmWlekJ4E9Nw3aiswz4o4T/mnUXR+bHyyc3MY/hiagTVvjbrJjI/QGKr9Jiop
q0+T6vwsd4o8J0H9wR6mJL7wQkQ3zqecW2nu2HHOaOCqaqpL6ytJIyv7FtAi74YllspY3tlt0/em
Gyd9TaLLxstKYS3hB4hEXnipEctrRHuNOL7oZEHrJLgLrIw1mOUBl51X/O3E8g5LeiJVXQQfmDQb
aZ5lGS8KddXaXhgkbzIxxKV/FnV+03dveuH5YXju8bRvxUcvo6y8khEPfOsca0Wy2Cm6yYRaT2or
7G3HN7gsm2XgVVM0XvV+bQThRR+m0DZubPccArYrwlb8JzdaKeorLI7e8NyewWwh120Bq8t2mpFZ
g3yX4Dg8/GjWfzTCMMEz04ZXX7lTXvPy69SWNu1eRbIqfHpJBgNpG3eMRNyqiyGLSJo4gndaL5rC
CDEcnwkoldXgjcjMupEIbOG/G/uiL9T7yDOiPjlXMTNocRW3o21172TERGg7pW3rmISqGhHEn5Xv
ecb0mvOkxkwZYwmR/RZSuwzEa4N5lUrekLAMSfI+ivrI8s76CILAP8tDVN5VLkSWJmnsjMSkZ6Yf
jGG5NIs4qqxl1piGyP5DfZrhfWmU2Pan1rfK0q3gemNmqdWG0CAukYHuBPTDZHHK0tY2PQ9qjN4t
ApIxeR4FvZ4xljQxfuR10Bg3Waq0yOdd41vKtfsmxwKYMtgbF41dpfhesR5q0IgJ01dGuJxVQZfU
Ht6WBAROZkZCDQ8peEDFnyQZ9Dxn3I4QSzJaowIURhZbAb8rSzg05XkVhrC03N4ioyrd0ApEawBB
3pbt5ybK2jDDfBnBlF8gfcTJ8NaKlCY5BNLFdCOxsvAGhkflV88Y9AKTlaGRF6OBvyV2qqem6wi+
ChVrlT1o6LIar3U346kqxsqvCLgF+JsYilzexIJ7NnN5byMA5BQqwPH7Z5vV4021jS5VZOjBec14
PxktVk3lbmxcW0xC/8ZqEb9lZlgZN5upNtZff5jk9fcQKaDxW0WLFASQzAi6r3Eoi7C6CDM2YtAl
nQa8y6fMD80bOOB+bjtiDVQ+dQ2WGjzvtvKvMmKPnnBIHHSjfGenbY5Z6mia4Cu0QIytchHm8Drb
ic1RG71+Kij+mCjfLL/a6xnMC3AQ5Np6TAEN4aO5RZ7JnlyOraW9c3MN7Xp5SC9OMD+Sh2hxJlSi
Bz/IMcA69UmlXxPwQOKPY16aKvg0GSFvm1cYKdPTu15IUzu2oBKD1L2QsKrRTqeAsLrqJtCkryfU
mPoJv+QJy7k6M0yRxdHVRIUaigvfRBDJPOvDNgdP25GvIx91D3zDDmmhr0T6GZZPLWCxYvBVB2P3
XY1Ytu6QdvoH73wLPxIkMPGVdBKa/qyVftB/ahM/8cPzzLfQb1Ay4rPLuB4VaV6z9VoJo9pukPNZ
T7kddRXIGUIWoxNogBwvj4owhp7vSDlJEzVTVWR1y6I0mix0zdr38HIRBTlcpiYpENtMEDBAyAYw
Be2Vyn3Nzi30K/4Wj62MrPMYxuIwvmJ2nQz5ZcNzM03dxOZJ2jle7SNsiBskWnw/aMoaP2A0iuQ6
LVv8f0x7xO2E2ROEikrE8pPrLm48BAX6KsLbSeDn3WeZeQO8AG+c9NrvbYjy6HxgJYWEsaogaa2z
JIWKTc8GI/Ps+gobOatp+MuUQwR54yc4FTW+3ISToyYJqui8DRL4u7cjrzljl0UUYDou2D3PlLmV
YMJqr0fG6TNS2XnffCpZH/TyslkPfbD9GlPEimGKMaLY72txJieTQMo1FdfTR4ZCrxrEq/QSX8dP
rTruMQOkpXq8TRhS/KiwwPH9MkT00XDCZEJcGbuU4sx2ELIYZfqWFaTCN+RItA/bibbGuloHWSYi
kso7b7Oy8uiV75UT+pjWoTcPbjmihqXgMUKUHonh+qYpfKfMbRIEJsTrNJaanxrehwjC+7HVQFQy
6Y3QeUib25hm+Hp68tqQ6VABba0YsfgoyXw0r8YEo/yrh3nmGa96r66q8NpmkQ5S5i3U3VsVe0w2
HzjCWKN3NniRMQbnsi9EUi8RusDFMI5CEEh+4T6yuqUDZWgD/MngE0Yls1SrjVR4erlVtMIZOsv1
TEZNjkg0C82Qda/6SaSe+hBPbW/cVDCmEVWYitKWXyBvsb6MvpgwAxHOb9DLqMgMCH+4lzpKlYSw
V2FZ22neF1+kPQYl+cqHRCbXUpbF6J1zmteN8XcfkmjwzqDRWCKcOkH823CthKjqMyKSfdz8Yfpl
5PuuJ0YWDB97Bdum/GZ3YVfSv2rPQmjioorbLrVdg051/HniLeW500I7DHD2CclhUypUzbakxSpP
I5u6Hf5oqM5RPTJTw3IzkjWWZREhQOzi2IlRD+te3CRJp+WfPfpamsD618wb1qn+RnYfvfciqv+G
y40NfGP0R/1FjyE6kZ7Bc9e5jTDxCrCyD2vRu56akRTIF/dKcyXSuniyWbKwKSGJsFNWP1qH4LU4
NXy3GsaKKYfQyrTet4Hy+9zpzQwBez5Onk2v+jLTXO4bkw4HIm+sg9ccZllzVU4m1jc3kX+4RtxS
Ux6HyDR+2bxIVDZUWomlYtysPbYsjCYVO1FWtBw1HPcCK14HGkuL6GC0kZQ6CFlXsuJ8mfppmaMC
pZStcdOGosCYmx5ZvO5VSH1txgV8wDtUl2iy2nuGM/IYesTxRKuZvKA6zbjM+kGvSeVNNA4dEdRZ
mp4FUQJuPF9PCOLAWujF+gh0iPeaGNHrgLJEWb8IfM0cel0UgXyrLuPRdbc7YeWgQTk24tX0Jshz
CaqV7w/ghj6HmC0Nrjko6RB4CZwuLDXtv/Dutn07/XqpczW4RRXbc8C4245t1Q650dcKoaq1aIwQ
AwYV8APASU+/ahZABzfhzDO9DQghK/xfarf+UfKyt+LS8mBKPqwRMx7y3C0Lj/N3ykbOChJZBhrU
NoyAcM4rDsg2wvFpWrZDCDi7B+sHNwZj8EiHY53TbVq8jlGEbyP/xkZWTX4JBdH2eF1j0+HZlMN0
/tU8774QJdcIHEgLt2AA61nMIg4qkySp6X0shwyKwo+h8a/UGEPMbTj76QESHbb7kfjSI0Ts1hQo
obFQGMbngcwhibifNYn8uJEYfTDpoP0o2SjE+cBrqzuPCm+qPrQ9G6Nl2mZanrMKosGoJw599AuK
tlc6KIIrZeF6OIa7IHHq+DwtNtqm0auRlR+TNVP1sOvA40Mbe5DrodWFgCDg7QjOtBmUA0wLI9CE
RAUr28ntSnj25yJluTCdAaJldCHqS3wd/OGR63Bk8Cfdfp3PKtZi9ulBzGEEcNxkqKPFWV+E4JK0
7XUDvVs2dDC666COtWSa7g2hArVF7YfRsFr+5vnvE7jq/L4SFGf/zoKzaoA1Qi2zvd6ovcEPysgx
c0jW3Knq0H9WaE2g4soiKEMEY6D+H9dpz8QB6z1Eorswul6rJRjJGg0VJ+CLrC61wnh6gLrDR8sU
CwLpJw4ORD0KjqmexzP7cRrCahLxpcqMKhauSlPFvsgKDPMrFtx9FaCzkMGzODx9FF9tY5d6NB1b
X/qXa1OkE4iOYB3RMsWPp0e1KcV4NDDECvEqfV8iytdQ0zlPF5om8jIqDOqLaqJmUJ9RMehqhBYb
3dv873rKkEN389pHbNV2Um+Ct+g0wm9I+hraGiU4vpvHBSI/byhH7MF8n3rC9/PLEbaByK+9IYzJ
MLoeRcrpr7osU7hBVUR5Vp6lSTvRxjVzU9bp0qoEQm1v2EByJt/b63xeLOGMsHdelpJyeBv7QWej
ZKbtZEgQE4lQqnEJR0OF6TIxogJQbAwUZaBZ4MRrswIWugVlIe/F2NrViHsTorsPUgrRDddQmwF9
Rw0YtDm14CdktMUXYGLJVl2zOtHGnLG2bQokR8HtZmGRKXTiuklR4pbVlZ2FS1moJGqdh5BHCbUZ
OBtD5t6CQmatx/xOpaWVuCo7RJbgW8SSnhVWjlemMbyK7pWJbEXou8mQ1vCnEM9PouQTg9lrs2s5
NjYvriJpGjoYUHcV4qzj2g+z+7Fm5TL4X+x9WZOduLbmL6JCDAL02Ax7zsE5uDL9QmSmbRAgEBIC
wa/vj3T52D51T92u6H650fXmsL0z2XtLS2t9kxojALsCgYnAMiR1NcZ9kTqmL2cikgEaX+rdsoHJ
aM7LARcsDA8Uar+1fwDfsDFa6AGJF173owaJ8MAl0OYygwgJcoJdpQbXrVPhoun8umD01PGJhnb2
PrnULmN8DdiskB86xuoGWsBOOwSTMK4Ks2MKLTG49LzrF3y32Wy9VS0JcYBMTClaM5fG6RIsxXxp
mB71moCOnjmmaRYr8KK8InofkHacX0MimqXKigANd5eIqBPqqQPy4pgk/ka5/VGLBvDhZXiJBep2
veuqNvQMuuj3PgvA99YnLt24HTrflkb73g12UdtgZFMMihiZTIqEwkUlK/sIj+E1jZfMjTOxBxTx
Pr6XHXPaneC0pElVlvM9XTits4XPxZ4Hk3/gxF+PQtnpACSjv4tU6KWW0eo64mNLgBlP6qHAoj4E
Je11gt1XvdZKtk8l4X1mmVtgFm39cY9hF5CS19FzLMmnvsF27GYZXsKZyywKqgrfLnHUro5skNc9
Nzdr3Y4kR1c+5vFCfOgydSjeKmnuPTeQZxU45VlMesypBgQN7Ut5mHrDsorN8YdIVgN4fcmRND4U
WVvJMlmCrstowYZTvHpitxQdWOBO0gA/Ol66NKi7aDfjRx5jzGOvyvZmD91D8XlgTbtvrNuuycJq
uqtq0t9LJFquSQuIRieO35ePs13jl9bpKEZ5Ix7m2OM58UZyQrxGxZPecfxLAJhup0aN26XqqPgA
8JBDrzT67LMLqgfzjCvdu8mrK76TS+fkrhbjnZ4CAA4oBZlerDn5Wi1NQsUcp0XEiip+4pPHliMU
COZNe0Ht5r2RI8YcLqolmXwaf4lHCjGtUzjqJBjkCFngjvUHO/kN5iTRn6ke3SEt4qp/IbWWF4sU
x7MO3W2FFnTjUMtpPlm0s1ckaqYj0G/nxBu/8rIY1e+zO89+l6xr7FYYm6XzPMth/jI4jk097q4v
Wte9B0WBhHxwXTVWbtXKNoFiSplMrnNjT6EphzIhruTXixuhEGOkSqfZb/1TEJNWnpQd1M6TxjvT
VtgESO9HOi9vxBTFdeBi+0zajBmgRcKT0oopyujS+3kQjd21rAL1vEiLngxC4rHUiWmggWjSiJdU
Jo7xgxcw033ie2237wEUJB4R4wfrds0HXS1jkzbjWD4O1TI8QWAvvGSwxqaFq2Sd1Hg+MK4xMDds
PFutaWDj+ZZ5umrTbp3ql1rINQHJIz52PR8SKSf3AwOJcJSeilOjSHEKeBe86Di0lxp4/wTaAZYA
gD5jUhhnwERqyksYOz1PWrdhL8pBU5PF6M/qhNZ6uA3nsNmh0IdhyvgaHUa3r26h04G2Y67Uo9d3
cj8Z6+5rOYUvyi8eZ8zJj+sg1ng/yGBJ6kGUXxZ8IPtqjIzJ0QYu96NitEhUMICxbcoxIdU0HUPW
yP2APtRNykizR9aN7NW30n+oVdG/Tuu0fjFY4NkU9d5VAGHBnuCkyAY7jPfoL52Ezt10cZRuPq2k
7/Z+6xZQZgFOvq4WEuAss6hIpOYx8CDahAekThWp1F29b6hRj9B2+Xj+yTu5pPN3dejrZ+Bywy3r
KnVwl5bdC6HWc6nrAZpplFyMwYJfdwEZT8oE822nC/Wg4jh485sJxcEbluk6WAQ2DzCtG9cfzdmq
aD7y2fowaJi42xehCDKMx1BYAvZgx9VRxaUoKvVh9eLqMQZ08jys8fiAA788YLNFV6vrjNAwhXzX
soJewHC7fjoK1mbxunQ+1rvqdmvp9LcNIPjb0vZySKEMITs118OzHE1QYrhe14tigTlDqNQAHRD9
Q+mvDBr0Utjcj5r44ILzSye5BjfxVPpA5pXz2Sk8aNAuCw1WztJFWPS6WWQAaceXhvpTNOakV007
Ji2TxWV2ZHkLlKW9doKl+9iO6gWvKQH0cvejFuhgahPV15bVkF9S6fIT66X3yTiFmdO2mskVpD7m
kXvTNOwrr/WDlFVudA6KXsU7RkTHTgIOmAw8brAmE/juLGariJJ6HdmUCL/ornsHfP95cYYIn3VI
5lFdBjaB6HGtcudjFwzixreB8yHqGJdpaFXV5xWT6q4u+SRyUL5LdRa86XnmqI5ChFgUrrOHLF6v
d0vcKVPtt9aDZGywfds3+NT6uWxODWZy1aZuhM4lpcIU0xXQklqnvnHLhzla+yXtSRteINcr3Gx2
0SKeRwzi40fKMf0p1BElRxqicSo7yIoO0xhGJ+pZ0tUPq78U3pQsdiDMnDwUO3KMAzAC+wE3U6ms
mjQ198wpmxoKnLJlKlFOUbZN6gTM3nMfqpnEq4L2Q7+4zrqfMWjWKYkGj1xmVtsu9RRw/KuoRTnN
IJBbsx7I1qn2Rp6GbtScRmexur5pF1ghVh8ff0esyIDTiGZTaUmPiptxDOp4zJawDlsPALvusR9i
0JupcRdP5IFr2urSVGBnE9EB5k1XWBi6xBcLiJ/I1M2h4wHt8xJE4VXDAZNmteX24JeBG2e4v7KK
AInVyj02pZKgIw2NlsSbwX6HozdeO5TZKBV1EegkChofUBwwu4+udNTniaE18ZVcvH3fF66fl1Pl
GS9FC1c5fQpuHlK0OYmq8G5xgj5CY2bihbcpKumI/9ATh1v+hiI0xGFeyVYmtBxcy/JGRG5U5dKz
PaVXrjOF5hFkrigO9RAHL+U0fVrXqnwsK/mpZJLWCcYEcT9D25EXcaH2BIcHQZEIFeivaD23i9de
K5+b3VQplspBrjKJINOUiRBU3KuuDTOlwiUxMQ9QX6dRvI1lse6ivgWNV9riCgxjTFLX6nnIVhw2
wS3TlX8fQUCkMj4B68F6wIJJoIebP7u9hDNr6HSc6ygqL7hfpb83gx7L3NhyKo5AjcsocYRlR9HX
Q+Z1Q7trhoLedw1xczZW/bkpqHPlNTY4exKkZV9qkNcMY1HmeQViMUxk9qv1vDbBnYatyAibBp1L
N+yvoR+cx6NUc5EwPRObDk1Zp0GoJ5kwVxTQkEIQaY46xJvLF4Dc92uh+OcCvPewr8GvZQqbck7W
pVHXOOVx+POwaTNeo7/AIxR3OHX4zsAdlZpOVh9rXrqfgLzZHUQ7bN8TJnaRjOpbpyYqnURYPZFO
PLY1lGAlBrdd5BX1cz97Y59Qv++ffVKok/H8wiaFsnWccoCjp0J6eNMlAcLN7ZRi2PVvaowlp2l2
+VtT+dGnpijdp8b158sE5jajcuiPPiDjjwDfvWarabDg+TUZrsKi8NG3ojhuizB4C5ptGF46sZ3a
1tOv/RQ7PG9DDiIUYHIfHjva8T7VitsRXNPaAyyM5tpN/RZ1JIFRqqZXrdTea1VVY5N4LZ4hqduo
itMGPzcF/IU1US2SHkVovCgbKwg5FXqtpjwJ2Y+/S0xtVdpI3yefcPDOKmFOPE8HZ2zCbJS1c+AD
9R433cDOXafGJHxx5A2ltn41UyxxPGDy3PWmgBqqL6h/AXWnznKBqCRRJVqai9VGvjbeaHmqATNO
CZ9a+zaOC/YKNiXmNCOBYn6ewFpNCRi5Ke/qyT8BpC4hmeJ2RTMP2eiXABLSYieiajwHC+a3xEE7
MmZtMTg0dwYBzS9ZJ/px1G37HMnJpo32ddYSZyDXZo7ce7BrMYMqCD1cEo5z1e5nNFUnVL9uzu1Q
VTVaOYbWEyoOp7/2q9l1UlNsSrxFECpzJSc4DKBIwSJKg0pUddBMu3IKQaWIJq0bNGkq38bYKS2W
gXvoqf2uWJ86bbrmxuvdWWeYKooGJY2F/SpT5ZqyXfYO8eouuAmNX8RJ4w7cf2khG3W6dHJiWxc7
EGaNJVdN1Yc9SzFt20AmZq2ENmmEA5cuWQX+Km4TAzV3sGTdtBSiOS9x4fkk1QYDmLxtJ6BDfmIh
82Zmp4wc+BPsZkFfZjO2CmgUuHHg1ksmO/ThuCvRq3VHGE0d8VUP2k40r6B/El1OB3Bt9wXxwL3s
JYRSY5epJXBIfVsb2eB7CBzIpUwNJTM4gAkyd7z9L8JhEcHnqOtuyZisLH2iYJmq+29grSM3wmFs
2QaNem5h5RkO+426h15g40GwD9focxkUxIZ7KP5X7LfB1Yw/GzlXTpV0MYAuB5NtUc8hjgiU4/Gj
qQAoxJcRDaW9JjUjS5CaUpuh2a9gt/Bt4cir+/rVj003iYy2o1m6s2/w9taE91BZ6BSiF18U9/5I
JQ/zEEJV7p+IMcPSQ4fER/Q4mB3KYSdlXKMeO2OfNVAhXXkQc6F1lwwVc2EcTVQc7PkYiWWRQGEn
IKk8haTKtHOQl50NeJvLGYobBuyg6+PLitYvzgunDQuwYFPBpEncYGBBHi2rH+zB+4mPMjbtowN1
zZh4Pcxn8Dti7+RQm4jPpGvQZUH9Xqkm70PNqmxS0KnYZIUX8wMMQ2Z5V9mfGC+nWwp17AE4ML/0
pPDTxgvNVe0ui8ilLyDWmhiIYOm09zWzc3Qc0MJFid/JJUhsNzfdXo0EKkYby7mDOWdqPsuVFA1K
awAfc4hz1GSjvy53mjuzRYPgtDk6UEyIRS0p3aswGEVWiNi+OmthF5iYy3lw7+KGNzSbede9KQIC
O9H1hNGgW50J04iq3SpHO6H0wVS0mT6Xjt0QF3TUXpeuTVXu4NOaCmcnjBtDnOMNrEsLEvR9HixE
H1zdR8/t1AauTqPCK/sUgCKnmFCjRV8LXCJlMo9QMz5B+gDZBDSsUNml0HQMExok14OuCODWdYnJ
WyTBgD78yoJws8nsN1EeNWF7ckrdQ8puKMwV0NZJAemGtxidxR1loKScsdrDt4AvJrKlk/jQ1h0G
2Q51agCYva4QLGBtFOyDcUiP97nKXehKe7vgy84CVsQsr6Gt+OJAvATwsJblxUEZ1p8wXM7Vh6gW
auu6fI8f0MGEJxVElL+iRPrL3p+C+q6f/eIKMsnyc6lcfPLxvFrI1QoDZGRduU0kJ/NjbKm5nVVb
4S3AxgZ2OBI9qmkkYFZoKLtzAR9GGav7+egCtODZDG3M77MfwEdIGx0cuqCuIU9U9H4oyn43eh15
CpV2ExZBh1ipdoVCX69LAsvRcg1Ppcczz+gJpq62g0Ce8YlNxzJUUKfpboUctCxmi8dl7SaNwDSc
yi5avB0YIvCssERznZWTP6H0OvA78GSUEeSFfqkHNAXdoq98I82l9NwpzggtZbSDEEI+zDYaoToe
O7xLqAGiT4Gq4jIRaMBvBmfreDXCX7oEPfXCk7ApGOQozcCrDAd6DeUV4JLbVQABSNZQyjBvJgjs
Mp8Inq+DxWtKCjkdZCNCZpMvv8666nKv0DadR7o8R6gW09mOnZJZO0zxnaYKpuTRoXTAQMCBAgmv
v/LbwjvHVdtEkAkVi0iUW7Cz41Te69Ly5mQdqW+h1atTaMC8F7hiTAeeIWJLyqmuVRrNAV8yMy+1
ThALMBa5qXjcov4qvz3XrrfQ3RjO9KNTVNJeA7lqfIABvViSVgr3mTMoHhIBIcZ1D4UJyaOZLhgK
mAdXw1AQKnLh1tVDQ5F5kOLcRFeH/jyrfDXE2+cW3sz+DBja9/riOm6F/zRAZVEmk2mffS36JzX2
fYKUH2CPUFRCKFVOWPKtei6dmZTorayTOug8rpSBvUcDd/nUlQZu6RqbOlO8iW5GM/ankQ7weqio
uQAXiA5OQeKPQIx5hGVQhq/SW/3cBkTfTWrxjo3uRy+tp3jeujUiIJ3pAPFEWscH7VddmK3MQeMk
OLP7jnpTewe3LM8UwK1MYakH6eBTk6N9cc/d0lfQBs7uU1Us9okVo5tIbQisk7TJRdwWXyErJhly
t8fHGO3+3g0K97WHAv2J4CU0cSw+OEj+n+C5ia8sSP69nEbsuti8QKA83kpDliKJx5642AfrLSud
Bh2NG4g9zgPVYczQfhZHEKfg1Zd58NTvNcCOLLYYVAYkWqyJrdz+oxO3wX1d+YFIA6D6Ryk7F1QY
lJaN778tBui/yhsJPEi94oBqxJSBA4eL6QkTLZLJ71Sg+4DejHU1oMrrON60SWqA/xkiAbvUYgDX
AMKxvwkWSGmW/ezBq+Flfk/sWB2JqUS9HiHkXsbHgtuZvtEu6JtD3cdiDNIiUGR0sniiwaxQvBqo
WcBpQR9RM5eHJIPwzl3RNsZk4alqQkXs0SwWKGYSepbugqCb409h140oKoNsWtuijtGK0Ax9HnQK
mbOEZQlBSwCNFeTIaOOhqlrghcamgYw9oJCCVrL/QgZniXQGQhNCvVzLeWkqMJa8bKAWkmWxicix
BgfQIGVdrmT4MPnxiBGG+zZU6mMfz8VUZyBiY8x9sAxxW1/Xda9Nn+kZ1xe6OZG+0cOradbJXRL8
FMmXdO4DtGTJKitUhkMBP3PNUiDW2zsJwpKwdl+VdoqG341Trh5NeBE3+Ddo4aPQnp1RY2A+14su
2jC1hMXRtPtv6LlfDSIg/2CgZvDKbiFnbMsl/ZUK7AhmjtpK9kZquEj+YL29sKGgn5QvSqg953jq
REpEoLwoiRAfAaVKCx5Fp6Pf2eixfie6/vq5fmWX8VhI/QlhV2XgX6EC3zz4PyskOF1gTSp59LlB
sAPaS/FN+CEa1mIhOj3osv+GqPyVk99+I2zc+DQ27zAo3y1i4OffCNAwHgn8El/Et984fVPV+LRT
oOZ1VAUGIriJWAeWD16DrPz2VfwRbXL7jRH9lkLzc/TJz0ko/yeRKlf8TfW6/zr+e6bKLz/of1zw
Cobzn1bInxKF3gMOf86AcAnxN/oaf/fyPVEIl3wDyAZ3CuUgzMbfAx22sCEI5gOfbGE+79EN/0p0
CBCugqRH0P24mi4E645lAUb5PVLIRdpy7EPngOhtxKDE7t8JdcDFtFhAP9HgEM8gXg4QBJ4QFyJC
qvDrAlMBEN5xUcUBQSR9dVjmkX2J6WAeMYaluhftlEVW3QEvEejN9Ql0HveyFhr6+7UeP81jeVpU
8DJaBum1cS8tHB0Hv+aHxnpXDrbryt0CcqXygO380JbB/dgBN4Mgrt5Nnv4aOBHqKga+Bj1JBzor
Aamns36Yg8Rb57smUE/B4ImkrKDL54pmnmq+lj29Un2kk8oPH9dtqOVef/JrdCTNhq43gLRTQhXa
/K0JDqqcd1GUdK4VoAOQIQNBDiq09LIF40xnGaTTs3OrQwVPT1EMaI+6fvyEGR0umcoHw3ZpPQge
hadQvOcxMSFLy04/0d773Y23IaULE2cVCQxi6z5EQA0s4W3mtBtk24xxYoV9DrpwTHXbmV1dtg/u
6B4w8x5NP11Q5o4N6V5WM+6actob6d3WfrEm0RKcm8H7gnJ3KsemfFvWNkq9qRrfGjvqcw95VhKX
ZJhSRkZ8QjBe+DAxwkC7D3oezyld3fn32ptdmCjQxj4ird+/qrS9rcKwT5alH1PfDjdDN3tQ0oM8
hJI1mRd4IZPBbesXQrSS+CydzwKetLJURaalhGMvqWrhn8ugbZ/e99D/65LzP66YRAzH3H9OcUpU
39k/FZP3F30vJrhhfLO8Rj7UgMiz2OI/vseT4ZoFgDAIdCAId2AkxD99zyd7D39GGB3FNQ3Aabbg
lu/FhODKcmilULFwpqHcxH+rmLy77H4pJpEPEz5cjzCt4znei81PCkIu5hF4WDsdmLfuRqjFYD7N
HVqltp1zM1me0x4aCCO5e5ITxGSRaTN0P5862cQns8pjpKpsXOM7bMEb2DtDrERf5gO8kl8nO82P
up2O0rIJA2x5W1WpRw9FwT86XTtkIJRug/VAmYf4Mra3gAr7Mjy0a5n4G68MmSVcrWI/sPh+HoO8
80bkHCEdRX5dR5Ez+wxlZNoENy0x6TLOiSm+LjBBLW+tfVG1gzmRFc7nxcqneAUkOJUSxuJ9OVQH
b6DT00KVlwZAWdMQCLCulw9+1O355CRxdVOC3p6sunRdnfbSSWGcvIGkOMc7O7YxzeNwOC8dJhDB
BdQvfK0OYlUft3hSREkNOwu5AGSxLRyd/GKWC0QaN15wxQboUJrN+M+T1dzM+iGk5qZwmnwEbyGr
Uz/oT23o3LbIkrgOKNynMb8qI2hi/tm074f51nv+50377T7mP+1aCG1+tADRbwhIAyLibdZM0Hk/
7doIhzlUaAgaRDSN+x739H3XIrANUc5o+3A8I3t/qx3fdy3S+pHTD7EuktKQzfH3UgUpfv2vHQAu
v8X9uAEM1RQqZ3dren/atHUNW/nqm/5YENz6xriG/sQIuCfpivN0NxG3owcNgML/ML9n+s3f8v3e
s/4o7N3Nc48EwHiLAlSxcRvgbiUFCFRYzCU5HWthXyQYwVcQbO76tWh41Zxw5VcPojJsI5LWJYXp
OSrsai8YCgbIyEDcQ8qFMxz29hPo58RGbIBGD/eEPxS1UUkTOFBYaZxVRC0XsKyXmkX4gTiykiLk
IYIxhn3k6CvHemnRrB0OwumsI3hOA4bN0jEQIxCtAcCEPAFRAsAJhdFpKae4/GdvfGt0XXST/3lv
XDhSb0qN9OT/Yn/gld9Pteg3dKEwBAbvO2BLfPh+qMW4eQSqZCjvAxjqt4zBfx1q2APQVkAPiy4Z
qG2I/fZjewQIz8EGgQgY07T/9zpk+qcOGQHNCHDwEb0JRTEEo7/uDwU0dZkrKo5dZ4c1helCX9Ud
lb/zip1pSTwOk+oShHcTfG+vo6Na0LwiviqDQHoHKh0nBv7i8ES2d0hQit/IGNnzLOLlS20sYiM6
dy2e5xZ9XTREN06rD63DstnUGXPEdd0P12JhD5Goc1t2L8YlIIK7Z10Vrwy4UDn4Xjq4kIYF1aYp
u0UoYqp890kI/8GtDP43AFphG/zl/FAARU8XSe5VTc/9JsQkwZXT8g+SkksL8xokic55hfNrUeQ5
rPi5ZNNt2Ey5Jfy6fa8OoBSgotu2CXvfMj02j6NYAUlHBPmEhuEksjxR215zOwAG2+5T2k9DbEeG
bVkQESZQw9WJA5wmGbF5G04uzbab221fI9ZQJVDOSchUOADjBNoueYZDHYAdRKLtUXv1koMebG4b
t6v5k7comFZDeR3r8vMi+REmwhcaRyewSjfKaXZrOA3wxXOAtksIJKcsXxeY2dcJDKQvhicW9aBs
CIObtCHXFXqVBI2YB85LIIHSsjez0Ed4og9VpKBrE8h/dF1wl0CQRexbpAqMV3zuro3umoxbd2N1
xi6FIvJ2gobkIHrfBw0VI2mmmtYEX8uZ83JXrQUk1YH8qMepPFPkU+TjUt4tY8CysYwugXXQW5QI
+IjKHcSXx87Sq8joo6flPZjbSxWAtaUCurfWTUFNkCTmMJZT66j1mbHNvuMti0O+pUL906IzzL//
uaL9r7b9Ur50y5/qWbS97kc9A6+AQ9vdRmsPcv2fCxpad5yzEegN8kuII0Z+GHcIXC/ER7VBm/Cj
oL2P/HC4Ihp8e1FE/06X7v2aFkFRaylm/U3njKYkwJn/az2DTR0tvde2R3eC0CvD8iL8CeNeGX6Z
WH3bjy4rUv990SCTDQsofF9MupeIRI3NkjgDXAf30WDmCVo3uhYplb0LfS2BkCSzFXTv962hRdqh
53jBuzXDhbsUKcWVp2eeFK2y9O39e/j/fkGCBPqrBfn7Fz3iErvtLoo/rcn3l35fkz7OWCDA9McS
+tchi8kRGUMBQs1dhPkiQvTHIYtg0RBJU5goA0xMSAD9sSYJ7nfbvCgYKqGeRSTU31mT4bbm/m1w
xFpwARUzDKjoh39dk4q1oa+EYw5WNcq8Osi06POF0S+Kh7emcx6d6NNUELPzuKPNrYJJv9578Phk
zaZI1GQHaZHTPw1VCfVcMEt3uY7WQudR6DRQtFShC4FaZCt4OAJWyTvHFFezLYOXiih5XXrtPWC4
+SseAZSgHwoAPICiVnht8qWEbIbbAErlfu7AvNgZRo6hOcieDg98IsOj9Dv4h5f207i6UEw7AMpu
dTnIQ7CiVpeQrt+uC6q9omYPJbXWud+uVGVhpdGNkh10FqnbiNce06gq1O+hH94XDvD71huarNiG
W4R1fDTIUevfh99/Ns/77Eb+spqnyG/fLrH+887ZXvd951BcfYZpCzsAufD/DuAiFQ3N6eaqeC/L
P3WnOBEwpG1NI3xuP28cQLtkC5aG9QhhGEH8t3KzXezAXzcOnmibIBFniUqOP/y6cSxkpsj5rMtj
Ybu1g+jAWri3Y3/KPfA0NgtXFq5nP4LxOPUhj70LkQKx7jufuiKDbI9ANdaXw3Dd+EViBgVKllVI
QwLgR9i8m3lQ+Xlvo3j+Zpz7/75gA+r/q4KdVi9mfEHQycufVt37K7+vOlwiAZzKRUX+A+r70UOw
3yIYVEkA+zfqQPRrXDtYvQhdwh/wIB7l+1D0f9VDvNNOv9RrWB6DMEIj4YKBwIP8uuzENPoRJ1of
Acp3Bz8uaQ23DDxbXwHVrSTTbTQvh2KlVSShPQL8nPuxcw3fm4Z9oKkStw8/FxVyH0K1V91YZVbQ
bGlLlsCgAeggLHZElsjcGt+gK1ur9bEbWBLr6DoUzZiwaXqqTdFmQyDbXCkHEjOtR9V9gniiFFkQ
oXoevUpQK9KVdn4NJ42d53RLDwVqWCrAfKyKwCDICqTqfdG7iIyeSORd1y3Ey8D/ENn8Dw7wBw4A
fuo/d83AyMayF1/Un/tmrJ0flTb4DZ5ojPKoqRvnhZbiXz1KgDWPvECM/FEI8nUDvn/gZNtaRNoc
dkSMMo3x/fua936LUBFhCUee+reW+vtdDLffFvNf3r7xJ5wMYAL4MyAK6KwQH/1vpbZtJtKqxkGy
be+J4LLCvPKM0FX1Jmb4DdbDVPNHzrfE/Wr6uBoinUPN6tg5OriN4NAgiQyQmosIOY9zKN9mx3jT
kK56UalcVLiaRLvuPQaHIoUQqMlNJObcCzhJAbVPiWtNOpD6ZkEIsz5FsK8+Iu3HwLDpCKn2ywJx
dwI0Rtj9P93B1h0A1fmrVQs6Bmv2v6jSeNX3Kk0RvA+CFuMcpqqNwv2xYsPf0C8As8KCxXX278vy
+4rdyF0KtsXbyBL8gJ9W7FalIxRwhgvewP37f6s5YH9qDoAQMwDIqM9btvb7v/+E7I6kpwa63PgQ
QTkx3ztVizAl6bhje1rKk3E+j7S8EHc4tNa/E7AGHhHF8wRDCPTgbvupgk8n09AKBpI/97B17jwb
eueupFegT1SqecXVRXTQrWK6oPSD08HGkVQkPqqeAWpZKcJWIdxZ+5xCZ11MUKzvuGHBEd7G9lxO
aoCovufOlEK8TXdFNCmbIeL3f7N3HstxHFsafqJSlDfLaY+GJZxAbipAgCxvM7Pc08+XADkiwCso
tJ67kQIk2F0m8+Qxv7GH7UIig2CeUx/QFhnBDxlXMA+YbzKvhQ1hbywmuEKPcis91E31eFcy5130
wJfcGnrfywgYioitx8JKtcdZD4o5Y+46PTqGaHmOVuT3rvM3RsLoFLoL89uuxTxjvK71AHocDZDX
eigtFvjGekwNC2WlmFtD5cp3Qo+y0bRBQjq69Rl6z3rYDQdilTP97lWu23/qYDnLmdAD8olJ+RjF
JzOT83QoGKG/TNMnRt+VHrAj9nzdv8zcUQxc233c3o0HN+2z6FMA5NC9+e/Ofsn7HWLz359HN/Kb
+vrtPzSl9T/7ubUx4oD6Yfta/OU1t//ZlA4YwpK8W2xd1yVH4x/9tbNRzQC5oS/C1w3rv86il/xL
YzZ004Wm9r/a2S89mjf5l+7hMLIh+4JURjr4Nv9qFMyz0HCLE+mVI1l/3AGdbIeitLZVBbC8MuDY
HHy2iAcOWOO+wffewyz083UdiH7lYkoz7wZUPC6g0vvOnd3X5poJTuZX8CwZYHaXskJDcjsvub0r
3FKthWnDohjbSlAUF3I5wh73Vl1WfW5sIGCBL/ONsTCvLD3I0Mj+Qf3yB39TIsixhuPTowBax1AY
ZHoELz1FD6Zb/Ym2jXEmldemJ8jc0Ua3UEnIoEsEp4Xusluh3Z/n0mlxzQlAuq0hq12FJfPsb7FC
nOJBoYG/+e/GeD3yaAb+/cZYP0r52D+qRIn/cO7xT39ujvAPamHAQgxYfp5gP3cHhQvWZJTEpHGv
faFfd4dLPczp5nAsvRjI/MzUXs49TCCoZv9dd5O21PuKWFemwPB0Tkjh/t5JCgwEorQVKhGLNYz9
kUmB6d3wB81wk+RGG24r3ZqcX7qUlm5YlgvCtcg0vHQy0ayv421P395ZeV6ZbwQ18b6rURfIRFZh
jNIfnan5pJp+NzvohbZgjccsyenrj9uhat2VSrJtP1THKQpPPcts12i1qbWv6ltg6FeJM16jdQiR
OE82A5Je8xgflr59TJWEBrUcIrdby9bdAyKFD+KP15D8TsolempLWlDz4u6mWO4NywR1PQ0bYXT2
2jGprxpkXyMZX1aVD+5pyhFqEO4lMeSMo+MBxlexxsEAxDbndZgEV91QXJTZ9N0aLChVVY16vAe0
NLoXytu7tf0nc1qUIfutKM2tcpZtH8uvrrD/HLz0akyHHZ4ykjlsINZ17B3RRrgK8+wsV8Op6czn
oBcOdiJ3mWgMQofxKV+ai6S0TpXrb/smuS1IQ1RU+WsAjl+Szu04u4tqHWYlOrKMhTJRXMEcvSZ1
yFaoh6AOADDe6NqTEmU2pMR861BF04NEbH412PZtFDXyBDrPfk69PVIhW2E6V407f5kW69BNxeXQ
FE9M43iLY3M7hNOlZTgc8lV7SPoa7wdw2Bh9kDH0OfzWfpHHzijs9ThmQHx7uays0gE/Ng03oC+O
dWlfMDA6jF53cKfOvgwK+8Fuc28L7fwSwPkJ48mUVAferVLDnZNF2d5X/YWwncMUOU/oz3irykgR
sRt2qp+vPaBxa3DYF6HfPvSA8qCX9o9d1x8zhHhRBuisVWZhxDIu0D9mSFJW9xnHBfAuNpiv/mHI
qlPaUvPKU0jCb6PX+rt/Kcazsp3NTWwWZn6GRBOq9/+Nma/JBPn538fMG9rv9bcn+fg8/xYzUfj6
K2Y6f+i2DGm/BxqEl0Cy/jNmuoRTlGYCbF50bcth/ldCwT9hjKQ1rUACa8+inyGT4hZkMPB/1FLZ
xLQY/0VxizbW+7BJdUtDP4zo9TsAUd5lFJDzq6htUU7olZ+CSYwh9AJEjM2jEbXC3zmNIEMvOycN
YKKK6FONnvHjqBq/XHvSnPYSS42stk6Myes2STjCr6jP62D4GsjlvnQbdKtbHPPG8A5269ZuY5vF
KINNy/7bpX7QbmNPNnunUmfkD187SaJPe6yr8DGpg1NAKsE6Gy1sLKmml0whzjlO4Trq62CT+3Ba
09oqrwe0NjbQqo815NyjRJjEhyERnQ7tbK3UEN8tcUDQ0uCQXvjiqWugNlh1sIpDNKIQ3UHwbnbR
zxYhmNIB+6xVCVPcWQ/QoY1Docpd3s07GsYnPhq+kczQBjJu/R7ya0QHLN3khrGZgWAq6VxkFXrn
YwlLcjpi5bMBhnsDmXUtEtD0Kn5GCIT6IUsOyDTSEYjtQ1m2d1WqzpdUrl0HwlCG8oYIL22I1C1c
jpUztl+dHDoSiu53aTE3GKwta1G1q6Rpt2oY3PPJSM3rSfXfwAnej8lFbc1XAW0BkPbqPOjtnfCC
7ujMfnb63xDwmjZ9GALWj8iS/ad+7i+738dj03sBkrwgMHUD6+fux3OWFgI1AR18EJhve1sBeZbF
jgRMCd6LFOyv7Y87EKEkQsdMa5j9K5DLiy/cm3oC1wqNKkdeiXYZwIZ39cTiqc5UUXqSlUir3wBb
Ts+slwlAbXEN6yWuxxskQS5BJzrHaejybJeOc2zuijKy4KgxXQwPecCpAqJCQdFEamUPH/8oI9tZ
jdK4S3Ok68sExRojybc9vE/NJPYPWGInEI8ca1Wh0wFUPEKsC7h0Ym6bGiHaY2VaQ3dZ5D66Csqr
H6GPJvXGbUarhSLphd1uhFzTav7qF2j4kA9fbGzN9sXT1hcSg9uF/dGA03gSsJK16om2wu2HttpE
SYoI05DFK3jqKdI4brenzch1dNW467ryDO0Va98s3VfDUms7nk+WODsdkd/d1BWkaNVt88jlssu1
M5gnoxEUW6Npb0Gm+xs3LL0NEqjhXZJ1wbYAp72HJB/uQ1S+dpHKs3UsZbMrLJPaKYFsOIdESBvF
htkto3WQ45fYQxI0Vla6JLsxmNShnxX3MNfMNBtSoXCdopJ1kYHzvegNcw/az5FoGCAv9t/t/XLC
63319yf8ts9+bwOC0vjraA//INekE4A3Uoi7H3vx/zZ39AcHOq4ctIU44PU2/b+z3fmDUgg4Bmeu
5aPv9gvggw4hu0pDQ9EwoMT5d8adoT67f93dfICGl2rbQ7oG5BFvdzdCQVXRz05/wi/YZNDkuiSs
h5ZOBTt3uaxJh4M84SQkQZ5ldRkZ9qFprS89CXRAIt31/n4gsZ7gHJwskXs7NQOqQp35kOgs3OvC
GXOF7sTUGXpGql6mebYKSN4Z0V+NSQpKc6xOIJRDoWzJ9FHO+oJfjb9Gc+MoKAa47K1RWKeD7MiP
0+uukcY6Lhn4x+KA9M25kU6nAeUFFEGttHjMdd1h6QoE7ffd4uRXDqVJPY9fB0qVEBuohdLFFNnB
0aWM6+/BW/05UOLAn69xybb3BcUPPZMLM4kQv6IqiimPJokNiE3BNErnbKCAEnVtr6oROR3YrZd5
lILxptwqzAGyuq7A4JxtynrYZ763a3SN1rbJc0fRZlG8dV6erwTl3JR0azBaB8YIZygWPy6UfT2j
KEzIkBdUM20YSj0xXGVWe5vrirE03HaN4AV03PooKSrBM7irMJ+2TcqHdiXCTigTXEpK0X7uPjWe
OKa6Rs26oloNuaLSbUW/7iJGDbsQ0Zppa8LXPRtFhQ8FRHI6oracT72hCpetXdr5l7K2/WFDxDw3
C3keipSeUObv3GQ65S0d7QXivORJCPNzbYiVtSzHaQRxYUXTp0ig7iiW24JnLLvgU5QWz0Ftnddd
eJ+b0S4Is83SizNY4Gvcmq5VkJwA8cCHQj1a3O9QJmco4KO+sJjQd+l/LgY6RON9HMx71LtgPEfr
SIkLTGawNceNOXWSs4ABH7pUvAF1RnG+Cfz2nOJmlyE0MLr5ST9mn8x6PpS9u/frFl7l+D0O+o0D
GjgRfbwWaEGuC6dEt9ZD32Da4lhzb7cWRJ3w0WBIAyNcnRR2s4kX96wPo02isj/Tqb90I0ykjPJo
x9FBBt5R5ro6zAZrtSCTsGqWelf2OdUdrikA7r+iK7hJ5beyC8im51uoo1vk8TnfhrNQLWSlfneF
6Yxa+UG5Xrr0YbGnnTmKQyoUhjl+DfcRyqVmQuUb00QmP6921dQ9+WW4rFrPmnBk8HZ4y98o4Z3F
Ij0mTPaFa+wM5H5O0ql214FRfRmRsrRR+WjyYlz5dKuRtL5Xlstj7SsMHJGgl6mte3Rnto1qO3Cv
lWeMF65Z9Su43tMxnmh8Q8vaD7NE+sxEdp79UKxSv3Nx4w2pYouzrJQT+t9fast86Jb0jDLhxEys
ixFtA4f2RFeibdMtXbhBJm27SPSYmDHM6B8Canj2kvBqtP1nKzT2ZE6fxyq4Qm0IgpcdfqnQWaA5
AmahjdNoPU3EtVaFty0aIw72ret0iMVJ1wIxD6YwP6eRjyiADCdOaYvsZt0aLuYrkIAJMF6+9fPG
PMuQ2T+T/eCfWfmc75XqIUMrjJ7OWrBQN2VjmEdw7NVpHtXjZh5tdergebmxzUzHNQoT+ySTCYoO
IcpePLP+ZSLdvUynWz2odoa8QtNyesBXUK7E5GHXECFluNzx1hFkfFqYecdLtLP0EHzS4/BRr8q2
STdw0/YRE3OTyTk9CmQa9DDdZqpuVt6wMgvnHG2CjanbAaqQn6vZokFApyClY9Dp1kGqmwhdII6u
7iro9gKb5WGh3+DqxgMCENc9nYiSjsSiKHzk4j/19Co8eha2bl7E9nSH5YcPS5jGRkqHY6HTYemW
h0/vAxqZfYly5CGcc3SvzIuCLklrTzfoFxCQdAMlmRGnanVTBTeBI3mos3J1w+X/Y6Lytp2gbf/+
Pkf5n/IRk7vf/8WPhi2+4fiK25g3kt3/wJ2+lh+0FP5wXXA+ke3ZOGboofuP5kMA+o9Bt56ua47Y
rwmKpx3HmWGAG3QCl0Hmv5pm6CTol/xEw6PIkTDLo6IxXTAA79AkTLfnqlKm+y01lzb/XlZL7JhU
8brBuJEyt+f7HIcWuROzU6LRIFBIf5rissVHqNGMsh3bGY2YAhHcpoDaEZvImIRlkU53vVlh1bru
3dZffJjsSJkZawQ9Ospwp1Qo4SAQpoR9CcqlDfpVwtx+vEulQpIJQeME81AX+R1EhBjpe+HeEWTy
HkV7rv0gynECwr6rBzRPs/UMJh8T019e5A8cwq+W4u+E4oFB0Cwit0QlnioRgfR3T6dBRRUx4sX7
1opxiDQBLECwAxENxynOIw5F7ZtqZTXYG7/P5lugEtof1qZc436wbE+mu48vyWbtvXlhekZt0Xai
Ye+DYtNkp18pQ0FuT7ja9cmzVZq4kbQumgXHBX8npApSw8/QmKzQ1iYAofQXKhRlprZApdFs8RpE
vFH7NgbKM/JjaQ7CZGpL6qWY/E68iq2U4H3uMazD+wnzlwKf92WhQkpp5LjC61BHFKi4vQYN+OfJ
t+Y/PGeK81/vidxcr0GAfiZtOJ+98Pae4rSYMqMo62/miIDDDSJqRnNdlXGzXH389N4OKJCKZ9Po
ySGyBpg78H1vv2guifmLP8XPcMNtRAjbMi5cnIBMdvjkBLkLi6/Rru2z75X4NDJhCIZrBOWxf/z4
St7WBS9XghW5Q+0BngWjYf1IfsEHWE4ym9GU+8+DCHv/wmuZS8sVOFxAKMdE+Iv3Tybo77/R0uRV
qhCfRQNu+L3oukffAMKj3z5GaegoEGIzeK17rIwlWhd+nIwkMh/f4/unTXvCAi9n00al+LE1+fXX
e+yxRgKd5qSPuJcpPh1FObFcKUythuvEjhJteBphAQile+bnb5jQmf0lSiKVd/LxlbxfYARYLDxo
2RJRvd9NT8eawcEYJc6X1JQYk84pJkRPYR1o65CPv+n9U6ZqNLlbWsZ8GxDUd9uzcCnIHCu3vihG
DAVpQanfa5bT+D2geKl9sD/+QkBbb/YO2BIoipidgmYhUr1335R5uCBGMvdfGKPM7FPEgRe2uKVS
7dIc9x3GYmjwJDO5WlB4KU6nH1/AO0AiIU1bjmrGV6DR6t57khYOkWlptUH9pUuxQKu3LPul2AoG
d1GOWluKpM3Qpxgy7OmD57z0ZTaTedgbHpBtZ1v5+HQxq3l9OD+MzDG4YB5NtztyGofg9GL1idNU
EyK85UgkD6l1C8wKtGjRwNoaZrj8DWaIJkgUFIk4bvMNSsjJ/IRI4gT1YSiqOt/iJ5PZ8iTjFApR
WUVOna8Rg8iLGYUhO8DvVmRdyTvDL84dbgPh9DrDb3vk09ag3bE/X4mg1P6xCLIv6Msgumqi0kNA
kZQzcY5aEDW3wD/LXodJ3iOsb0OgLpLTtC6gX378+H9bcEwg9MwA5jmgJkBPbzeZquM2Ncxl/txg
n1b1hwQ31LHZRIsU2KKasdQnwsdf+RbbxAtHigWKH2xa1DOgxLxb43lQzlqYcfyMxL3FG1RZ5Bfn
UL7sgoxYmNqPlQ6awl14sjDLor1WVvpqPr6M95uaaQ47DaOal2EMPkFv79ywEgPB1cB5KgFPs6y6
udVvhdWg/RM//i59S3+1cXS4JhNzNcGeVE6jvt9+l53VZdFmnv08WYnI3G/2jGhnehK3ioM0gYlD
IClnX7EgP/7i32+SQxFIJi1qYuhvURvDSTwemDk8TWakYygPH4fc2DYylujHX/XC9Hh7k0y0oCf5
nq01gDQS/9d4neOVWuBHUT2L0vWq4JBFcX1XokHc4QCHEWfSXk7RAoPwrMnQ3MCZcEjxhc9F0LbO
qirJ8FhxeVxFn/Kcw8ilFKzt8qwYkj6cD2p08S0/fHzRv70YD6uiyA0gpMIRBZT99pqtqAhtHNjr
p3qWPVeBV2WB8bs1G/ieNhWKHMgSDs0/Lj5Nt327IryXHaBhRTYzwPeBPgYFMLW9Z3wlVFn2so6Q
5YPDHIRt2qP865Ro4x4494vgEb18tME3Hdq/BAgcce3hNsMukaCBL/Mivya1lUc7p/YxF/eq2RXh
5h+e0rs+pCblAhnnSCLN0jyj9+/WS0b6C6pvvqYhDn0+svezXK4EEtwsqh8BORJMGy9wVc3YTaJG
bcuAvzPrUyUqXCIpC7DKv/uvQTCL3WIZV4PlNvn314wSWwzSJW/CSeZBJBFiaUj5Bojvr4ZSCt5O
3UufuqJ2rIE3klbQycXWEHQN5o094+j8Cak6OX1eZl0Toe1K3y3cACLUiq7mkmmTRNvtPPZ3l6I0
e9X6oKm++aOyMmvlyJj8gu0feQ91VrM0e6zOuUbK5KgGiYXk4wPqcG1eb5U/lcs9jY9guAULSUYi
cv4EY03gkDySNPUb3pmdTiNfXTlpxgGRo6HJRsf3ruFmGjPPkaicUZSjbyLG3OY3fSuL+ZUMi7TK
33vDlMpPEq1FTr+5m7T3t8C5i0M4TyK++qc5oIPtc8MUYm79Cwep5O5zF2Zoesbu0GXnpVuHiK1Z
YqpPU5TL1FGhKc1aguWvIx9kcLKakAGsPnleQz5+Yja7rQ07nd81LjIfCLG93oCXS+2RWAeMJXU7
K9b2tp5Zs/zElOgg9sN7shOxj0lNFrRzla+F9s39+Rld2xn91slwmEjXLLkGLUcnXTyegXIy7FwQ
HUoJjrPTcE/J61N1i2LkyXlhq/iFcZQch3XZK45WK8UDq9o6RkAZOrex9rBp56Dj9gj0erk0kSQN
d/B6ZNHksZ9X14DgmgDZRxIxlgva3kDpVgMeMKyaBCtN3pkzmXwgQz4rDnYSHZ/QORruRP7XVdPA
M2ymIef7NW/Tim/C0vR5JkugwnI8if160C6SIOsoRnNr0ofZ7FP+chN51PpYyWL+WuM3jJ0AVxzY
A1Fg2y/OwM00dqzXb+90Lj8lodORC0Soa/Ipzdy4bAWV48Om508y4OxCcVfnEDN3zx9CQ9fXAmkO
zzjoEwFbcA47rOFooaKVdhj80OHywBOGuhCNB7PI6DmCz3vIlMsPawApWrwvR3eBe+zQjc+/q2lU
PM4lDPSaK6lp3UMuJ8yzUQ/29RLVvYLhtg1r/ttZoc6GglwSG6iFdcqGtyb7fO7nRQePtKCyzDun
11saW28+tAepyZvwBIUwQput5ZBJZQVWR9u0CVoxH4bJFHl1Tp9TZxBdL3qub6G41KvayTItw1dE
i+UdJuZ4U7/JzdsoxR962DDuCXRkSpl0LDv8iHYeOuets5PFnLgmmtkLWIBkMNvlypvRzScNEzA0
3W1Ujej1kyig1X3BzHgoeiDTsuyQjcHnIrsE+pvFqGnmSr/hOhtm00LdLxCDcZIJs8zm1dR3shGo
6ghhjIiui4BrjA3Bu+ncMGu8x1pgOYx3CDKISXMTVV3sYo0gmgjIhG9m7lhuCcSEm610khxdzKRV
DfBqRXqP7HJs+zI9xE6u8LRahQVh1n9aRs8gryXYztwzlgEFiTVeqlOaJmdFkyoruJBTJPTiybBr
YiXKcSYBw5Fdr0tTYdvg44nJgCI5bRZmqu2uswfVWxeLh5nuPfk6T2lTFbyPejWZTFzpX4++rTPc
ulO8pdqCSJpuGxxu+ayoM3UUVDx8Vq6Z4aw77EzZjvwmPZmOv5N9rOMS85qKGYXMdSmUuiohSrXu
5PP8ZIqA9AUN44C9YNlSsKCGrnfm5oS339END7EQcA9hKRadQE8GELa1a+FN1e4IlxxHA+RSTnkG
Uy07L3RLfchKqTqW4wSTFAhcENJX95HfSQ33cjJn5uzIoleee2g7WXNLYdM3UJ0qW6dYWPEV81MV
drRXfjRWiPr64eDKB9RvX/RE1WibpPnoGCcqX8AQrsLQSTZdPAJhdLG16W7ibuLmEXYrifbDPAZc
cQCWnqfUVGnAxs4V8ys4LcDyeYI/lnWVjfrvZhdFQ3uNfq/uBPiNocO9QOFzubcMVqWzdYI+Ap1P
JpqY7E8m2OxcN4y9ABlRRAtaGseE3Y2I0LQ0mAhaMypqyBj1QDKn8hbhjShnDfVd1h0ZzwzFzm8G
1T61FWfMaY/kg3sec6XOGvuZrPuSEXOXXRHUTfns5pgGX1eNX/WPI9Lx4yWaqqUJs6YE+NM63sig
L8zryGvXQDwZG+3G0UM/GeP2eGpWPpMewJElxyomDHKw1h3viLZ4g34y2hUo2fUYQyVTMeiUfulH
fGTdYC5tXNN7Y5afmQkr9wbtB+rPdd65xWSsotKe42bVRtx/zDqNE7SvU5zOqNyWclyWTYQXsdnv
YnsZm9OJzcHERxbno4l30W6IAkj5HgnacpvkNt4kGcDq4ChmtFNXjittaz0jwNXMiFhIEW3QqQ60
j0dgY9iEcPghsB1svhsmSadxVJvm3hqt1N7BALVquZJBuWTrNHY846otmsq9U6Lr82ZvtsHcdtsI
GdXpdsLXTp4bQtbGtWu4YrmXNat65fW+398twZDUzarEnaRv98zzkmVamUPQ+psIzkaxjzOZT7sF
fyK0KCJs/Bh04hwtuvCrVeGL8Zza2J5Nm8JHkvcbjliOUmsVtE2w0m7g0tzLuO7Ai6jC9Ep/H1c4
DlxgAGYUxR7dfNLa9Fsa1o4E89qEhWI6Z3m4sKOw7kjHSC56m5tBzOA1+zbnMvata5iBDR5jY5Pp
A7WtnKr17gCPtK27aeOR4Qf5lJmQo+BD45GNxebIhsF0l9pohf9hTgbVO9Ogj5WIQMLm7kKdPvYc
4GwHMKk6wlWeqTPMzJhjK97lczmC9+LG2jE8XbrEICX10o5Z0LmHWC2njKy9xF72cxDwmTvloQG9
rNAx1JVDkFsLVzu7Q1VGe9VVmf/g1QKz+73VAjaJ9liB0zxtVUd7bQe5nMw+LGiy2XvX9siCR5Pc
zcC7eGyJZXmY6UMjNkZdoqPt7JlbHCD8xQF6bJekRDVwI2JKpSrdUiAvCWmge17V64BYlTZn9Aj0
kdRknCPJA0IyW5+cIYK9XGmfQPq09ypY0FS5GWhG8XeIO098mJk3MXtJeI1uxYgo13ESCHHJr9i5
FXFF9BKE1T9GPSaL2R48NtHGlqr3v46YGzc7386D+ixpcoSpdrJFOM451m2gU5Y0kvoZIUjkS+u7
MtCTQUentNCCXnEe0ghdBS2qVMsqMnuPx08M1/6HzUv/2heVPqV+nGCu1fAcC/x6iGh+NOqrt5zY
4EG2iZtHzX5GaIVhhTJ4sISZXF+BEgaqVYefT2Lp2EIr1Tq6GxbUKZ+IWI42gUK2ZtauCwbewdk6
gz1FzVJNsfdQol6NPNbLa+TAtKx7yj8lb8MunrhjJ68t3hGa5gGa2XVSDGN6tWDDEEefhyLwMNBB
oT2pxhNIaP5wu+jWGQP6pdXd9L5XA32ulok4n2XKPCMFH+1ZF/Ihxir+Q8UAwppAWuLrIDcuc28S
ZxwZOS6Hpu177wAvVwzh1cKIuMnO/DhgKnwAl673geMgM9fR5iLJvC2Fq7cIzpe6g1/nHb8QD2gx
P8IuozTOOuulZxWrjElyZwc4L20wV9ana4o2CYcmM0ndG3OcliwQiQidb0pfr8e4zHW7zOQJ5N/j
Jaj5gT/Xv/3a7gN0FXBcWinXhTZuGujUsEBISCfzTquv9nV7FNLjvZRqbHipvSDwVZhxOkPyBfXu
JOsP8O6xAV5XHWuhXGczOUG+w5REr10AE1F9DgM0GeQmKUVoIR0qkV4iqR2xegQHagzoimESDvDz
1myHTDcr6JOj7jRAj7lOgijrH4ceJ/hqJQrVSoLLPLoIOo2WLGroZDbrDMiGLgJxOqBiM7GO4oUI
NyK9pPDkPWPfscynzmhTP0F9nKdhP2ERUTwOqTXxUOLXzEck5kCuIZqw526zKSpIDH5UxOFSRyQG
U5IABdzWCEvxU0LNAgnIwInvyRlUt1yZxmCaaydtU8qRIe0xFz8AWHfUrQ9fT6GmPlq0W4000kV3
4MOooyUyWbrIRzRZJ/JJ27A+YhEnvDVZMaHC6jE0lmid9YNXk6PgMbjc89R1xF2sjpLxpAvaehS6
fmA5+fCF+KA+XnSobInJ/qENPPr2WwwqWPoHxEtSSpUiJI963Xr1UOrUqjSqCGfQuWuQqtrIYdBd
wQIvSS7TiJ2Zje4AyxzrS9OdJoQ9pmTRFbcXGZIHOWL0xBZfnDFpz32/cEle5zFP9nFaT+qTPwF7
OgkV8laHUNjUFBxshkt+4EyYcAQ7vywaPiZyZU+sygFj8Sbt2iaKr8fXqnEqErgXJ10+WAQpEn5F
e5jOlV1uUa/XVeBrYVHGi77oZpnGOVmzy2aMFmW4UPG6uAiw0CmSTFb/mNY1rzSjIc+lq3riJNxO
qQJ7uDVAhRTnQUtzhF9cZlbUbBc6YEleo4F2ZyGy7MU4SCyMOlOnLh6dZtIV+vwaOaJJ6ES3sop/
7vO+by3TMwJrB9/uhdSDROLb3loIzw3jinL8CutF15lDapSpt8FgriujlVA99/sPPcj3XTX9lZSn
IPPge6NL967PCjysDk3py6+eP+px9OvSKENDd3Y/7on9/lVg7slxHT0BZ9b+rnFup0m7DHQnvuLh
peNTA2VvICkkWBO7Pv6ul27gr61VNPFoUzuaOIhS7G9jdmFaotQy/F8nQPYUMijl26xEj2EF2zDt
K4uzcMGipnhUtesJmiioz4fIiEqbupsuhB7VRpS8Ova8RuYfw9waYxOdIgWe4EwI/G7kp48v/7dH
xYAHtccIXWzKcdj+bxfC1MeVTGAAPmImOHEdHFC6LORwpYT6+KverzkA0K7JF4Hn5D/hy/j7l7lo
7SOGzIAm/Vw0dAuOWdXL6s4uRnypbCEvPv6y9/cF0BP+OIWV76Ar4L7Ic/7yZci/J1naCvFl6DBE
v/fyQAfKPEcToP6HR2i/m9Px6ZqOHppw83iMiOu/fYbJOJklUEX7rhbSDDcx1T7CmwldBxLDLB95
mCsG3hX/C6hvOO0mD0IYuY3Xhwgf0Y5qTskQ9Py+xVmVsG0trj7XsoQDPQ2Y7D2lTY6LEQhTQ2fN
UE4bYtkQ+rqrUlQ0E28Hw3K4OQM5f/eQJIZurFpDpYewnJ/F1J0YBsPRclc3ZuKe/6vnzTOIyHhM
rdCGMMRvAwYPC2+Ap2q6Q+NUL+S4obNXrIyxIdH8+Ks0p+fX/rx+p0wkfQAX6LIwHH03GBiblhaE
5ca3odu8fBc0V/+iGDp9Mirmt+T3r7P3EpAOT6Ge0Jhsdz9+6gelE2pjxOb3wXMDXf6TOrUEdrvC
fWE8MYpcGZDLmb+Bwszaqhj3s6PIL7ZFHZNNZguTymH3o09Oc1X3XI0yt8k/ltBc+LuhqfQLX7yc
bzFehknBayY/WDQM5AYBZ/0mc4tNjjviwDS32cg+032YHx1nxmys3ZwWIQdlHFMUOKvZqkYqho8f
afh2u2gHBgZfWlgBYpQDYeLdEu64gyE02/ipHJzgIcegE7MepgkHvwhbl5ZYiv+YO0VYmGVlvGnd
uD5UdlHeD0lmYriEVdc+EomDZd0cipWfyu4uJt0TV+UkhnSdhoN9yKL8U0Vn+mloXdGu/N5I5zWt
Tx/J5rg5Tc1MnDNmTheSW3j8G0Pkzp8LY5fhGGO76iH1GZnuhiK7uDcWQ3KWlhMWfiLqr1xGzcXO
LQ3nPJh7wLbt3G0ZIZX3KSOvY1naNNXyVlL9NsVIx1sixcCQ0Tud8XbKcG/rABw7bR/c2pyNj23a
WB7687C2XOaCQALzur4dA0fdZw5YyFVoGm6NKYnXfi5UJJ5Lo+1vfFcIsA6xOuSTwhycnl67Bjnq
T+tpjDJjpdxqOJZ1s5VjNGjVyjz/U0FFp8kUqwJOQ9/cLpDKN0RrbaBmGO4aMddPrpzNrzbqOV+s
YHHvUuWpdToBmiwCkW0xC/pBOvpb3M7bYM2CYApDMPM4HlxQ4u/hNA3VUoC9QP3M+5quIjuui61f
NjLntZn+3T8svzcb+vXLEHIGkGVHADOcd6kBCGDwGn1UP/tmUIERmsxbq6YdgSlncT64DqjlCSmc
T3TUUZ/4+Lt/W/kvtwlWhw4nQfz9lFF5ImpwQ6ieu7omz3PKtph2lYM15j8cEy+f9Fei8HKX0KSZ
00WRxZT9fc41gQ22cVlKn62xYc84NsfFqiE/0OqOZXBd21V8nYnYaJEd9aJ24wxtVu7xJvE3UymB
fQHW8y97v4+ONUa8d5y3AvCDKuV9VZFm2rKGkGNLy/1kDnn9vVJOeFbTzfg02LP9Z5ST1iERpcnT
SZFcOlXEOjaCyqfYKWhdW2NEHdpH8zPiZZLOm+p3VuKZj1gAOeuF9/cPAId3IDweiU4DwDZoCX3O
6PcpgWUEYnLDeXl2lX74mPile6fJy8O0TI94uWE2ZUTTRtkgXFcgfv2DW89evfl4CXg6ur15M7Da
dRIEGBDgmP9ed8sq4opuW4qXoaLPRvXZF3g4wTvbiP9l78yW47bSZvtEcGAeboGaWWRxpqQbBCmR
GDdmYAN4+rNQslqUrHaHIvpc9N99a7skmgXsIb/MlYiK3WowxbhzRDdSualUAnG0FLuSa97lUNnU
3VE0pJxmLTJ3Bu3RyHmh90lQwkixXKZcJlPhHCc63eC4GPdIBvmpVPjSfBsdeQrmbkSlpF8oDJzK
c27xggzlhgKwtwn2yZXhVMk2Q1jZJUQRT8Lq8m5Vhm1PlVjcP6iWnkGIcdkg7FGTG0PvJEVqTRLd
y9yL0yCuVf4H4lHz/KGLUMyctE7RDdkT70xLcY9JPJlPGiIQUYCMQrB/8dj/OMXnK+Z3CyST07GN
Re0v5QU9CgrfuxN+qRPTulJqI32sEjioq6wu1CtNYhD6F3/jT6Hb81/J2UD3GN8bWPAW1ud7swOJ
nbwRbJ2vaZWaB26ZiqCsfVIuuNenG3S7jpWeDPiXylDzxyQauyOEKfVGGTxj8/ePlv3XR4ujJsun
7i70Bu1nM2CD0bx1o6J4jUb0OGZRZfipbGZqdWtBg1hN4SUXAuAiud9ZXK1XaWxbRBMgKHCt8LyA
+YCIV01pOx+Sjt4qlBIUJ2Ii8WVmJ+2uNozxyu7jaB9ZTmT6JYAm6beTpsOtqlTR+43mloErZqva
KvxaNmnWKZeerQ38B9JRjjbh3utplGxnKTn9TSTZvYNSS7KjYCrCidIQ5JLyOi+YwEoQ0XQT5o/W
gMbBWaS96/Sx2MciN+jGdoSj8iSirgY2l+Rrw0sIWDgYUEYGAMiwnZ3nUUC7Y3UpK69t/TKpbHy1
Lo2ke2a51IepdqQ/dU0JhKSQ3ZuZ6Ak3oyGltfLvv52/rj+OyT0BxzX+Er6fn5dkQ2dwkI0ye4X/
pzq+BwTlhaHohMjOV7aUBXyZSYlQ0qy8TENKg+ZkE2/8Vz/Gj07t8wNL2pRjs4Fz1cTw9+MDi7Gg
Fe3s5K+hsKd+df5CIJfFOWEPil/VefDu64aCm8mOw3XlhePH2CVnyXMya/f/4nfyixeWZCxSDEsH
1qSfHbszfTRDSb/aa+So9l1ta+2tnpO+dtBBLtgX+6s+r7tDZRZiD+FKu+xA36BIEUu5Tqg7xpBc
yOGYKL3xhnO+toA/Jdndv/gpf7wDLL8yG3uYxSuOZ5pL5U+/skFQq+jVZv+KSFRHD5wsrDbg4k1z
d6sOV+StCOHIdrbdldtY5Vs8q07mz6Feya3hlO2j5RGMIriVweihnZUi9SzcNGmT8+uOUicwa6Yj
X7/ofzed8/9o6xc013df8l9av4L4VfRF9GPaAuLT+WPfEDn2H3zpWBRY1L+FJ74HvvF+Y5V0vAUf
teC8v0UugIAvWpB1ptf8pfQDrBRvHFS4r9i43+E9nNeL7wcJtC2gEhAlOMqQXOVc/lMklHbc5eqk
Kbso2SMZP2j0O7lO1i7V0pQ+jef+J7lUQVmKcdss5VBN357mpS4qWYqjciReqHfGZYEE9DBUFeNH
e9bkk02ycZngxwbF2sJ4GtW+/ECmYi0KMw76SStfqjosA1GlGm3cjcaVolInpdxZIROzA7XwVGYC
Z9MpAroPF/5h6gjTeMD0m3/R6kqtdzhmNXU9D5WjrZVEceL1+fv8dz/+/4ENVChC/zxFxINdPBdR
+Ysnm899e7ItnlF64haTNRvRmWz47cmGlUyggR0K5XRBIrPWfSeZEBchBc2jR9oATud7lAHcE5UX
AYlkwSX/Vtr5zER5d0ZeHm3uZZBzF1bz4qjRf9yjXOnIgXGms5sR3t191GhI98T7K/2l7LN1DJEz
i+JVEq47kE1lmaR4WHjl82GdWCYSuxUf+F8cA7OttZUVTa+OzGEGeBMe9jx61RJ5a4cuBZr2xNw4
SpINQuS27F6U0iScq6VbLt8b16UbIsvcR0xcG4ZQN42jbAZVbLso+5BUWrjVs4pqaPZTYoTeBe2d
9WoMs63oHBJ8RQdJad7lQ7zjgz1eQHiDjk6f7SB3eRzfuVp0EsDPQ0SDMS5uxIT8IVT3IN3ldjg1
B0bad1lnf5La9NFrxGvIeJ8Ki2diLhsxGBunzpij5tez1z4PrseUjYpQw9iXjXppVy9p3m0YpV6F
dGkJB3ehkWDX6+ReXwANrgifiQ6Sgzb2s7B8J6y/2G6CGwBpJCnXlB5eKF4ZmJNxNbXmoSzI3FqE
XF170zpZurKa6IKWWk5y8wWY3itmXrpffKEJz6ddK/IjNx0QaeJwO1rOSQ0T2puls5qFfNYqTnmY
FVdmmN+PanHUadjQ8/Fh1LqdV0tWM2ZCo7J32+otL5uHLhtO3ax/IKJ6ZLvcRBSz13m6t1IThuPk
p6Gz6wgrBClwqHFGykBGrA8ISlApPLKtjnvdKNFGkQ4tePQJS7Nd9/q07sr6MOjwtgDQsmnTwOcr
Nh7KMp2ao5pTW6gN5A1u6sjFrO5b7QLf1hcONy5/kNzWGc8tUtA6yKRwMJV+YWIOCx6ztnNrj8ma
NmrMmgEJfxUm/oLUrM90zS5z9uGZuMnpA/rm/5ZAlU2alenvlsC7Ps+T4fkXcMjlc9+WQIBNDGKA
33nnai6V48L3JVAj/co/ZolEQlmCKt+XQA7v0NhBTHtnVPH3JVD7A/s2hwLiDISEwOD9zubOWOQH
mYAlcCE5kRBg3MMZA2j1j0tgb2JPBv4DbSBvxb42WtrrI0q0Y/dC753H0TU3WBr24NnidSrlrvDS
C/p9FsyqRylPB4+7S8WzbU2PUzU9TbOn+bYuV0YmnpUo2nquUvu6k21yJynkG43N6gt2SHySvQbm
qVl5bg9klRx2V9lPUC6eeiN7m9TsOecGJdAyE+EEOewmLonOI/4CCoCyTVg327G1l1b05Eob9SvZ
K4/dMB3NuToCdg1YWD4DUngcO1ZEYaibadYPfQTRaVC8T7OrwfEeVpgm9lXRfC7U7GpOKZ9WKSBR
zeiQxBIbYQbyvo1PehGdUlXcdIb76oRwmxKo94oT3c15gVNL/ah18zYjYh/MprZvwvrCS+tHB+9a
wPXsqBcIfKUjPjUaxYAYwYlgl+3H2Jq4IEsh2/HGzKk2DDpVCntdSPzZ604J82xVdr3d7xS9zFUU
VjPsbzGVzVTLi0lZK4vBw5+kh45tkssnOW1McYlfuAk/kqo3Nw5eJsYu1mWVssPUzG4CsLxHu8/i
LU+GvhHcKzbAf+8xSB2KDiI1csE+HRfxPqvZ19Q82yG7JWupIcHElbl4QAw2pNCtMAZ1YscC2fhO
hBGENpj2UnflU6im6nrKi8smESe7N8KVjR6xJcgeYhnOSfvIdq0qjSAeAhbUmHSxg2O466Rigdar
i1Vss5z2nbnpkpJSQ2y3Sz0UjKs8WSAI7JaN9hQP0QrTP9+oWd6akTKv8z4u973aR6seBoXfyJp0
OTyMfWUwKGs7GrQFnAqrNK70sNoXMx5VIOLlHicdfvxcVX1vtHdO0Zeb1NSvSihIAQlMBtaOe9UK
mlZN7DKDOjo4Qq14p9pGu0pcM1tHEzBG0yZsT5XEtBr1pNl7afK5rGhwZNR6X8dZ5U8pkDIH3/tN
7DmUgSEwAOOIygDJHajIzD7KTBZcBdIIhVLutZlZ0cYN468X4v/6UyvcvL9bsnfPApLEr0rmls99
X7LJvRMlQEDhdnWmbH1bsk0aPoi/LlciMtOILN+XbPMPJs2sp2RVaaVh+f6+ZBt/wPXhzsdS+/WP
/J0l+6yu/XgfWwQV+DucWYlt/nVS2CQ4hCpnF3lupWyz2e4vosn70hDHqv3QCRnvzRJf1dG1M0Ca
9YQ/ctvrQmnpN8vdF6ERJLjwGhjz6WSs0IroPE4MfedI3Q6GdLjO5+LZLjl+5Xl4o+eRfm2HKjVt
ugl4OuuOGk7wna4pHP7m6DQm3q3iifumj4tAL/I4ID414UvWv9CC+pS2/TMWyTqIe7tbN72o9lZv
Vu7iBy9T18/ttoCH59YcWLs7NojUORq4wel1Gxg3y81Up2Ve8Nq0sbFyOy1wIhCEQVKpRnY3dZzk
XsJc58hkVaOxnyJr7nbMH0N5KB18Vc9xOm4b1UirhyQbR4tzJXM5cOfis0zN5quI81//ZoHh/bs3
i5rZ4lcv1vlj314s448lYmxaGvwGnOILOu77i7UcgbDSMHC3lyPJ9xfL+gPmBJI3E35Q2iz8318s
k7MQyT9eh8WE8ZvwK21Bbv50HcRaQxBF18jfcLT6SX+bYVaVpjTCnQgrrK6qG8n0WPf2dRJVr3PV
fsFF27NDgJvE2F3sCAqCrgJBfXIUIDd4pcxdC+cFs9yQ+pXMEhrAzWpdVmi9tSzFSgKtIL4/P1k5
hcXwX94qL6VzOE2mQ5a3+3SYd3qqxBSaxsOWQt5N1jnBXBU3OJU/6qq9GxzxYFrlgyFi3DaV3HcK
3mU84snQfqyrEWf3ND9H9Xywq/KpHOSbNZZ3blyvoxqqfDtDlAeQcDE43FHbuC23ZcGdrNVql0Bx
aK65Tn7RZxTbqYn6VdJnGxL3H1pFgLAYKaKix3NtNOLF6XEfEmd71toqXpvxgN6dcsQaqFZN5Hhb
8DsI1DS+zgDNzU59O8/Jwzz016VTUxzQbdyy+DgM8gWzogeZ0n4e9TDNMYRmH/QWmD+rsLhx4rla
kzyjCVl3xKrWkyPxJOUpxZ1w8FJqL6QlH/TEfSqFupr7ceeNJazf8NaNvNMYuvVK6ZK3gQnSFzty
+kDjTBKEMo3XHL/eBPOzI2RSa9u29Qdrit210Rs5J7y5wWnvGNt2qKJNPjIOAuHlGgQnsy4xnsIC
0iaUYde6iBvu2msnzVNzz0C3yi50PLK9r2ogIqifSb1ua+JX33MK7dygxZpW0X3pWXR6qQboXUPW
yf9UKTKgi276t/t7UOa9eEmef6FKvdvfWYYsuAfMq88a0sKx+bYMUXDHgsJtjW38L3qrpcLZY6aB
Rr9gNL8vQyDJoZwg37N6LSUAv6VK/XV/55LDWBEDFohfJjjLLOOdy2tWmC3rpjbtah6YiyI0StOP
cUkfMyVUG9+ovLzZyxo/xqhlKv3EfUN0DKiel9nwpnQ9PYIVQCTVY1oy3rK2f2gN51OZGFtHLaNA
aVs+KTIffF+7qeyq/2RN3XHAW7VVnRxOuKV/sjIT8JKQt53bFU9lpuY+Y2AOpqE+7RIcoFfNNDrb
uRrDCxl2ZdAWNudZoc1ravVWuLYISHB2vxpMZVxhHolWeiuproPk5sVyXnNSn24aV68DrMkxlXb6
Bbaiz1rUzIEhJ7kd2p6bD2O826kWwzO+N7GW0/TIJBnIHn/jRBo22UVlH2E09gCCg7lqo2NpDlb1
1Qj2X7apv38r0ByW5/6fC7xXry/Nz6CoPz/053buWQArmYOzLVs/lTBpKgVNMCxxRHJIXjj9/1A2
QFmCzyEkurwx4BDeHZPV3zkWMzv9cfdW0dlUjhZoGSwUUHOW3f3de7P4yQGixzATxewN8eWcNbpu
ZwSh6nQqjoOTYFwS+2QICQT1ilv7CAny3oJns2/nLrzLBSXkfsGPf9loqX3Sm9Y+jrxRJp4spQqW
KNFAOKdRNgVU6Q9mK8RV4zp1uhp0r994nZtc6aNrULPbRJ1fDTPsRC1uA2uyjKsuElZABKLeqIMr
rrNMLa47KftbjyA9e+YUZY/NJOXBVOhGJ7hpFx/UWoaPvRorIPDc0rvNY1fcNnpH0COb90QIxi1M
m+jappHgVtXy5naMjHBjePz4c9iNa0Ua3SGrPGiV0uB2T2CDvdqk0ybJ6vy+T9Lx2XFEvYO9H3LT
hjZ0XddVe801KH6qRdYTnChTfDvRoG+82NHuHKuOCc3b6Xogdhv5ilqMxyaS+hHh8oEbOpg/XLkA
pczB0AOVOo77ouuXgvbxhQN40/oG/uAd4YDkWCdFCoarstpP3GroJ6n5Dh/yLBVXrhzijUI69tAI
3Nd+PJFYzAfXCRBmXBclVkmuda9Nd0oenWSWInoTNF3NsUX2G0Fup8pSHhG8+2OhaMlVrAnbRTqR
E7eGut9kRBpogs70k9uM7W7S6+LSqVV5NBF6d8wujGc4OOUh9bTuDtNPPgYiU7J1oVcd2edYd/ei
MgFwa7W6qUmcEUjKixulU407Yn7dR8PT87cJHve9PvTJys7G4kSISqF2keyypXa4H6JqCuqx8K4R
fcUHPC7DRnOrYlV0urqWQAG2UrUWracZv9SybU9aV5XHlNQdYekhIebBgxOhfnveZ4MQLhDPRqux
QM0GoD48jtnatIv4pmhJWyN21N16CsXsC7UcNlA7Z5/T9fOgD+5FQeBni5ZZXZkEiwIw6qAK9RlT
XhuNoFFwLa0Rz9JjhZF3l0eVu1MHO39Niyi9ViuP6tMsmk+ZlYIqT61Q+eyWBip5GLUYdWpp5zRl
O1Z/UYAbuJ+qOD4kGY3dBlwFWOg5FlRNqE/NmI5H28tUMnJtf0mYH/9OWdXDDbr6/LHOK93Cl1qN
F5WFI8hDIjm5tek3bhVth8EprvFodLc6+KJ1Zhkd0/NhBnOqLex2EHA9tISOMii77Ziet7JQgPO4
drg30jTcc7dv9taUtjkjfs2c/XCssUjZeMofWUaq66nI5x2JF6JwvbDWeKfUSyfWCrntGW0GTp24
6yae6pOIRHRqYiivdm0bn/Ik9zKfd3t8akOa4TFj9dMdqRAjAhuaK+s51eKdZYfi0M8DrhShODIM
BqW2hg0IbPUE6lXTAsUCjXulZG706GhFXRGbKcOK0X4dspIk1czco/ySc5yifcoW46UxO1RtJZmV
ZCtST8pjNLStt07hlISQY6NxZSRaWgYzsWl9M4411VaVW41c/FXtqWnDoifyrTdVvcltFLHxEuMh
2Eq+uEj01HRh2oiEF0Ryst2I8nfMCndhS+DDfogcUXW3nUFL+q4k3ZUUh7nSW2UOOjcVY7UymbNI
GubHyP1sRhnBmCB2clXSoI41BQ62W1nMoJS+79IvE+AWLdsCDGsazoBsbv/uHf7/qIsBWervzgKr
1/xZPjev7w8Q5+P4+XPfbvfLZRxDmK3aTBm0c9not2O1xb8yCGPQ9IOs9v44QJX5Ugu67N008TAE
eX+qJuSgs/pgf1j0uN8CR7I4/3g8WAYdnFb40RjrMF0+kyXfHQ+S0WbaOUQMHrqiCmAMDsahNFIV
1RxhPO02TWsip6duaNsxmUEoSb5rpNO1YUEAWHlVPWpBhLiLDubiv+9zoO2dcDOGwuAD6r39Rvza
YmJM99xz1TjLZDOsE+2BMCQ210i9Qdffd3WR+BphId/p69JvjNza5ua0JTB1rc6u6U8xNnJpul8y
IDHZioSvTqC+74wKSNbiSm+nB9pSJSv4OG0TxdUfugRfnC3cHX7va7gIe2oeeVcxR5RE2JmaHsw8
vbUm/kGrt48ANcYTBknzVea1BLcKJ21C1oj2rUhnPyEa92gpTYM9zTbHFRuHfRr19qqrsogpcwo1
Zkie5ixW+PPLPOgApwUMiR5HtSqDam7vMkqFF/Z+wNa462saesqqUDkPWMOKuNwLUMp6Haq1WFuo
FAGJ7RMh7mlD0rs/9or1CBtsCCDm1DsZjyzg0bwDzYfWQX6986JVoTNJyUp0vXC4K0LnIzUDEWpD
YjNHn2Y4406Vbdy8iZrj0FFAmBbGpXauJFzKCQ1aCvGabKKltnDIy0/VUmQYSftDb1kQnEfjljTG
rqXzsFO+jNGhI+N56RXcxIhTw+9OolPZAKlWLIVJwZwycHawGlpqooKyy46DirO/y+YrQsa3nkWV
FjLWqpzla5enVgBmKj22ScbK2LInkfEICFk6K7uzGId4iroSXnKVQlvydWV+qTvQNZOjeCRE1XiF
zLlR7bDZGHUfrvLMFGv8OB/DOU64HbqX5QTiBpzHB81rPtPU9OS0kg05L2bf1JXnbHSi4P/L6vkf
Z4LB4vt36+KpKIsvz7/o8zh/7tu6iNPFI0OHIwv/4dfW2W/rov0HFNElXsTGbeEWfzdOYGYAiYWc
uUXA96sg+r3Pw3EQKlksMWQxQLR/6970U9JrMdnwIxCLYJrM32TTIPDDvUmYeQ6kx4r3wrJL7WMO
KVtR7Yaeb5OYpu8J/I9b3ZQwyqtpasqNkjXVwaa/o6/Km9IZcn/qxy2y/WrmyGmX3m5Iqn2foS8q
0a53rL2ufwC6uHULsbGbmQfe2JhudJm1zUHV6P9a4OWddxyimtUn0Ymp5pcOsqrWFr4p+wuw2Kts
sC5Jcu+E0V+YLbj3no4LjBKaRrIsyx7tUV14sTt6bq4UFjJfdepVqFUHFrl167nXgloMXtN+o9Vy
XSczWFzL8dvR3pYlKRuBd8ONDniX9z2LXV1bG3NM+bmII/SWtzWyiuGkbe0LLTuhyeyNXG45Pm1k
OgRJ125SUb6EEHeaftqiU43+aJY3JJQ28IFOgyYu3WEo/ckrXkaXMFkxcLisPSOIxPw5V+SHGnq+
hdu9MMoTWJZPaLf3TJ8PAya50sxP8TwvO5LxpaQ5LrctYuPsB3M8rrgU7qs4P1imCjooWmtTvFXy
LAItRMdJY03t1gzLW6OIxn1m2C9CaDjVLX+asgA3PXBIJOZ5Falchxb+hNJj8QkH5ONRuYdvdalo
HA/LbtNPF3P1MYr4HH/PqteaTZXMfHmauoOf6Gd4atlOTPDfXVCrNZpP4pxi4n9+KdUV5Blv3Q0M
kVJO8QHpRel7dqgtEIDRJ082bc12KXTMoiQgevscpkX/AQsZY+vZ/QySnWajaoxX4LUukep3asG5
tSi8HYOek5kMRuBpfbFqJC0STtRXjN8HtPrEDpyYCsu03wiAIfMsTjJJiITTSomtEL4LFX/eaiYw
thazrW1kYbIpOx+Lnt0+U8s3JVICTNJhkIiaOFmdcL/pnvqmN/etrn3W3SUWOBtvEx5xproDbkXR
ylWZe88KEnpQcmbyxejwi67Lfi8rnPEC9seRG8V0m5/bbFRz1vwcLI9f95Td1PybTbkU4FCbsIch
vYS8vIdY0Dc3hNWhOffmzHLub5OlTGey1KVX59yxQ4xfUTeSTTHZ5EsNT9Q3p2kp5pFZ9Wfa9t99
dP7PW/zVv138V31Hn1vb/uJQzOe+Lf7GHxw8wfj+2AuLOqaijyEmL/bGH/QxnWZzjsKMdoFannHp
/+hxwvnDhOy7q/e3DsRnGfmHMTJxEnTmZRNBOuNU/OOyTzaiR06up11TuJkJdALQQVyFItnPiW72
l+MYjcNFuHjIhmiUvsrVq/cnQxcfu3SirSzuR2QMQ1ISs85Bh2g3Uk1bjshKhbzQkO/oPeu+MRJO
TbCe1AvAHCiz+SLSame9Nj5rt/NZxxVagasQabcs5SOPtlhnJvpCNn5QIVAsvK7Eryy7uzAbo/Mt
PYLJpbunMCMYUvE+XbjC2hlqirRBaJGTEJCfekXYKESVAaFCTdTEmGlIP3ujwlpHQ/uuSNRyr6Sh
uYmG5Hma4tc8zetDFqEDTFleX0ojKl70yqp2YZl0+zTGEsMozfk0OmFxM+nGq4SMtaktXeJv4jxM
6YZ779Su8ShdW91HSfg0EFjZ2EBEgnQo9d3YWLHfikbZhk77J5j8f6/iEuH/51r1mgDq+Iv3kA99
fw9xy3MMgybGlZIr6veZDw49IOU47C2L/sTlOPUPsdr8w+LN5R+hVsM3eF/SbFDtjHePrDanu7O1
+Xc6Fc/R0x/eRsjEDDRx4pmkd+zzaPrd7RQ/F7nFqXN3k23WkiloGY/EjQDIAI7BhTVtRd5IP8wY
w/ZNg3qUs6E2C9gut1TwcJYQQdnYSF5lsQOLlt6keaVcJIPZHXWh4xlLtRLHcqOaB/xdCWcmRpyA
Lau1FN5Tpg3OJh5526uqmwMzTsHHpQAd6E2eVxDGtp1FwVndx/o2wmLxkR6Gdl07ljxOKTMgdage
kWHBAQ4oZyVlrYhs9cuYh/dKNtPmUeRTkEmwWRweHyB1mL5nfSbLWRAPiJNV7cXXggjWio7nreEy
1Zrq/pYAuRpIQAJZY1IhxDUmSJQ48rtQfSzBjWZa2eydrohg8clXu87jS4h+7Wb2ivgYJzgMHWhb
O56JfFPTzfphMDP8ikryJAvVfo0jmWwSLYqpWsKxVg1w8Yw5BQvkYlcb6qI5cZCbgqKXF85ovRiR
WWLSksWWiz7J72FWL6gz2iuVwwGjXptM2qXWvVlM3qU5HqQin+sQrEvMbL4c6g305WvN7vcOwBuo
B+KBpNYDXIldM4Yfiiq/ySY7qJj6J8v431iMAAmOAKZke6exxoOW8D8f4xrQGmHTYjc+SZWT7tTT
FVMtJgMbKMu6XowH9tjS3WsoybZcbAkFITi/kE1y4hQV00mhF7twMTKQbWJUjbchKcVrg9chmyij
P5JqMVWc2V8FArvKrjRCcOMWuFWj+vCD0EQ5k9nlGoN8WG5iPWzanXE279TdXbq4eSo5IgsioSSu
b351/MCCrfZaG/Vre3EEDaF8Vpf2IqxCBSZpCAtVHPCQFUGIocgL7VukhpO2OI3UxXPU2P2xXlxI
iWewxC/OpAyLkrV4lTgBP89Zd20vLiZbkM0n7Q2ERG1xDWF2+t+VV2VwBoji75bap+c2xuHxK6vP
+ZPv1lsyf0Sa/jz+/DBjx+JDQypFAGc58J3Vx6D4Flsbg3RWQN6hd8NB/Q9ChCB28FEDP3Hs37r0
csj5WQ3ElI1KySCSbBWtD/x874eFQkMMHMvMoFgNfuICVMxPdUshfRLb4VHp29tsig8s19cNC03A
MEP1aUgjuD5twyp9wYX7CZbw57gDBMGoYT/r9VoJC5PapCluwO0O8/VYa4V73dUReYwp7kuwX5mT
6Gsgxc60b1KGIml0bPq3LnS2OX2xzC12kGUpycR2PdvNthdm0GclIebqXu/EppTFiuznNRMnn9vk
qg9pUXGS69GUgRhBh1HA5Y+MTmpaFbZJ4wa1HTEF6gKa3QK9qvdpmu9jOhcC2+xvMgK3BF1uvVj7
NJjjTTo0K7jpV1GHBMpNdakqBwEpWJOJj1+kPV0CtrFzByHo7Z33ptmsG4ZXfhHHj7Pa3utK+Bhp
buYn5LMCWsqctQUdK82SJLCdYVNp3mfbLfZmTq1CwuTPy+CPqIpxMwuxHY3xvmdYQ2XCQHRk3g11
+3mwynXIfdJHX+bP8N4a4V6H5UQ7oP7QMEyE7ip82x0e+jlj4iRvXYU/WPTDtVMqh5yoSzSXAlzM
HF1oafsWGcy1wAR/Zp0hVW5Y9K/RxU2+nJ6fuA7ddVhbmCdV/u2ouspie6ISNOmuGAT1O3jIBpcz
9RqPuvBNA1B37yX9VZWI/rrLq3THICSrfShynHszLvheVrkPIimagOYFpcUkbl7YXOOp/IULPd0L
izEumY2tCy0ncELnzYAZsNaS+kPmmcHQ0MYY5hg1W1DHWXlIxvCxzrLALtRdj7g72EidBI7hajYX
Ydiswsx6gP9wBNcVzI3nW5IIdkijsqlfJCgWWTvc6OiRaakfMKdvZyW7VnJwwl7CY8RTzSx9nVvi
1IdyO9rtWj8CEqa+UC+vNJe7dW7TGGiHN5q06GekDhGmRRNUrRnIrLmM7QE5G7cJk9UQHdNI8+uh
pnYVb/lVNVsbVe2pRq55LMRVnDaJX8J91biEVMLcpmGy6Tt9nVrKI5wHPxLNIxzddVi58O24Z4/M
o9i+P6ayvew8Q6EROspxysMab+GOOlZ042Htr2oQFKOzzktgQnQd31GLXLsnq/KuJwpZGcmf4jQc
fQs4AuNhPx3SbUapbK6lh9TOAoxbBzI+p6jsHnKDUstGrDtctwTUdQxuyVahTGLXiGlvuOFqMKp7
TWiMNvuXRnEuBPfvtFffsCDxAHjtIjatY8a/qfjI1gat0LgxtDhQYu16Yua9hav6cdIdrAP6Hm3+
ABV000Q6I1wqk3yc5HeKwmFlFlfQptZz262jvjwwNlvs8fGdFEXuF1ZMUxVFielWzE417WCy0WCF
rgSQ8KGPxooCx+QO6+u9VVpracx3lCbOG8jWD63dmXsPGnA8EC82Kk0JtGV8D0w0W+kzIlsdPYZG
GPpT2ZwoZgCOKiciAalVQIOZtrmucpow5ssQIBNQc2p8p0I/MMO7MPqwXVVKuPHssto2lvhUReW8
gnU1rXu7kJwJxUdCI93K7fVr08NrAY3mMJq49NJhILTtEK1IwnlVSS3bI3moG0XcxdLqt9KuzA/U
XdcrWVM3V9luSa7K+wy+rvjflv/nFA9/zj+/XW2a5yLD3vuLCxaf+77he1jmPbKeS+L/7Iz/pnKb
f1DBYvM2GDQ5vK+sx9mrImFTawueiavXD85ezHZcufAIkc78ze3e4uf6ydiLEwmygYvfiEjVGa7x
7nblWDEVXSKK9nopjjMtMHjLNQL/mFDMnAkOYHhOshyel1Pt+YSrfz3tLgdf+DMdU7LwbNN0zpZN
Zp10NZ+NnKBiMXVKV7H34dnqqZ1tn8bZAhqf7aBGq0v1wJoU3WbmbA0nI5vkuJtt9JA1PAytu6iU
MV73Akct286zW8JqsVPP3tq9dNde39n89dpnyF2XeHF2Gf45NZm9N1N1S30lJBDRS/RxtJsO1n+7
zjH3TH7ZScQR+f/YO4/luLG0275Kx51DAW8GdwIgfZJJK1GcICiRgvceT/+vkyy2fMWvO72K6Orq
bnWSUhE45zN7r61OpXzXWVK9JR+lKDZtbMzTOmjya2fMknsNSLenOd2HsSUT0ooY3/p/S+VzqSxG
Bf/y3oC7+aXVhE+9vTUMAsVym7Cv1zXPN2Uybw3oPY0swdc5IMOMN3cguyFmGDojCdZARP5RQX/d
DYm8FHB9lMgyUUvqn+yGTLH6+X4qoSMTkdEKCvbAWfP6bZVM2aUni9wb2y7XoDpWarqpWA+ZSacZ
lD2y3DIl7fGbSMjZmXlPznMi7CijPJdEQAt3BUJ7OacsKw7J2XzRno0YQa4ZiltZC45as43V06CT
mqwh9Jn15klJ8wdZsjamOhP9rN+qS5r67O+PqSY956xT/aoJnolYHD28IxvKMpkBg3xamjYRU8fT
DLNUi/RP/ULm0azf4zy7awsc0F3jXBjpsMvSpfUiFTv2SFBzy4qnm/O1OpG7OlehT0DYTtXja3gt
q1o16bknXIVa1bpqVGmkCysFcp3UhxZ3YGPM5GVuYJu4czs3KHZ6ld5WiePFcv++Sa9v0r/CBjYv
xUv78iv5yTesAesdr4RqmlAU36TbbxeQCF1HEGryxnD+c0t9+yop3FaaQCsBzOG++fZVslFfGzAC
+OB5+PcHE77zAO+7V8lghCgTF2mahDlC1Py+4YRipo/2OFY7AqrSq06FODQmWoaDflBCF4lJdSgb
sH5upifNSmc3KI+RsYde5Y10kT7pjHVPIHupTOQQMEJZV3k/T4QaT065rUwtIYbajuvxwsb4cqfA
4WKUlKe0tOk5qTuHg/4IGZ78bgZE8yGRpV009FoDz2tAkoW7a3hkOqmeZt1BKYLDzJVQw3z5+wif
H2FR2Pz+Mjg12QtJKj/XUOJjb7cBjzBDah5DIhh+wGWIR1hsijBpn60J3z3CYovDjom9EZprIWx6
uw00PIl4yP/fhiYqN873twG5mJD+8ERiw3L41/ePcJCiVqZlapkfGA0rVfGcqUo7jBcNRCzSFc6P
ooJ3Br2mLVmy1y0Mol11mON0XzWGvnxRoPB/qhgSKzTkkbH4Rc2Qt6OHYbnpkdLAf+y68N7K1SpY
tQab3Ee5MoOR3PVIPhWNGm6JY5SyvzXKP7U9xcHvH8tN88LZ+vNTKdBTb08lmw5BvxUFNCO9H1Yn
4uhEpmfAg+PU/eapJCsaIx02P7JdwFWDKfjvU8mKE48NsFtEgkIM+AfH6s97E0tVMf9x+kF6Bk70
wzMZ13UNw2tQtmmIBBHjnSJftFjB95MRFwBWxrY75LVE7FOi9lue7nFjzMPiod39HBnaoTWj2NNy
q/aCaZmvKyIyV1EV73JHnjwtwLbSJMyq9HIOLxc0gy6EWz+lcFnZmRO7ej4jQOCwPQySbm1meegu
Y2GRgcceupWwzfTCQFOz5Yf/rnod3po2heXaJFK9oSc4OrHeP86YctazMOWENCW2sOkU+HU6fDsZ
/p3ITHhHFt2oGBsaEmpFtxsNM151ZjJ9KQf0OYVNIFFijF6IDsWz6Wq8Phk0dyTob0XSWrvJDCR9
hkPOPSZYyUV/bbs1KWsgG9NmZc3xlUS3wdBoeqirPBdSHNv+CFNk2E29EyFzzGnn/FqIHyVyAGK2
R0ITWU/TtDzEhRWUR4UtwrL9e2OcbwxB7vv9q7l9adKYlcvPL6f43NvLqb/jzYSupKKPZccuJuZv
VQ/wJSEPAynN64nZlovmrYEQbQdcAywM3DUg87+5MtR3vErcQrTsFl43bG5/8HoiYvvxzuBuAruL
xk1Q0vnb93dGOy6DMYWpvYU/au4XYsd0OAtTuXLmDCEYe/73WlZk+U5qtOIeY1nT7hs5ORn14DEJ
HzC3FbKH6XVcZRD3VoC6A0ATyu0gyu68yg+SlPqRKMhVvdUYElOkx1TrZG+EfJjZsZ5eZ7K6w/yD
YmnOV/y1lgjXcDVq/8xM1tWotVxV466nO0gZIKCp7O4Cy7wf6B8S1fw00U8UrXSSRYNRMtZsRMth
yiIKKcKIEUcvQSp1fkZ/4ozzkUDh1Ddi69YsFK4vZ4MH98Gs8cFjgSBzpMXMTtNTn/sfQvta1q5n
q7rUpuG0J8gcOpGJzlPbScLZDk4Vk3tSCcM7vtY+9xxs8PbZEB/0jnxrz1B1H8jVs5ITBtMu2fLK
a15j50pPnh3jbSJPNC04tH3GWEHOy5D0J0oOxc95PFZdX28LST3GerdaiNbBTzIsu7rCpBpEzrru
5BuGbV8Wi4EwcCsSi7NEwz5MFlM02x8chywtS2UFnSYZZuIg/KjUJkALLE1xQIjKlPgmGKvCyU69
JGFmNllGlPwV7gfNuTNN1S9twZNuDHqpRCfmb7ilnQT0EUG2iirlWmmi3Bu7BXpoFEFkV2/nDAV3
lx8iCbi1W2jaEp/IFEV5V0n2BdupT1lECkWYr8lpOJpDvniyE6orRjsVwW6JbUv8EbLggBGTiQiO
3BJMC6GoTQaCwG7I9fGJGGHpMSvTckdMhp56SVNy0HekS5V/z7nXEkQQkH9/zl3GKGiFXeOl6OJu
3j3/3//z9WNvx5wof5mpMQd8BQdwlr0dc847VabwpS5BwIqW9bs5iVgjonvj+flhToINEcEFYSFU
1CwByXr/g2MO7e0Px5ywNdArsjRRyFM3fpRvED0DH1lK+p1cSI8y6FOvzJ2roZGu867x5Sr1NVOY
2+b5QpGLByVDbYgOXO9if3HCgzawoSkxsbpN0vsBdp7BusjTdm928g57PVgi6mi7UzHvakTAON3d
IKvrRG0RpM/Wc9R0OwkPkWuKdjGK70pZQ7JbVm5eWtM+DCrMeNJ4qaUJO/aawUim4+KCFJRbtJ15
5gWxTXcpje/rRHKx5BHUZ2SHkZm9KeWPXcFqJ4gHeydL4SaqaxS20b7nLcm79lYJhARKEasUKDtM
MT83WHZsLScmNMYbqbOaInNWcpWuJsdzbLfSOK4HLXmwoAcLBaNr6+2VHY9Qp2X8m7O8L9NstQzy
3ZTwtbUd0PDN4ISfCS0FM2lkHyvUyMPI6q6PB1h7BS6O1jL2uC+3k5TtiVcijA/5hpF+aG2S7xb9
mC6VXxeIL+RFxXQcPLHkQGZQvu8bPJG5AbotX+MyqNguYbxaiukgWY2fmfMXcoZ8JCgbxlXbYgyv
wybeES5zu8RIu8zqImxqP8VmGAyqb0+5F2rhMRtCjsmWgXLVX0YGhJNBcoN52hTz+F5dwlUPAd6S
0IUSW+YvZnSUtd4zhulpcoxN3pOUlFg3yE48bp0jvDwsgTaLHPu91C8XbOGe2eFcJ6Wxnlvgl63q
y850rXSoO+QFx4fSuqSIgqZi1L0YblOGe12eD4GlrwkYJPI57dD46Rd4PJkRAJ6lp0osB4eHaLSU
c89lS8wfHu1zL2aItizBeOiSQ8QiHCKE/aDp8uCp/Vjx3Zk43Eital/X/FOucn9owoALR8v0aK2l
WjNeTuhUiZA1cnNP9KHhLVFYHkKjl1dJpJE+PVfyNklTWA9paEO5y4I9M3L4fmXI85t3qEZCs97S
VpgrVD8MCydi8mRpzrZdpF32cm2NHtBPfryoXDJvGKWF+eJkJxdVRd0bEty5A1XOMZ/THPT2XVYS
71ByxXkYitj9qWH5d2T3ejyLJcrvT/X9y5cvL037q/m3+ODbuY4xDIQ60RyseF5L1Ldj3XyHv4H+
EMixRXDM96o8XbgVXv1iVJdfO0vtnQm1iZtCwGTOuto/ONV/BjGwkyLAAUEKxTO9zg+1KyipWUuV
Od3FoS1AYXpkVOugc9T4ln0NUoBK0XrVI0YyrzaKpAfDKqxIHLsdwyK3vVxfCl9ui8IjAzB05ca8
rhozfeztSX+yWo7uJY+13i0lxblMlCnYEJA3+XVV1SHRKWzMVoR09eXBqns7ISlW1/qPVtGB/Gxo
+apdVc1S+gLKZNmghxhsz4lK1SU+wWEdPVg+MeXtzgyb7DQirKhUSm+zJm5RcsbGk3CkcNymjQbp
cy6iTZ5jSpACA8GdVBPXoJIpjIzCIOEITWDV7FuUCQz9iQdOXTSwxolSfB42WYk1fN+N0VydjPaT
FCHUQuchNeHnGvZlsnGqTAHJAvXbXE+tExlEBpKx195nXbLo67/NIh0azFvqmt+/bgc0WT8NF18/
9M+rRqLXO8bY1EcYJ0Q1xNf7512DWwbJgQrqVXP1TaOoYVBiO4sgC2kq74Koa/6ZLWrGOwsRF0Nt
NjhilPNHmyZLvEvfjMdlKBEaX09mhs8IX9Z/GI8rAT5txirGZUS0QXOvEh2WoytAZ85jLPUWqZk4
Qy5aO9UeqtKcQJWM2TXCIc+RtSz3m3jqYq+z5EDkJpttvctJJPBnXJ4G9h1CdxARB3ucKJRhZVYu
6XWZpx+qMb8xlehxGjGsWBr8WbOofR215GqxptgN6+hTaUVoLUmb922Fy3WWiS7v+g3qqBQ4ezr7
tI+3BPg+4ICvokMpJ8vsZ1EeTu/TjOjtPO6XzWA0aVX6EV/V9Mp+7ooLXZrN7Rwl21iPgzUKn3El
d5hDg2KoPqnJ8hgOSFGJAA08pSrWLTmO3FvJlgptG8fMg8gZ/SRrTYILKdD8Rc/vidb6rF5UxXxR
6mzMkD17TrakuFmDOwBP13kp03gPm2ShUDDvx6H9YGLZ1oumdv6/RKYwzvixLVF4NH//Ih5fxvin
F5E2mg99vfOYVDJ5EV5pDHdiaPp26WEVNATHhFS5s7GPb/91ZEPXQS/zDwRN3Idfp/w6IgoRDqe8
tkd/0sv8Aveu0vGTIQG+RWOiJFqdb7QSfaEUmHLbaFcQNmrD7hlLDTpsEMa3mpL1T/3rNAFaBaOF
UUwZEEIwcOgWXYnW6Az0cDeVlansDG425GtWZyUrEblQHszzrWbmBoHmhrjsCOhkKiAuQMnqVTAL
4lrsxAXZZW36qHBnhiX7VzlLOA3EhTpaTWZ7usX/fKue79yYoLpqU57vYnLHuZdJroz6tT6wXG4s
vRwOwzgMKDh4+4OrSA+Dwft76/DT57mluPr9w37x9AwW5hfCIPGxr487zxPOQ6rG1yrv28edfRdC
Ba4R80za/Pq4s7kSU0vB1GKBdS7/3h53FTkRHTs7CZVS7w9pW9rPPiiuG5YXXI38pYov993zzmtg
N0XjcKY2eo+ftEJMnFwvAsht5cbSHBXdeu77cmML8nY/+Lba8Pd0b5gZzkWleTZb9a4ctCMWfRC2
EY2Fs8J4SrC7ChVwyosnbSj8uQwe5lja6zlawqXeB3U0uYEzHC1k6525D0nsizrrJUmKS6OeiM+a
PKuEFj6I3a+n2dPLVDdumL3MZbuf2BAMnXVF7PNKLuyPlSwdgjDc502yJ4T16KhwbmNTvmqS2nOk
/jrQ54ulXDa9XNxi9vVjnJOlYexMJ7rIqmzdWCSUO6pXRfG+sdvdOCBqnMctsbmnUjUOCoO3OjLX
oZZukpblRpr3pCKHmxHVUvlgl0MHg3fqCLzqWqLMmyyebK+YAv4MqtxLH7BjtSghERhPSGCXCKyn
7LdB4OFWd/MkO5TBUTdS5gfpCm76wS4+GewYjOg2R86LyQDv7kd7OIrI6WS2NlGuryGBHABUnYKS
JO/F56e8bZMUz67mq3yXGOAKFoidTqreyP6iCAknym4qIGV1Y6+XCVdYesE/AFgAroSSRBhMkuow
JMs6ky8ZKIKRhmpT5WsltDC1Xsv9x0oiMCdhXinpIPFx5EpIh7tjjaUGxK+bNJ+1EG+tHQBCA8aj
tSvLeIS6umgEJyLWmmxssnuTGbDd3cRO5FcE9+XoWtTFHZojtgiEW9rOaT8k/Oh7CK9aGVwvQc+J
qbNSulHG21oyLohzu5uch3jYpc7BdFCMdbOzjvWTsUh+rN7xhw5x4+yQjLtz+BJM2qnq6w96EruL
lnkzbIE8iT0qnSavtnFwHBeCgfvmphtI4bqZbWMTMAvJQvtSiHvRLrCyDUJIM7ZzJMPjPtUK0gfr
8VTN7b6a03sMvO+jSN7HpgE02d5pvb7BToMYNBTzXg15aJXTbpvaBylgQlEk9/PMOrdprvA2vaSk
HtaxfF8DrikYNLiy2eWMp5dTHEC5CUfPmkegR9oGkbFnjdp9XAQvCjUNWzXgQ1agrEJ18RsqNRKs
QVZEONDlaV8sSua1neFpwJfbTt6HjRodmE8RO5KA7G9nBz1cx8+HdOJwNYK4caHwHzRGa97Cyv1F
RU3qLUP0BUHFbjbyNcE7N4kENwlSEJtD45ILFSGugjGYyvswhX20mvSpdWF4IE7vg8s+ilibyZVf
4N6m0nzGhU6IJ77uZuTnxTgtVOe7Ad+3ZeYnHR+4yaQmxRc+juPnChk59ijhXwc9NeEhT+u25Kvn
F8qSngJc5plRXxfCdj5oy8bBh64Z9acEX7puD16K6nvBpK/iWycPi7WHsVu6FBIFznab6Zobqum6
wvMeWPVlm+Y7uZV2Zdr5Bd54uYCPKczyM8+oinsez9A6YLDPH9a8GvDX51m5h/HpJ30CDQUHfoET
v5amp6rP3xuQMQZO1rGWVjr/gFGXH8gVZUdqXAyEhmk4/FWc/tKcnkYruTAZ7rvWXLP2cI6BRXAV
jIDUafcazABQnGujWYhnz9d6mW8U9aGDMGBX8XaAOLCMNXWHwzIDOipEgnNEnUAUQM26jidwTgJe
UJ45BsqZaWCf+QZCj5b7f6uCc1UgurPfVwV3QtQa/0rrIj73VhaY79RvPZei6Xyrgk2x06RiYPZj
EPciBC1vVbD6DkkWU3uslyQmkaXxtQomD0n8GntL6MKCqvEnVbDJF/q2HxVQDCZL/C5QPfBvPw70
Gypk2ro83FV6gk8nLbpm8KBtBVwitlbCI4DXL7Z1n6042Ge1+mLP+gEwAOPcSr3ChrKR+26d5vWT
PWv4N8bjUKW7yMSVFmZ3st71a6MwO2/Op4+41mx8Dip0nyHOfKvhytaNZbPAj5WawgQ4FD1GRfsw
mI43W0uH2lFtMEI4j0bdh14Z2fuEDvaxYsIK8S7WIw3/RBsdayLfwtswbTgO0Bx1Vy0wXrPsjEun
boLLOLWWB0qFwY3NcN5YzpjkbkOXS2azHfHKpmUP/N5q2STMRLIU65HKGqNJLUWnXpkv+5Q2HHY3
MgdkP9cYX+TFtYwl0FaTXS46kLU534xmqcV/S+5/5qo8ir9/uS6f2vap/0VXyqfeXi2YAyJ+VATI
iQnNtw0mWh7kZYh13hZpX18t+R0cbUp0G4s0Zfc3ox5dfmcgkKREFwGUZ5LBH4xVf+R0YghENMRt
gZoMwA2Jd98X3KlCDBJCABjtpuJpgPMiV4m12vITiFedVxgd+Q6TBQ1JImse3fplVnTKfDCsXNlF
sjwlHqn12nqecO9gc7myIGOuh6XnOoq1cDWoyz60LSw0xuxWJOzi2Mm8OjHDw1iriAVye/SNvF52
7AOwNk+yDwDn2Zq1p0ztbV+JF0xa/LBUNtwTJL7rbBrL/pNUdN3jTPjFl2HWqpVZN2CW5rHeA6PF
dBUpcrqaTEcltalrr5yoz1fWEBT3tAfRuqrCcW10erJvneCLygnqthkxGlayl0MVoMlNpwwHuarr
29ZaLE9Rmw72nTq5SpNt0rTTxJ/rc18UKALw18yjYm/quF9FUbcJ08nVSrXlzVa7m3Lm8PAQEo7v
nUWON6M+WBjn8p2Gr6bttYGiyCHQcC4/l5C1/+47/nkvmdP8y3v5Mv7nI7aMX7yZfO7rm0nCjvLL
fQeSHB1Bvw1t4EyX/ubSk4lKU0BPI9k5iz+ZCr31wvI79MxckqychVZH+aNL78clNi+miMfk0hWi
f3R737+Y0hCaOCUhNfbV50y+pT7cwzbiZLf82Alei6P/ZRY3VyrfjF2+ras6adwcO99/Mzm0Merb
fLNouZwx1RrOJS/L5pufwdXr/Pg/RZ9flaQPtAgHFMZi39/j529DZoqgOAD9FlG230yzwmyMh0Gt
BsA4YkiEta2drMuM/LQ2KjFK7qbQ8TVMnpOifBi6XHfVghj7Zl87q6md1s7yoFQLQTUVqYT5tiER
DMwvsNGQVWrxrFUVDp7iaiw+29y8rZwfR/VR66HVDU/K3N71lX7VlcmDFNYbIz6C4nSXQpY9i4VK
nk7Q6frx87xgZhdBtKFdbNKuXhn9sjObzBt71ZdkPA3j6Be940q6ua+l3k+D7mYSgQD2rYhWImj7
M27HwHww4B2nagg+Tl2HzXTKTekKnsBjzbaeQxCtFN1ofwqNO7k/waTl/MSqaphfNP3CiOwTAUq9
khyXKEcfqJu+bjdrUkYI3nG69xNJrds+rkMvJjyDo6TFt2SuVC3cj4azQgJ2EmE3yRh7HMtHkdnh
RKjJA1e3ig3QmGvTXjwjm2SPzXC5UxPJWNdAP1exCmm8IQkNGkRg3yKEJ3oaUPM6KeP4OKb18pzi
5EaeCTcBqnLrI5WXdueH5S88RRDffn9ynbr25Rc5jgzYvp5bqAw1zHOvJO+3Mp3drcL+B/8Rx8b3
whvM+lTv7HS5519HdP89sVRWTUBOEB/q4FiEd+kPaglOih/fb/SFdNSgU/hiAmX0/futGkUQNXZi
b0kHpRvNTBaUkCCTPvhYJPNtCiIzF6zIFmhklYSp1wLT6uVpS3o4zMu0rrdhDWuyAzpJ9kh/VNHv
rZfYPuHpRkLbj/kqQ/CyksflU2gE+IoFybIXox4phHjhQEpODcIhwV4qNlh6AxBmK4iYJE5jrEtQ
5cRW+iHSUNRGcMG32dRfotczT1RqBsGEgrQZ20H3vhP0zUpCchhNAL1KzcJ2iGBSf1Frazo1oDt1
wfAkiPEmxvddAPfk0iABMlxWsebsZPCf5uJs0RZGfNNKu+9tfd44ghZK6IDghg5oJmq98oM+UE03
YTyRItCxn+dyqNy2ZUDWLuF1FcmbIumMjSkYpcYASqQV3NJaM3eStFwvBf9LB2X8GVBw2rh13g0K
iAEze4waOTyFGY3AoWDg6hdhBOGciDEDbc/cZ5f6We7JhiF/P4VQ+KwakaaUNJPOQis29/1ZWpee
ZXbjWXJnptlyt2QzLkibDV9JiDjKowUw+8EAX+xG7Th6GqPIhJEk2QEMYoJsg9+U1GMHlI1+KKL5
1DPM1AcH/XJLxDNHFsNOKQ3clOFnnYcXBcPQiKFownA0H7PbmWGpw9A0ktrrmiGqac5XnD8ELTBe
zRizOoxbuyo6In7/GAwoqDvjCraUOzGeHZXnkWEtzpoXrnTGnr0PAy8rRzjNE5mPGYgF62VsGVAw
+rWzJ4dBcABD1e0ZDYewACZGxbVpPbDF8KksnxSYii5PY+lyEayqEf0Q4+ZRV44G42e0189ZHiuu
xWDanuq1xaDaYmDd58WmioznJGACLTInHcSl7tJq0F0JpOwIpgy1huA0kioXQ3+uGRSRvnqViShL
agS3Tad6r9im7sUi8NJBpRkTgdni8dCJxDS1aCcprRitrZMIqCnRmS0RmlFY3VtEanZRsJOJ2Jzi
/n5E1KoQval203aUiyNpl3cT0ZwTRDAESOPTNJn+ck7vRF3Af3E2AMIG1xIZn3bPcOdJF8mfubxc
8vwfNCJBdaJBU1uKfTu21yqKhrAmGpUQ0VFTLhF3eQUJggsoXtmoLwxCR4uyfJ4JvLFTdTcTSmov
1lNgNPzpg36nkmuYQ8p2JcvZVDysqQhkqz5VxJzqhbpTiT1NEAsNTf2kVwnY/fQYlCoasGQdOM0T
kOBVJCcvZT5+xErzWAbjLWAgRnsS4KDI2hfcql4WZdcOUawoX1CLxSeyz29qolq1KgeTCStE6xDj
5cS5sjne9hQJmRB9OGqyUWMqF5UIWEVkwSoiFRZtLLmnS/TQExhbyME6JEA2CFkYG8b7dO5b1yRi
FqXhxirmaTUGTwoRtLSIwPXrTvcNkU9rSN1NSGBtKJJrTZFh25XDyyilCrou8m1tgm7jcMlWfcIr
VgXPhcjCnaR+tUjlKiYnV++SVaMsn9L5L9TsTeD6rwqqU/ESPz/93E+ofOqtn8BAL4xYaCYUVldw
tL8O0Vgl0/vT5ipwzRiU8UtvQzRUUgj1heX+H6HU134C9T9uAv7/3LSv+Td/cDurPzO3RdnAAAL1
iiWjFPmhyAf8hIcknYOt3sB5fgCQywB/oFstyLV9wMlbcjQK7XUnZNjxWZHd2wXaBlSx6sqMCIMh
/OpoUeTmaLnZj32q0XZ30wDXcwGYGZ8oMVB/V+jAF/TgaqPzxkX3+tw7lJqIAHNekOsMFTkZecBi
0JVXQmA+C6l5JU4zNPDJaN0paNEtrXRZV/p9FN+UaNVjVPKq0K6TYdNr0XtViNrtNvlIhByHhF3n
3jRVIJ+D4EM6zL0HZ1tzbSGQl+J8QvXRf+HEupHQ0MdmbPrAPAjgEgJ70+hXJYp7w2i2ORli6LuE
Gp91Bt+zO6v0WXUEhybVOhShcnQLWlAARzI9Yysfn7fY0nmjTaxVEO9GDW3uzpYGmyte0saNktn6
NQ1KPa+UIGJLtRhkm9DfsNWoWG8MYs+BVoSbJLP4XRcphc95H9I1mifV7EhSSdkTguw2LE8o9TJ8
Rcs+a9h7TlJ6wlHtA07yIbji1GMDg61A9iKWMibLmYElzRRRQrC0KUyc2sDVelk5yfbMVkfsdyoW
PXGj3tsFCwoWQHXdXZExtNVYDAUsiMJe+YCgjt8y48te7JBw/8UI0/QN+PZdTfZyyLopYO0E7Py+
S3oiTPtTIvZSGa5vOoajJTZWtoXdEKmbh6z0Ege3N7HcGvoLbSD5YepurOpxSD9n4bwLJFK6vTCu
rwaZS23pN0ttePWoXZKOhI5W9jSxVpuru96OvEHdJ/qJwHpfCY6V0j/0MQBZFp4Zuzl9Dg+LohM8
rbO0jfyyti46tnkFtYAtT5e10pA1cwiAEsMYx6nhEcnhOVO17vlplDVAXHS5svMRc4U/IkiGt6eK
zaJitGzUnmst8hXjRrFfIraQQOKPalpfSfJpStr7vrPc0RJa23BVKheRGnqBBCln2dTaSbKhqp+G
BBhxaq1LtqFassJcIUl+TgE4VE9h0yFDSvfcca5SPalGvM3A2YZVfaVad0wJeFrivVzJh5AtbCpZ
O4WHCgE3NXGALQyfmX0dJfd9mfKO+fXEw8eCV14AZVwE2k7pnrOW7Rf/1Ihdn2U8olnv9y0r3Lla
I45xbRbFioEXQ81t6UN+XiPX55Wy0y8qCTfnVbMlts5/u8Dz0kb916XNqYBBH5e/uG6+29ngNUPS
DZHlnNVAM/bWDFrcKXSDAvnGePc7uS5WC7GxYRDzX5Hv2/iK9AcL4uZZYSsguX+UZQ2y/MdmkCvQ
BkCDLoTfxDkL9tthD07QwSScL9uFIwuLZIEHuUqL9EXJFM9IioM9Suxeu1C+c1o7+siAIdvDCIu+
zHFC5oI8WeP7AVrtnOtmdQAD4cTTrkmdtTlNd03BzHaIdNmdanWlNZDXOmdhjERNxS6ePCAZkHh+
S/LP+2LpL8cgNdnBOjNfGDw3g+O7UcIhVTfmozVEGAw6h6zt3M7Q5I1G+TAHA8mryGOD42SSYsOB
pUzYDdLrNB77ZW1jpTtRbsG51ZckadZBn+OOGOX4MqYqk+zhyojiQ2ypH+feXsl1cEiVenGJbDkG
WXzN6uyiaIK1pJmHOZ1vIRP3RK31d6RL0z5FNwDPgFRL8l2tKQ9JWHj8tK80PbqdA+UoVcCgoozu
oLU+aVX9sVPOUQdPZp6sVEO6i8v60sjo72q4GBL+FpT6RWechoxNWTJlwce4n6qZhradX5TOmg5R
Kduf5/bCIBbG1StJsl1J0yt1WyJIvYgqKb23JC391PZGFf0d9ryOqcWE5F+GPbCcwpdfvOV86q2o
JANRwGMIXvnvq/z2lsOk4eVCP8w58M9m6a2oVBgRsXpFxk+xZwLE/VpUKu+oToEQ6CCPmQrxS39Q
VDJ0+fEtF7AO1sKMngwI2Vi3vhvpWkVm5zEP8FZH0Neuw2Ixnuwxa2WXmOBaeZJgYXwOJ7IIXHiz
yRr+KdmAcd1e6XVResCg0NhO6ke7CaWVqZu9G4KCxOsDjrkTYOZZIJqLeiQQWWCbG22Q1xEkZz1P
lJ00Vvp7aZrtu8oUo53eGdelHVnrTq6NdBs20s0yheO2QFjFKTElB6urPsy5eoFU+JM9LjUtZi3j
amGkVneeXE+fqdRvF2kqG8Ll1PxWYt90URaLvY4KeK/LmJGhwqKmJ/KxyBtUVCm5h4v6pHTTcZyg
LSaqfgVSDZxiOz3aS34fZvpjoTqfZITUXp1l0BobT0+nQ9mFm54gVHJFVJa5jGpT2bm38cWU1Ffp
pCJWSSU/0YMbzW4p+Ii7nwLjBUfrNfkBp2KULqWc4VcUjWu5lHZKXx/rnGSCTpuOGTulsVV2edNj
QVhuR8l5zGV43cui7jNNXjvIPN0xrN/LXfaZXGoGwcUxAiI89NJ7dVIvWym+nFuzcNW43iQxuQyB
fawLEmFUjBRRbnnqoh1SlFVmHD/lQfSFqf+HyNE+zKFTeLbd3+ctLDjQv3YhGdtwMpZPVVSl45de
S9aRTOyfZSC3TvMnQx39aXEoZqv5wzwwtkvyp2QsEceNDoUPuQjMvZNDPI5bJYS6x2gPfIu2DhLj
fRLZB7MOnoyQ4AizKh7qMmzdzElqYl6Si3iYDkXWoFtnpBUslQG2N8m9rqbrwKFqrKo6k65GJ/8y
pczSpWpEF0XqGoI3wobzjaEZjXEcmQRVH/4WOK8FDruffzn52vHXY24+9XbyYWkwKGPIieIQexWe
vJ18aFIobagr1DNW61vSBTt12cJwRDLeq+/o68mHihWoOIsPVT2Th/4oGJb8tR9PPhMiHv00iD2+
Fcv670++oCEPpar0aCeS4TWGcbPo6sammVeqaPbqroRv0doLWqsYj81u4HcdgdTW0UAbQg4dn5XR
0tnDxC/hZ4rO3qb8bMVJzrac+dWjI3X1UStHpXJjkpxwMkm9UTwliXlBLNxQn0KbVNj9mIfyamYx
uYqQ+cqIXIiFI1qAESthF2Nvym4gAjAKkjACEYmxRAgcJxGTEZCXIcnyKg6Gx7TVP/fMJHap0X3I
z/kaef3Z+h/2zmw3jiTbsr/S6HdP+DwAffvBY2RwJkVS0ouDokif3Xwyn76+l1FiiZSUylKhC7jV
nUAhswQqMgaGmR07Z++1VeLGwnAuI4KjVFkciYg+xJG5K1RKBwlzySbOSe6IWjI8yLmn/QeULdQG
cV4Q9MH1YOsT/JEEoJBqOpaJXFACxNx8IpUT4qjEENtqzgURIobKEikMZ0+c4VmjUka6AqgNaMCH
WSTkPqssEs7Ge1KwQIaonBJunvNO5lzVphEoqKvyTFKVbNKpjJNUpZ1UUNr72S1CQyWhkGm/jga5
kkSkMBigV+zX4UJ4CnE001aO9G2JVdG0KV9Z3nvTO9YJXYkIX6nm5LQijCX1vBPp0TQfBbM7vzpx
3H1tJk+JfQ3nfIk+TsuxV0P02M0dVjBTXwXOaXxvmlzWn3TNCSsMNXobfEpyXn+HxnhtkQzTqIgY
Ktk6jFRsjE5+jE/EDs1AmvoZagolHpjWJeODhMndOpsbsmVQCTkoG3slcewz/KaGuYAmRf9oKSHk
mJSnogPwTqM+W2mTdz+jmpxQT+K8OZpRUxpKVjkrgeXfW9yXLY5a58+3uAsS1+/LnxR3POpli7P+
YOdgG7O/ULRf80Ko+3zTwRr2kpHwrWNo/MEEHY8JqGzc9G/U+MYfFn09JYYx6Ecp+/1vFHc/Agef
dUZMFZXdzMOf/3aHE8McOcJ2p72VeRFMe38msqdMCCOlgROnB/Lt75LR3vbNFDEOZ5y+bL/8c+pz
MW9bd6QxlHfTyjHL6YjdqQdjY9ExmYlogtcng1MrTrjt9fldlIj2LjPndiOdIcxK97R116ZIVXpq
FNsf+llWSPLIXcJKHYj1LEfnujSCqGG+mGofQFbHoaU12WemJRegBb+oS/ftCBia2M7M3mgJlSUZ
ExL2/pKEss93ppvQridQkBLUtYubgTRT5mNhZGbXsrOP9NHd2q4gXoX5ZKXfZ57UVgQ73KA7PHR5
X60Lh7sZrNFrMdXa5ezp7ERa8cBt9fj/x3X0ekGoFEr0Zn++hs4eh/u3XfevD/m6gKgNaGewehhw
f/Fo/aMHgo3y24qBcUUTne+xaTtfwzC/Nj0wTpL9g00ZoxeXFzxbv7NiDNXGea1w0bFeqqch3oR8
E7zSSgHzSuGS9DYatba2Tr2o827n0XaOOI81WnBLoa/npFQDsVocAPE2RiiMZtjoS9xtRtcvdtLs
mhMn0qX53kmW/Ex4pHEcN9Ng2cBZGlJyZWvPt9ZgD+97skfWfTwTn0s3A+rN4HOLqfusX09uQiqi
HGfjSpIB8aEaogEaZxAxOdKqUYZkjXBqNVE7btPSzvdeSzEsGY/K0KvnfufS98Qvk5DfvIpjQQ6I
NlvThT3PxOswDR/jPcbWRa4ngjo+ZbLoZlq8ef65QR9Im97B3jWO5XTO6cQwsYkj3jt0oJm70YTK
9QhAp70gJKcFsSOalp9anVObB+nH80WTOM18FGuVk63Lku75wecFimM7WrSSVix43UvTR0Ae2Fl8
BfhzOG8KZg6ZV/Rrjjmf7monsFWOrbcvg4J7TWaLJd7TXJ4uCPPOK9jrLeaYUys3b3oiVjxgFGPE
8d7sI8NJ5a6MzNjydj7pvvHWa1N90ddTVir6UV7505nlLWVlrHoCfI/szoDaH9a4U91VxmW8qnKG
cAUXx7uuLuzOuhroe4Ut6suaeyYV1nSWNzBWI5T6KUT4GqJCuWV4z2RV4qQnJMDRYPudR8asbYdI
kLWycrqeqXrYSCx8SJu0IVnHDWeL2OvdaETHZsvUZt3Y3aC+ON6yXyayRrfalOEkz0vGiPjCeylr
/cyYS5ixDMS7bhiRU+WQiTvjfRwlprl8IEt4rtrP/dj0ZRk65MWQ6fFv2cr+X833VdytP9/0LiUU
wO71Pvm1l8SjvhUO+EFNLzAt57mHQ1fm5W6kpIsmkmJsrS8/eukKIV0EUYzpTkdNT/uXzeml96uT
fcnsGDoZ6sZnQOBvFA7cp95ug0pPCFsco61uGuy59nfbYFs5NvS6qN9bqeeEZKVW56nf9wPOse40
qVhaSSTNwzLsfTbHzw3dxZD7U7qTQ3lwa83ZNM07EFaMLYKbKUlvuuiMXphCDVsfA71/bJP8srVN
EPzEPgbpOs2Hzbjow9rVh+spHs70xdigFj7CqP7A1GpdGNQeSUHT1D02i0MulmsTLW+MqytvzHtA
Pu+NBKEOFExCz+YHI/OvcjMI1s6SnDDmQ7qSBhcL6mDZ4slzLnLiHWd508z9tkhQN8j7us62CBhP
MMes2gSn1SgT8gEKUhBS0Pyacx0I1bXOt7EJm4urUQnZ2Ovf+/G1T3JBwr2ClToOoY6Gw1fx525V
7uasQN5ntsfuglqYNA0gFS24rqIoQCwqnXOvxTZx6MV80XpdscZ1c0DHgx7asAkmKmV37gzuFYrS
9bDUR7wG/2AU3sfAqYt139TbcnT0A6mdJtS2Nt0YGXnBWbJqZbqRXsOOz6XNE+ryl546UH7KVoc5
1EznBcLGziWbQLEp+vcN1dCgro4Zt6frghSlzmuvyFpZ491kOOeT787cysjW9mCsGwIuA206ypBY
akgSJ4PsZ4PyiTDHh3Kp2hPNrg+DPvA5I9TsnWNuzjuRdms7N1FndvOeJvVpXRLgoDnY4aRxvST1
Cb4kwdSrvKgx/4c0ezYuX8ROdGts2wAZ6w3hoQck2OuxQqbmzd0nSUYRHfS9zz3ToOcOqs0hgdpZ
Jb52Ie2nSu9OjOgCEIcTCrs859a/11uDafSjFut78vP2Oj6ple6JW7tBfd6Pd70ghirXGMpGEl27
OI76G/7IJLDPdiQ1u2Hji31QilMLKEBo+42zKW3j3hRB2GUYt5gVL1dNUnaHzCFaenHhUaFhI8kH
fZWMuMTGtOTCSSbt2mcGsQXo5aymKrOLnVM50UlcO3g6dZS1TjqZq3HMIhyQkMErESSoQUcUp7K2
Rg+d0lKe9K60Lu1cc8q/RehfdmSlX/7zffyKXbwjq/2x/XEvV4/8tpebLupL9kmTQdkb2YgyiLCt
4R2h3+UoQfk/ZCOIOoFh0/rX8W3YpsoJftnLf4S9/sZe/qNBhBcHYRiwq0FqJM/5tqIlTrvGOOEY
6CKsaHgysjip95Xo7OzEscfmseuCiSA506+m1Zx4M9vE0DSrKaAtU+FMti1BaCV66p2opyetwFG8
StyAcRwlHgFNAEY2FpFNqcpuyoi78QlzMs3404gO3dCxUai0J+QRA27T4KKY8WYO3VUqxuhknnKe
QKuLc4su2oR/kZgRfGD3QnWAckzBK/qIPsqHhSSfvLs0bfKM9GHO121J2oMU7op9+Ql02w11br9n
L7KAmOE1KYNOvycYqltFuWesFx0JNWpPnziU0LYZji1ivolZPCc08enxUGizs9vmvhr0ce2KcTxd
+oEUzYlR4MqO0mlf90lzyUzjKddz83RMYiq/Mt32LVtRx4Vi28MaWqMsbI/cKIpX82wFh6z1q0th
eslllVDJdj23gH9LMfaflxhrsVx+sTzFQ17cV59/sjh53LfFqYRbro0TQ9FBfJo33wotCDzwcWgp
4896Jl+9FFqqDcP8PICz4DtUP1RuL4sTYxc01yDA8aMaNL+nuFa6sdfXTRXnptDkdIl8/m19f93M
SuBv7ZSPe93RZThgbUr7hcMfb69l+ySX4T4K3doCIxWY5E1q9hkbPB3MoSQaDQbpWvPs+VoMxd04
Fx+doc1CpNbkS2n+U9N0zWla2OuhEf1qia0DjiYQpI6IQulmethM4yYeHXvbRjbwHE90m2yyzbXp
lO8jQ9/qRjVsBtdB52q0B2vMjyPc6WE7DtkqS+L2qomygzC4+DbtkW/3IhRJh0hgtD4vZX49VuX1
rCXXi5knYUuel6SWXER8hmjtOPNE9uC2R+RF4haBEXqWBUtfEgg7EYmI9dG5p/twNsv3rWfR+4GH
UtwZlj8iGTO86tqkI5sKNFLbjg9xCunN35nDxTgR+A0sjL9GXBW5b1SlmxZj/LpCsMYnYX3W9Yam
uPfx71X43CVVeSh/vgqv+/9xcj+2j9XDT+bg6qEvC5Hw1y/YNz941layRl8WIuJKV0ev8jwE5+bx
7ZCkucOJBdCOpat+yoNe1iHXJIUiDXBYqfkNR+tvHJIK1/V2HeKreI6PRnqtGHnq56/aPulszxZu
4fTIn828eI8w2q8n0Dmxg0TjOcRHRNJbL/V4x9kB4FNl/WiE/vRf4n+eo4Ak3ZP99BwQRMYRYUGI
nwkOotRTIULPgULVc7gQ1CKChnBGBk8F4UMjuGB6D6fMfU3aEHj4Ayr0fWdl9wQkEaJILN5x0Izl
ivEwpMWxrVZFg5hMX4iRs4XQqZKHmdx1lwwWXTbHstO0485LSTtvErYEDEztcWG1xC/lTbCqq+bO
Jwx63deO886t06wNa8e1mHzn9YcMS9XGzgbyFUUpt0Ztzqcek9t3pplEY0hutb2OEz+geo/fM81O
mLP39Ule6FS6IohYeSXnYM/0nPRoQm/WtktgKM3k6DDnvhE2Sfw5atPulNNc23q9XuFJ1e18axb2
/GS6iy+IFkzYD33WK+VIZKTc/WhtMZpKLdjIg1256AgHtWF5Ljobu5SmvRLPCL/mGefnPqP9VOde
frCf0UmomMAodc9IpXkibioPf38L+OdaHpj6+d//UmaqB15Um8ZJ/7/f/rH78uf4Uazv+/s3f9g8
o31pM7Tz1SOIaR76xSio/uY/+8OvJK53c/34X//z/jOBiWAx+jZ96NXp+R082KJN+os9AOBwL+L7
nz/uZQNgVgKIA4siJ93XWvhlA7AZ7KJM1k2+Y0rzQon6chJbf2B8YlRiMcAwvxDZX3YAyEXKQ40H
9PkHMA9ePoeLL15GPsI/NVBi8vxhC+CpFQqBF6JO4u/qZGnWXq0Ly9xHGEkw+MCbbfN8X036jW0A
LQCa1YQ2E9ihaU/MmUZC7FNdVqrOHFTFidXQwiuj9fuccjSlLC1VfdpRqHIiEvuXGwR09GN3OVPO
xksMxFYDWxyXCtARIZaY4s9GTDEKqpXbpUrhsxfLfg9HVUHmrkdu11tjDvIjXaX32YkaXFTzYy/r
ZANf7+BQ3K4CaV40kUH6nyM+DCoPEDfsvGlURiD65Y+RSg3sy3hnqxxBofnHQTuSLEjEoKayBoPB
OC1NxMyip35vkIHgjZeMeC3KEcIKIzPVwqa/lZYrwOSpPMMBMZutMg5TlXY4tdqmK5k+9wQh1ioR
cZyna5eIROZh70ggvo5SBIHRbN5wNdnqKlXRTNWDFtkeTVEPr7mTEt5ubK6E4Z03wsxDj0+/bklv
dkwgPzmzYSfDOwmeczvTOT6TKUBMAJkofFLXCK0BpLEdJC3I84kYz/FuFrDUdalFK5DGzWEx2OUm
Yfgry7Wqvc7bOgdjr4VmMFylUbOtPXKT557ReknhvtWD7qoGrbZNs0XbTk2/13T52HgkV5IwPQ/i
iqi6h1xKQmJRsnP7Vw41q3wcCo3vTTkEh07kZyl4N6ZXhrdJtOp8sgqAvxZ4mVZ375n3XvhVcZq1
8tTpbUipttLyeo23rUz9CgUngsJo0jfakF6h1yTSspapbWJfH/LmpFcBYs6XMDEBftfnVgoLuojG
x8TPkywEf9OdIo7vcMi5mXMKqctjPC4Q5sRLnW/GsWJG7imuD3htDWeMPCEeTOxi16s3fb7gTYtG
/yZZmuVQesMnrZFES09Os47jgbTI2PBoUECdqgzhhfaIHy1uegDEKQHmc4XbC27jsg6qKb6xkhYG
c+3dsWcsYZb1ALNpgZGGZm7sNNuPopvWke73nJ99TPK45+1+f7v++Ub8Zlv+b35ver3pmvDbfrlT
nyrexUMiu8e+f9Oh/vrIr3u1G/wRqJQ6w3MQBr6hm3ps46BNuTOhDH7ex7/t1dhd2KjZ3xEnY71X
UsKXvdqAT6MiIwnB+Drn+25v/tVeTUH4tljjGVA/wxDC+M6r48B6XawF1gzLotbqvZ8WT4mIg53m
c6VJfX38cqL/6anws2eCh08cFHBJOu/fPVNR2VASJ4NnMhfKOb3+WFdiQgiZyNWrE/PrefTaW/+z
Z+I5AnTbcAsA5rx9T3EPw6utc4W8y+Uqkvp5N5BF7zbL7W8/EQJxGAFoxXlb5neV7uAVRgDLtd7P
Xf6UF/lTpKVPGf/+V54GW7Kh0o5++B2ReL10iK/rfaSNwSZQKTdd4gK3wbr4+x8d31X0sLAb6L49
Qwte1e5xrZc2kqJ6P0RlezLpzPJwEfonbZX9xZtSJcArrC7faayZzIZBMNJRe1blvv7iecS90aYa
630yMpNz5Xw1g6U1tPm2HgZ//etPkNXy45ORtYDtjBtO8H1rQDMcLMuGqPdBA8vQ68p2n/kQ/4WW
3ut+jCLKbq3QmKP+X/k8lfwuICzT5Yb19qvotkKaRVLVezKfxbVsqWooLPJbLeP//fo9/nDtUh8o
hR27AvMwVvXbp1rwP85kHNV7jQ7CvpT1vMlMPbr+9bP8ZG29eRbVhHn1BQFFzj0D/vZeCyaHOet0
O5RjdUC9/y99dK/ez3cfHUqVRAwVz5QUcl67U3a/CNBpf728lMzi7bcDFyAjOupUhNvKLPL2PdVT
SuVmy3yflKV9kENXPgkLLR7TiRFuRhjb0bRhwsQcIsmM/mxwC74seVKf10ZlrtK2vC8nUR3IQfTX
s8lvtkvrqlwVs3SObTMNTqo2a09ytws2PQpCJD4yQgAciXRnTXwxNrZXRtfYW+x7Eh+RsgX8Y+dr
hneJwcG3VDhDcaunafYx7XxARBXUktW45Mzo/uLXq//wYfjI4Onz0ZkLUIF4330YIiodvxR1ua8H
U6xrfWAaOdeIBaA4z5sAYcDaCFpj2wSOw9xnQnJXWMHGauzqMDRcBVYjwR4bH9DgqhXV+OAlabny
MrxVgacbWMjyp5k8waN4MYbT2uuisK2XDo51oMxiNX9lTqJyozOIX0lOz703NeXl3AbmXe6Z4siJ
sujjUA7QrcvJ2UceAyNBQbQbM9Z2DsWaSnaWyCPyavLpUsVUz31SbWReVJvepN/Va5l9INNkfGgi
TjyA07x21+BZEEccj35HTy7x/ERsZrtA1JFTVacdr0czAxtpN286H/p6K4K4PgfsKNa9A25iNRBC
jjobiySYRqsPaNe39bbR+fpkkPKBtwAhKXXe3YL2BcilB9q75ysEvh7dekwunOtyHFbeZGA8rek0
DsS6AGYd0l3WLlzl9V6s/bJJd35QaiuP+Kg7mhwOXEcj+4jwtbh1xzzdNZ1Vf2jc0ryLeO8wKlHL
fqhLG963G2EuCukABP3Ksmb2vcm1tTREBlLcdqPvHPtaV16S6d5/5OrjHidZU5+7MnvSDX6nMnPN
u9JPn6ZujK57dxFHozomkg6K8lyYQBnbQmcUwS21SC6y1J2uELrYR5xu/SoaSuJSYtYPJRF0VbBW
FfZti++4LeP0LLbq4BweVvXkaoFxZoiMD1EWTrU2tdFXgwa2gKKL7cOiI79PXD6yPOVDiGSSrRY7
mVdlU8fv/MXkLcVemn8Mlkn5GkaYOk6SleuiH8SyEkvrFruUu0B9asihDtZuEg3vk6jW4MUYQCHx
5+cU3a6uhq8iXe7QCznvpiovn5hAiAPvcaaBwCmCnqrZ25kR3OJ1NN5ZleD747S6k65a2xmY5ifJ
ILZyKoOTdiKlF0Ygv4I+mvDzTyRNgXiNcw3kpxvcdkAn1rWtL9pqsDnu6Vr7u96q0SM5xVgnt32l
cYXFi5zdB6OpbYOKdYT0hfFSGgzFrhui6Wpsg+H90i75zqllX2xHraWdldWWsxAP7OcNepcY9ZM7
5canJai7z+bC2rK1aDbWxeh0Nyhr6g9xZjNpngvOk0nwYlup0fjW7ZTcwTFl1k224cFJ4vxjE5vV
YcLcv2mnzsQ0mz2ZfhKcRKSXHHghBpzackY71TUjnDM3OYvzYNrIuAh2mcZvSNIS5x/8ehO/JVQ2
CaLrbGglVDQUz48VgV/7KnehhLiJu5zYeFrrDmC8VYqyDQPJF2EZ/eow2ulTF6VN2Gi9vupoqAdt
zLW+JXWim66rxtwDEPgkkzk9lJVrbmRUu8eUBd5lIlmURsXL0o1iOB3QTSLiZp3bfh+F9DTyOx/k
0rEOlLVcCAiKl6nuV6RTdKiKUkQOVl/wpWZXnC6SghZbJbOAcVzOJqCx6nNJYOOAdJz0HVJ2l5bd
rRz7YWeoGqS2ed9mmd2nneaf05x37oup8y+toTfORDwa7/C+WIdJ8o3K2VA/yiAqVjrOlvVQ8fad
bmEZlX4TnPcV7KZOawuozB17TmLn/qXhtlye9eLecdgo25b9w00073JJJ4KbkOqvIaxWUehY0r+M
RA5fepTsZM9VpwzaZlfopURhnbGJmVKs3ZGnboVo98+nkmkY40PiVEd1BV8pppfDN1g3N23KSLLu
xTYZLUDSXVmfd426YwhTHBdGzZdpbBLm7yVM9tzj00mjYFyXrjQ2z7susVEfepqdj/rIbjWo74iD
pOUM1lR6ljlTvB0IK2CPo6oiKQqEZBY7W4ayhGmK1lw5xK/tcCBMAJpccQOoIjgnL65aT7qH90hD
UEYUJjt3obftPuY0eDfUcbTy3arCISPLy06y92jkV65H2j9VPpR85oGQWytzGpCXQ3pmRab+ieZO
T94mdnTwlOd+3hX7DhHOLktEsCuDWDula3hupdbwXsuyDtV90p9G2XKX6tZ4B4/AX/szVQH4AGe/
BOmyqZIGiYXWRpguPyBkKdeplTyJmJEo4Iwb1vNtO+iwAHyhbZK4bFa9btXnNiL7gmMx3rG5f2LK
Jel9cOjlAaehhvbnliSk6gDBM7jVS994l+pgwVcLv1Jk/2qTde2u3pKYbmy5h45AbScPMrNNl2wG
E7Qv4ZW3uyoJQtNIsAj1HS6EcC4KNrOMC2/DVyRDjGLEen5UjY2Ocbr20rDKW7Sa89AsbVjUFvp8
mNRojJ1oVI2e0ryh3VUexsYqD4J2dr0SvmwOFlmja5jC6CPXUTMJD6PoaE7lwuFTtOx/pTeCKjHH
dFzreZZoOzsdygRKXGDBYzDLaPAP9iBFFUauVOkT3Eta6YZL0HpP3YxnKvSHvHykdR8DfYy9o8n3
SOEa56DtqG4cfdOAXMz4DLx8Js+j7fuLyvVictFsGUhyneJsA3SntdeLJY0BmZLRffQZb/crMRXX
RGpPRVgbLnUlFw07DWtvHg5VQVh7WuufbF/uayV1QV5ahjaax63psr7YOIZLx8m0U8OqtGzdeyX+
e9uES0fED3b8DMGpLPx+bzayZ0YR3eeJA0xtNPONqQt/LbzGeF/25nQmOaPxlMWtvq5sE/F2UFjL
Gcs1fogLj8ZkbnRaWHhTQJmtaUfpRHt36+EjQ5Pjsn3bIJPwbXj2GI52UDjrmje8z4H/MGycneFL
V+lPWwZK0/F9ZQ4plOsMUykFDv3uttEtSwz5Xi8Y6QzsN+Y4nPax1PGutdQJPaXl2WxpCVMTAot2
edAKMuNAwvdWiV/NCP7q0oqQ5MfXQ7cEZjYubnoLb28KXmzGrAFeT1sat5LMsjZnTx299B6+9VU0
c8z9uh7/4ZbM1QQpIs9kUI+j7H77hJ3NpCse62KPjKQ+r2BjcUBxHFdVgi/UnsXRr5/vGXH65lqu
nhBBpAq8sSyc6m+fsGopcGywVmwozUhvumKfTztyX9YZ15xeE8Em77j5uI4/XjwfO6NYDHeXmKOx
TTAmIhEpnHuxNMNu6jjX/+L1qef//vWhP0BzhNgA1c93H0gsxyhjx8735AtTY2ooTfoJrNpIb79J
PW2vUSoRyZOYW6cNGAi0/eHXL+GHezbKGiIVMfhyZeRX890rwDI1MuUz0n3AfXsH5ksc1/b4V1/9
HzoWPAuNCpQWRD/AP/7uGiZTOZC+KtK9a1MwujGLtaqBMjdmQG3t5sIC9U/BnOQUer9+g+aPnzHH
MpGWPiG9hhoivf0OzEZuDy1pRHu7G+NoX9giONGiCMOspBzsxOjM54HmBLeVPd/mwdw8oQUcNwjA
nXjVi4rBB3sMoI6mkL61iVGVb207b/fUnMFJJqruM0OViGDIqOOy9vzq/2+zEv+52eJ/83412+UP
00Xu87+YLj4kIoGm8fjzB76MF5khukgIcJXCMqcdwBL4Nl70aJAYLuYQvhumEuG8jBdpWWN+56vD
t1Ypfd6o8Ohy05OgRcrwUYV1/UbL+jnd7s0ewItjRySD7zmTSykZXvegTB1B7rDk9h6k0fChQdjL
Hkw2eITM+sQlLdxRseEk6yIIVVHi/RRoYeAzu89V0HgGBo/ITsLHOWDJZZZZzTbRKHI6alJDxZVX
5Jaj6pmeLOXwEiQtYJU0mk8To5/bBZu3Zi0zDCVudZHZ17siWqZd5zjzIZlJvfKyySTgqziyhize
1qMyozckfVCRFKvAEwQ+ZiXAiaXr8neDO2nbKHGbgzkIbZsy376eAopkK/hQkQNwNPRzcmQ4Mbpf
qzC2qV77t/mYMXwWj0k2w0KfJxS1s2/urCimV1ukj7Lpb5q2X7YBaAS898keuGy/MWW+FQ561ymb
Dham2HI2zvgbJ9Ks2gcyRY0PHQHC9knS9UCiuHt2ZJJpZd3uEmZsXABLo78qFT0RAjYgRUqJmETs
rvjIHFbiyawt9A/JILPPhG6mxo1oPfpb2RQE94nnOn+TUb8S2Cw23V+uYzkXPxXT8riXZYwznAhh
j1Y+ojis2ayTl2Xs/cEp/wWm/kasB/aGWHbWKY90TUJqvo2dSDEgCA/Vn4ej4neBzj8axh3OFvYL
ZmMcMEw13q7hubelNBaM4H0yb4raF++nsfQJ5+COYIKqOJqegf2l3i+Xel+G1QL2Av3sBAkDur+h
MP+sRip4p6CJEDZeFnPud9B1mKKMNyRxF94mBZwDVzPtWVbV8s5P5FM1OdgzO5gJgyGNo2yon2YC
FBD1uqjTOfhWXupfETGAxjWO0uOiTpWWxiXBBcn7OS5ycauRCWKGUx8097GPPHebJ9UOqbkkUY/N
xA+mDwkUfPagHg9Y78BhG4fSBY8xN2ZHn6f0zmtujhinLQerdW3aO78Q0Xkw5idBVDVZKJoI6V2b
158YnCX/njPyP/D048z5xap5rB4f7n9y9PGob2tGAYMZsqmZHnG9qFVf1oyLC9mA6aswB75Cmn87
+gBJMQXkqORIRO2qLEAv01q1ojgryemgiCOM+7dAUkq/97b85Tw2uQehczdYNPZ3Rx+NewxAw5Ad
OU3kOEJ919n/u+dcDP85I4PmKVzd0TP2eWH4x3XBRYbEaGQcNMUlnFSP27uZLPGWnX7WKJVz75Au
KNki8sAbN/Bv2qrqAMFhOdR61baZqhSwS9BtZe76NIEo7ZO0QXUhZ//G8bkGomjyYLDV72I7KTZ6
qn1242YlFG6UGyotmfUw5ZgW9V3cwClemk9o54ydq5UnWdW+S5i+LfhUFGuqeMZOzYpAxa8iICnM
+jg6jBDEDKfKLosj3swcDophtdjdWaegVsCtqEV3CHl5m9qAHmRem4qDRXN00yLm4CKDLccBltUA
zXJw9580tjNCFtXd4xJWAM1R+pHros3LK36TcB656jkP/5ba9D9v3amoxl+sO/n0JIqfBBCoh70s
PIOASVihGIb/UVi+LDxSQ9RoiO+763Hrfl1zIi5HqsNCoLLEzqe/EZfD3eaC6GKTVmyS35K0/aho
86hsVc4Boa0sOxXv87rmTOPOj/yM6KjFX2ZnA8kxxQSXdMd102PV6BaxEWl7Sl5AT7eogsWWz9Ya
Cu9N6mirxYi0IHTnPsl2DA/j47KYrARFmFHFpxr5av67JtYUmKMtj0vhnbaz8wGJRNSDw15IIa/z
qtNO7cUttqVR5dss6nbNFJxWTgWvuWY5eIcp/VQrjy6ZIYa/nBlmN3sbv0h9tGFAjXUySBjHE5pg
l/nezklXDzUXikE2pyHC13ZVSzM+JwX51MgyMzQSBjp6zXPFkkZeont5fEirIUZBNUzLBQznWTDn
m8ipjRRJzdGHejukNrEpa4hD7XBgcNYjxff1Ml+7QxtQfINCwAuNyG1pzs3UarHDMKAYd/1CV9kQ
Sn+rP6ec0GFWzVDrfirE53gmCkWAyHZVOEqqYlLiZuI/mk/xcaZCVODbXcIkBo9MvIokZ2VRgSt8
dqSs+4SwzF59McfeRFY25pIgptgIB32ZT8hPIsFlKOozR4W6zKS7lI7Kefl76T9L2tXl8M+X/k3R
4T/98chVj3pZ+dA9VI+LK6dFU4cwjG9HLlQ3RCjK2/sl3OfVXZPiVX8T3fly4EIE4WwCe4RXjG0B
7elv3DWfSQlvT1x2FoQBDi/ReLawvF34TBSxK2XVsp96w833zeA+9qIRlyi3vY950kwrOTT9kVU7
9d4ehurTkhfNaRHjWCU6sjk0Tf5oxwRpBrmzFanOuDTxi30d5fray8uHuZyDlYhyg5jALI2AXkOw
yVxam2RrWSW5elAVIf8Xx1qODL4x/XPXjImdtN1edTjlcRd3aejDs0GTML3Pi2jf+Ppw36I5vaoa
DXC/MXb9saH5TNUrlkY2GfqpT/1tQe0W5QJXCEo7o8lpWt57jFEQzVvZfGESq9WEVoJvIEF6i/nD
8uYlZa5uR3Q7gTPqCmvryv1kpEUO1d1CnzuNfeFurEJnS0Ab0k2XsTMz7lxE96FOMPQ2BqkHcUuG
buXlK37JJwhr4bllza1BHp85lneZBYSB0n835POHuajISGq0dTGZYQULLoAJ1wUaHF8gcQa0OGnk
XljBj7Pt+ZjxIXOtcq3bSbrymviBoexH3xM3PgQ6g+cN0SPBb0DXoEOps+lW0tffZ/PQrXo4diVR
CqhAi72R0GmrFOzOK6qR9jsAvBnzKpuY5l8v0PHoo8LJqxrFzPNGxc8zIOlNEPUGp71jwpwdlwq2
NyvsnqiCq7/3lC97yi+bWHf3LR6Zn+wpPOrbnoIJjcwiBGYBYRXKdPZSTdh/UEDbtPD/YXb5x65i
/QGcTFnVyP4lBFtRXF92FesPjP3U+HSdnv+Lv8VL44Hf1/EulwTFcnPIXEJv810d78WT2RTG/2Hv
PJojN7Jo/YuggDfLKZSvYpFsuqY2CLINkPAmgQTw69+HkpmmNKMJLd7mPUVooehusgyAzLz3nvOd
yN5zyvwk+0LjdJ6kt8zXy/20CKkHWwJfnRl96Q3SgHERXEfN/JKxWVmLFNtcRNnTIs/GGhavGC56
MLIRb0tU3Hm2ZO8twu7M9pL1kFd3TaPEGhOOSW7oCOlwkYZnjolpbJGLl8TigK2cAgc/tpMMIdnA
4NIGCKsxIA47qo9TJzcMXDfpXFzQOYIaFA9BSbmu5WgRnYYae7KxZxNe4LlgwZpXd/KmXZtYd6Cu
w6h27gvGRIhnXqV/GTx3k7So4KVrhVmvfyfQeNtp3ik11btZGCcvaB9NP1qXxnygTDP2k5WSB4q8
vzZ9Oskl+WL+ztaap8Gubus4P1oiC8c8P+YD83Uz22FUWdl5FuZ6Mq2k8m5nV66NWrvjO3x0UU2E
0+htiDYhck2tNUfcy96DzBnXp8AFTJl4EcCRqr+JLbi1ZR/SLkQOid1VjBpeP/lc1RoDTfFSKAtW
nNgGg7PTM3ujlple2mK0yYqLVXS3ht5vUSVuGStdmHVDABblnRaIS0kqLnL5nXAH1rr2hsUePxRn
MYmdAU6Ouynd6D7xhw20es5rCpItnQuME3eM/DZDpEAFVLeJM2xK7MKqKxUeCHGrBcWdVXo7zbGO
HKzXmRzvUwI0Its8iSheRvdr8AyrXICap98XSe9JIypuHtpTIGoXD0W+HUhyETpg9yyDRR+/JHpx
ZL8Pe9laa9ViU7Qc3AbNZ5uZ9AaX/feMtLxQle4OWdW4I6Ph0c47Y9OU33iwTtKuLKAtHBPDNOg7
Yya5xGTpXyE5k8FpSCzvXZqF1t3WADidnedmc3XRjKxAl4+KGeAcYv18Ue2PMTVdOk+fjEXRD/o4
XdmLyt8C2ktv9MY0tNsGG4Cx+AFA0Q8hBuvbQuEVcKrpJorlucVBYANMOPaLqSDX0m+czpGNOCVR
vPRYQx0PwogXIcKTwOh618rxG3qlfbKYFri5gu2MjwF1Z7PlbAApYzE5JLgd/lnlf1nlWZT/+8kR
Dwk+qvg/LPP82G/LvIfxn9rQILiJLuKHDqf/0yJiBu/C/Mz4YIRkTkE16QeLHNhmc/gwpyCxzmB+
TTrw327W+GwXH4+ODswrgOSs78DJr+/hx5oR308wiLRoDpYwlLVCuFXZm9adW2MTNRkZUKqfSD9t
AnDVcMC7iImmsH3UgOpcjO1DGchDNTqQmbID+OB4iyh1HxOlMFr+WSRRsO6n+JPR5f7Gb+34xKjw
WcwRqQBRtAmc6ZQNxBGnMKpg6uJI9GKyJjRtuJOWLEO3JDnHZAKxZrR8gRd1U/oEYau579gdDIMR
RbpVlXVAj3ErJ+fJK+OvuV3LFSp1ykM0qTijjUuiBwt4o5sx5jSfBx0mSmOSXBDH73YbOaue6AEy
J2ZOkmmxzXpmx753rNroTVjpIUvTr51bX8xWeSG6vik5wUNpjDDO/Oh7V5Ps3NSwBpxAQoo0h58t
a5gQKUiPHMqwV8SN4yibzc3sKfvs93AVNnWgtH7b+yxRSCnN/EA+RLr+56m8PpXOX7ZyXt/kt+7P
z+TyQ789ky7OFYhnyH8R+1LNcbT57ejl/bRo032fwxdNVMqzf3dQMSBigQHl6Du/Rbb9dvQC4cGw
ALY/FkXfW2YSf6OgW97ZHx5KOjgEvuB/NHSMOVSbPz6UhSC+xQM7c5h8iSvKzVSoi3S4Qys1kZiU
dV/Z6gmnStwvzrUPSBO++JQtzcHy2idMlpZhuzQP0VKlZ9eHxO+6mVOf2tlaxbJ01DOxQxAwFCBR
klPyYwKX5lXz5/mR45hNOlV50pcHfki+8VwQBZCQiLHNsvrFk4UefEZGmBzTOsWggGhvnZmjhh+3
cdcuI9tN5kw4xWYiOAZ3StHOCdB1nKpGmParMYN5UDSBGx/g323LZYSRTUZ9dplq/P/4CPzxZv6r
Pelf+dv7W/GnCcLv975v/7SMy6HMM9uin/FDK8NnP2JJWgZozNaWMdrv9/4VuwjshkLFwiPCpvV7
2WHplB02ShAeJfD1RPb9nXv/j0UHv+U6hjBRd1Dc/FE7k+I+B8Bna/tA0+x0JdKJDK/A7h5/+E7u
fhnE/5X9ankZAKnMOnw69H8SyMxG107DPGgksdnGY1ahG7N63ef0NSDK/+vXWp7WH6UAvNaiUbGI
lWavR5T18WnmWqRdgOx+PxlVcKu7ixSQkutoz/p4V7sFW89fv6D1J4UU8jYEQNBmgYzAj9MZA/24
gIxZ5zSG10Z7MbVRTFFWyXPV9ugeGZRXDtM/haZyCbMCHxAP1proiXQiAFmZ5a5xkNA7A8ruVc9Y
ZVenot0H1YhYHaGh/l6Ooj03QRfsrs4ENbdiV7iTGZbRWB6nFo9CniGZzrVWPl19C8GAxQBxsbhE
E3JYO04Ry1txmeymhnQPGtf4lSWCflOz528BWejPSWa3z14d3+gomDaK7kbY17m+n00ru2GRdv0w
Sa3+3uz64vvMZOZ2tlT6ZLJOkgtEYeA0nHRhKw8hgkp4KxXg5QbgAvWZXq3aZlIbY0E259LqTp4h
q0tbcwiReWa96Xms7XNXNeu51dS+mXI0lPYYRC5ATrP60vlFcXbnYrwPqhlugd4oCtAW+ogO9+1V
ZBpD0vWYQHdrVt6kYtW9oqMCE33GZ5VuvdLDZq0i7vMQ3Jder3SrKN/Rf0Nj6GP/JQ0yk6VbJ35A
6V3wNfU78A94WjxgbuZEVIGWinHbDj64CNztyXuW5L4TitLOb/V88Gu0sXF19nrVn+DwqmcgTQh+
I9GuTZOgL3TH8Pbx3Tq3wjI+JaPQqXrT6VPCsrzpDL19JYlpIP1Bl1t/cGFfj5VbfG3BCe/IVfiC
hKRe44lwTnHg9wy0ZycpNh1fDglW+U2TF/ML5A2N2AMxn/U5Am7TjUZ2cOEtaWuU6JG+wor8YLvC
OUQ0NfaDKlGxTiI767Tzv8adK98pg9N8M8ezW240ugZHvoJunUTulwa0mjJUeylzfWBimH/VIaej
OrNPWPLHVZbFTwF5CNykdb7Taj9ZzVoxhuj9yrCii0KLTlBD1vKUaq2NwwQ4awi9K32jdxvxj72f
rai31knlTpvRc5tPQEDMs5t0d86oFPy6JSU9GHh6RsccOAHb5iY1hm9j4WkI+zR5A/ZufpdjNYVc
Wee9HrPsVgTkfmWzlJ8aRyKYk/6npgkA9znzZ61vrQuucLh+09xdNG8GFhK46qEk9iqMjWDYEq5z
D1TkBbZXZe4F7ZPBXsl4SKYvpSsycwUgfZG999mY5qvJr02Qel0KNDEuMsh6Zj8BDc8b7Am+yqfx
kAd6PDE6iRuqVVKu4vk565RNt3A0e7R1fBFVwyGeFNNHu039WAKy47w+qEePWREe/86L186UtFmo
RZkgDZGiFiYzWNWdQszufR41O6ZBOWWmc2As0ulrkWuTv+3IAm2I9yqku40zNcdwVx3+pVWLIb64
Tdsj7IHhqu5iV4PfvKrdpktOQQShHvx6pJxXs056NFN6GWnJRrVjYD6ny4F7y+DJ8b56Y8KFSmQi
tWM21XHfPmRFVBbNzgi67FVz6uwhWOw+rV6yDFeF5+wHwjWevWjS2jCyzIjSHIfX0aHKRiExDxhS
0D0HO0da1lGZUXM2RixetASQ/I7IridA74HxaGJUXnJflz/2Ijd6mABgf6GXEPnY5UvUhpllHap8
5HV7u5zWGC/sQ93peI1GPDWy6OcSo1AU8bD7qjo1tt01oTd42FTcrmIMvPgpFodU2ek+emtgxVwB
JJBjy/81Uisf5k7HMuCUWl/j6VDF/WjZ9bclgObMGxGIQkzMZPUUFPOaXBNOee2kqoOv58Ft7gj3
LcfGlSDpGowtfGQcVyqjH5754B5DDYlpwpchMRv5+LIsWtU4AFJ3XvtzUT3ERYKNEDk39HGcOS5h
m1H+f6fE+X9CSfnhFBjYf9l//lcr5qr8eAq8/sivFRCFDdhZ3bHoTKBZvx5Kfq2ADBjdIFsAJHEW
9BfI7L9PgR7wbX6K6ogah7/hPfxaAVkLQm0RZDP9Bu5CVuXfKIDogH88MyHD5AQDMp8GN+8HQebH
A0zReF03Zq46G6Imbp7oYiULHDvM5yv9VNWDD5E1bTxJxmBmFnmhv0hMxwaBZXXRPZqFLed2heIF
bw9pw22tUh6dsqn9B+GWNVsLJsFSGH1Yq9GGHGLRocazGkz7VFNKS8LSMc1iOLR9XnRMWmfZlwCo
y3xKSx4lwXZGsjsJEhEqRQ5Vg37ARjjdkNcePaZWUx+ZAn1G+j3sVDV4cUijZU3nuj6nRcd5KR15
KhwnMx/xB/IwiYRlizmaYp7jt0OwURbdcB7ymUObm2NQnLPBedNrk/WglN1wI/QkajdmIlmRWsLo
mcJZsZ7vyhGD3Yg4GoNaUImDW8SNR9K1xBjSTTobIggQfucCDpdXhrgG+ppwIMDi9YIYT6+0ce9K
Hi/tFAp5sQDJTScqX6UCUq6uvPJqQZfjqGSniK9E826Bm3cL5hzZGMDzBX0ezdhgwjZu6vEwVj4m
rqh1+KDIbICmRyB2zsrB/9aZbruxDaDAblw3CGSM9qyqyqjXhGapDYQKGtIiUw6kxc57DtJpPJtS
Bd1OpDZt/aRr9RzbFYmRmtVP+n3j4ixhCSx2FKpRCI0GONWQSm8lgLVqnG9Bwq1818bJqCMZZ28Z
ij2WLwKb4qEnDVkptaEGR+EWm0NMXMoiE2gREDkh7Sz13YuE/jY7tLxQ7Ip5uxyumF3a0xshB3B2
A4iVu56QgQejhAqfuTL/DODWXUX6YKiw1mK5z4ck1lEBebeA09t1D3Br0yaYYcI6yYlG143RGDZx
nDcQZ+Jxk3htcAt/peZU0+Jzbez4iAlx9Ig7B8CHbMOpV07ScxhKteqAX8w8yAJcJab86GeeBrQM
JSbQ96gYYGwxLhmyXSwb85GIu/6g2sJDSDh4CdkJUffg28MXXTnaepj8eR357YTIMZ/EofJqYpeA
IQxBGNM+OBcuicx4evzXpajYDbAfMOl1s2GsnQEKesf+aK27qHl07Ly9MPyd33NZROu+iafnXuDl
jmY2ZlI0dcKjam22NkNNl32qxvLSOGnK0bxKsS+ag4hgq2f+2kii6gkNl1wRlFUeykDEL5KD50jO
eZR/ysjCC7s5q3eDLHay8rkPvchm+7Yz/d5Jmh7az2gF2wqfkWJlQe5/qms/XfWOrG/bIgpgJev5
t5KB6YF6B/F1gupxGMloLiP5JdWFvbYm0tNJxrb3aR4wJLfNt1FNL05OUhU6FzoywWB6LQ1My+E6
gr1ntNK7d6ojJIOXzRywEu0vBeA//oL/QC/7uCs6VLr/vV//rzZ7K7u3j83BYPmZX7dFPyCoynGJ
hQ6Q7y9b3O+NwcBGqezScjfJ4lz0l/9uDFruwshBxQySHd/AVaz827aI6pI+C16lpdnAdva39kUk
nB/3RRjx/Ef2NAYH3AsQeT7ui41oTG7r3j44ue+HvaMNl7bEnDtHyXjM4wZHplalUwjOdvrqVJ13
djKbyF0ULOpTVUHO6/HavuWY8m8yxhaXuYysR5cHC8NO7ZbruLO9S5IP3acpHcRj0Tn5LusHcShi
1/i5qiN/k6deCkfCxUzTNe/UBeke+ugySUzV2K66vp6/oMkCRxDFLtyAMTMf2k5kxwDP7SnyLPih
sMWsUZY3lWOi28wJq9FSrJB42tWhFMsMtmAagKE+9ugUUvkTrTTeVjWhG3XuB+epiwfctO5o3hOj
Hlww0es3xiT0m8ma4FsNwDG2dHLznVGZ8WcjEMHF0LI7Y3T7m8g0Hmcd36LhRkTLNDbWC72pre/W
NCUrVUyU+cYA8gAbqLwjxsmm4vGsjWU7IzRUVsqdk+v1V8UevbVaAF+NAE2PDS17auwUYPeY2+mu
LsZ0H3SSkAtbofXwyIOShtm/VL6IbmWfqHuJZ/9LMKnpc9n21j3zhGlvTWl7IYRxvGeWJEI0RGKL
kLY/6aPbvBdWP2KlZpBeD/mw84yMjxGP48rOShx4pTJXTWb3X7XAIh3amUIrqE9mGR8A1WFlFzmi
P70q150T3RRZXRw00udzDvWI1SpK9gELddMMzvc4IOerS6U4SddWO3SM4O2LpLgzZm9md4Nrj5Gk
ixDczAh8antKn+NJBBiA3WLDWagmWprStR5U8xjgJb2ZdVe/ofobyWJsLQH1we7Oaa/nD3Zl17sC
BUKwUk2l750x9zDC5JZ1P0+euIlj0kdQvUHmp5D3PpWiNtjIJCgT0VnD2VVCv8NCz8gGZ3QUprOd
f+nJFr9Erpvvp7G3Tq6kDVDUrnjtfU98bmoyAEqI6/doeRFOJdN4IaPDOpkIfPdtX8W3jIK7x3S2
AoQGXX4otB7XeKQi9kbHv5hNbb6WgeHeAO8A3WZAgUnT3C5WBZbqrSIe7jav1ckkcInbEdyNpstN
n8TyLel9fcIQkxkbs468t8ZS35xmLA7xhC+wmArngLTextRM+vPkleazZWdfJmURrk1ygPnq+eVj
RULkc9fV025GN3lfJS6xj2MSaUcMhzobOL7JSzIg7giV5jZvXdSmd16cNTkOBSv4IiI/2ZXwAmHB
ifzJF3oBG0TjCIPF+JTGXERlWRwf+9wFV58XD8i45bvl08wj/sl4xER3YAdzj5VqdmXJ9kqtX5Qr
gVv43jKM/JMT5Xvyy+XRZRJwsDMM6V0NhqNnsXyVVSAOnlNECESsZu0ByiY0e0w/UQLb3+YRr5OF
STqcEwQNae1knz1dGxnw1dp9bRZVyAX1dHKDM3PduEZ9p7XjVuVuc2poi6VhgIQaIOEu6hRCMj/I
d01+P0TwMzTEC+vMtYz7VI+tfUk+VxfmSh8upT60XyzJ0JCG1HpJNN5Vhho3Q270ONcpfT5Lj1kf
2etzTlyEh7i0JHP9dgb1t9NGifBsmhwvbIfRDegVqmoVR9OmL+dugSkCC1wHwfAUzxO97TwLag74
ccMy14l8FdQtZqW6qW+mMtI3hqF9Ts2s9VdxzGlI5AH9Bbehb4UjPsw18ULzRz9AYdU3nCublZlm
1XsOiOsUVUlw7xS+e+g6ZyxWc6zJe4Fpau15ZehQ/7y5qTfuUkq9O71zCxkSuaFfBp8Eej8q5nxl
+gjkCqsKnkEI6JfZTpIXGpziTIoduBLpEqAA329Ku+HCSFRwK6n03KVuGcpJC87YMNs7mUbNTaqr
5lmLRH6hNqjJU+/iLUiyeD2TJb9xusZ6yVRh7l3Jp2wjfxHzp+a32Yv7G+UE9RsRg8vm0s/254T8
nSdpGgPcQIFI3koDAlnnJNswGlOhZkTJnWHQlVAUw8S8N+OD3vPVl6SErKdJ1ptuNP2TDxM0XSPa
TW4tLyWdIeNADmvbATmpg5+ZYqvflcQPHbJgrp/yPiK3o0432RTNd9lg2Rv4X3RtJ6nPaYgeyl45
8bh1IdFejCE2j4EBbkQ1ZrZWdKpXg8F2K3jET11k1nsmLwQuZk0bvGauK9YFMYef84h2PStTcogk
xjxGg3fgsrQvNeO0Yy19wq5jD5WOKPODAwNlS4O3u88BFz/FJLdsDb3RH5JB6LwcoiBg9Jq7tSgY
Lu2ElaGbpy/63LP891juiFodbbgLloKUv4BtzE47OaVuDnJVtsAnVn2lHBRfRtkT8FGAr7lfqgf2
/jSNH3syp5tV2jf5FJZWIO+buMn3FQAJXLW1hwho7lqFWDTym+8BmLvDkCcEKo5KOwuz2Ex+Wdyh
Q8Uh7fSvRLXSXa86guN8+tXvmXRfHZG86VH/3cvnV78aP6GwojaYVc3rNcUBkOW0aRvxaDZxfawT
z3sc6sx8zlJVfmEyMr60ET84lK7GrY7evc2Odcyn6I81kPRB7qiom9m94ahVxpg0zEx3NsKspL1x
K5GcRxM7Za/G3r/DFDm5nzs3+t6LyfKp2RQXjm6byUyDGVIYVfqunzj17ApwSDeibrTqtWYB5ewV
DGtjjLJtk01xcfS1rF13KoUFrVvZyYin8kg6jffqTE7zs44ELb2LxiQ/eYljtI99MicRYZ1ZToMA
lBHqVGa3TvoVZnqnPWGvIQnXSIaoZKwjsuoAndRal5qOoi2oyu3gdi80Z9WqHeN8rVP70ym2X0bN
VHtX1LAyCtlf+JfjNshJXeiZ6IrWPvfIRRgraJWzymJ2Gc1jUMZZ5Kmccc4krukd2UG0h0QT8ZnO
O0KIEr8btWxzabmax1lSrSVCvdk4r49t4CIdtLV+Z5TjtCr75bhlzWa/gqjQnoBwZ9E281ywMxXB
L35OelrW+GLXMW4MwVDcF3PSrVHXxofZjuWhj6Lo2BamOEo9PrtGDmHGY3zMWECuEdA3P/cWcj9/
dIhhaQZsM5A/NgS/UFyLvNpgoQP2XSUZG1lUdyFaQ3/f01ph+mMSHqxH+ndguRyjATSKEUQuaoGv
rl+6/kun96XXfUFY3WTOU9TYnDhCUktFkf9TxP1iBP8fRZyDte2virjwLRffq7YUH7qbv/zUb91N
WpiG5aNdhX1wLdZ+L+MM0/6JDqZOQMsvEYQUf/82h+uIPsgWRBmCg22ZPf9WxuGQQx1F9MiiDPm7
+g6D1/hxIqw7zGbxEgC4J9LARmP7sYpjo0Mp0ffjpVRg6QbwojCgyeyks+6p4Z5p24QAnvVxo4Nm
4ahkD0+Z3bEsdwEo9x++vf8wCjcY3f/x3aAlw4OLpIwztru82x9wicwe6ixI+oEjbWmAvKIkXPVe
hZ5+HDiloRGx+1ePbgxq/8KXDUL3li5lNJOMzCTZK78GUuq3/A6Co8w8N55mR/ON3eQ60Tdj0oxx
+9fv+I/K5OX7wwHsYjNkiLOIoP/wjoWXAAec5MUaaarAXZwJArV5Srccz1i1hmkks0qw/axm1hUO
ZZlu7YqhBRzWDpX8yvrZGaEACbHupCDvRhYJU0SvdbJ4E1dpcpf1wbEgyrlbL+SX5y5pThnMsRHa
k+beiDYZit1ff6o/XwZv4c5yIRafCQ7Njx/Km7RYkYzTXUoZBc9VTDQcRR1npFVd9iNBF23wUEdG
/j9IGsu99oM64eqwRntoATlFu4H44+PLOvoY23UXl5fSB1cFMbK/lF2LljZKnv/6Ay72sz++Eg0S
xI4LvhXTzMdXqmmNzg3dzYtfA5EEdkfNHEkCGFYZPHO96fM5tPTJr8LUclTxv26aP4iq+KDcKKaD
VAUBC6vDH17e8ywBQB0NwrJyvxVp77xl+fIenLnoNlBQq9Wkc+l3Km+uVXTlfZNE0x7Aadnn0bVa
PURiUGVh6pXFk9XWJsNhf5q+1RroGV2bC/xlQWW3e8dy5/6X7eC/c4b+fKF83L5Aiek0YUG0l5HJ
D48pbG+ndJwIxlIPO160kqROWhqSwyd9izI+giDL3mM/qM/j3CRbt7JHEXJW9r6TlzlXhD3FXmhX
6fBNtJb3dXA4N/0v7ozzp4tM/4ubiAYacrhFhvLxXRLiLfQ2kdYNbfk6Cvy1DJJ5R5AnjVbJaDps
x0a/H4rJIWGPwPSwNUq6/y18iqVfiy+p+IQfmCaul6v4RaVFdaBNLVc1Xe8nd+n7RgDgEHUszWDo
6jSGo7QrL2rpFuMkguXCoBxE1bWdbA5JsXdovX8y0/iO8xbq0ZyMvIukFS2vTWl36U8bYjJZG2BP
zitd+ek5X3rZDCnsI8nsxnm+trqVnpBMzj0vaJsszXC19MWNpUM+p+OXumvkQ69rtM9VIT0mpk1P
38U0H5vEUNku8jSa7lQr0TtcaFrxAuvTz/3Sn6/rzjxkVVkD4Qjyr2KoXZ77pacvru39Yen0t0vP
n5NivTNsM7htYItubNU2W+M6JsjpGsbhoGLAZiQLEVbaWcwUgFDRFWDMYBiV3LPVmCoslzmEL738
81joCYjcoH5wLMm8IkjxKlERzm++W7UbujXpvB0yP95q46i/mcvko7sOQebrQKS8DkfGZU5iLROT
6To8aZc5CsqaYl8yL1mxnDNmYcDCyCW9jl+8aEmxuw5l7GU+Y11HNS1DG2BajG/UMskR16FOeh3w
WNdhz2h54xnF/ZJw2qtr3ukkrumnyS9ZqJ0iKb2g+9GylFdfzF+DU3t5zVGVmSyy8RiIBtdW0Evs
b61gRp2aefWge5p1SCfLWuYqtCQR9QJR5HIVvr8uo4j9EHGQajbIMWMSB3NpRLcJWgcSXbPJw1AK
ADeQZ7eTS+6r+iUFtmcv3LrXcFjqxiUptrnGxhpW1hXb8honmzdsXtFmHITLAD9AtrqaIiZJYdVF
dEKTAKAUrQ0vR2ATcSrYUrMUc+jPDitmadLuC4uk1Zh/dVPc3XVCK4pNFQv/u9YPntDXemXKHart
3sdAGsXRkUBP6TlpWI5dM0/7jvlam2yIovGKTdQNc8P0qivFdsohqpFXCw+RSPApx6zGoTrftaKB
rMllNV+0upiNtWW5GVOmrNC12zzVtY6w7rJ8SQvCHg9WG8h8g8/W/TT3yCa2zKZM45SopEPP5JHi
KXdRO9TlA5uxdUxjyrFtXy/+mUrm8bzxDbA3mO+mWt0UPujdjcaj0q5RgPdHAJVOvo4jKya2Esoh
c0KvW1xxc2rN35BzBfSveAMFs5oiaQ4kVtr7WHiZG5pZ1lhrUWFpnPsIdqimYLbdpZFK7dASTUoW
RI2T4oSgzN4adRSTjZoEhCMYoGSqQ4JmPt5kgZ0sccYz5TJ9ZoRqTYzFZAQ+Oq/kKLSf23KqwBgI
niPzYswoojBDDrZmPU65MvuLWwd0o0uMejdOX7IlxR0Av2UcDP5sG4nEKF9nIy+TYzPhyt52ypnF
yZCxfLRT03lzxqhY8h+4ebc9eBJr07kzA+GiNxaYrEWke+iraAMRrHnNleJkkcbp8NA5rnqvcT/t
Bw+K1sbPHB37oh/xe5y8Ssdt2Q7GBYKoZd930jEeDanxLxRltU8vewKiPEADFft2NE06917cmbdC
84LnUm+WmzNNm27n5R2iqXGyJYaVZplwJ6rkjVVESRsndrDgmWYld3fBKkk2phGMzC67IDLvUuCq
2SeyCgP7MNqp6m8kUfUcPunX3jmZ5o7EIxW8dFXNMKlHs8CQqWfe8uGXt65Yn3hfdWFcbKfkU/QN
LcdVklXZDC9i4NGpcxoD92Xr8ci3PaeCmL9jTTVlmdw2hj215cqqE0yxCQKj/qbQkrpb0Upoxi1w
Tt3aQIo0l0WDhynkE7GAjIGxnJNlWTxHqEKPPlFTwBthHnJfTLH7pkqLtzG2KO4sOerdKeaYmyJs
KLP0wWe32HWlblyaIG5eoVkxUkiwiprHyo+D/hShLRrWU+vh5py9ydrVJl8rRXAzkaGXOXdYHfRq
3+jTkL0oBADdvoi04vs0B8saQrmarKkD4J4Jc0pwDrlF8KLBfCZZlljsFezEZjO1KvkkKtmdgiJL
nbVjtmbMsufY3mpIzOC5TUmo3eRmyWMya5EVHOySgPRvBQvydCTTgWdDLSv2JnU0vtGRZsmGTUY1
J6PtSXCNAjjH7LQWXjGvbdKfAQIHj9rEMf04B7I1vsquJH+uILhiOAhl8qvGwiBMx1bxIh7nstD0
ywJ3O1fDIG9GeFYAeRFd+l63t4txYB6m0LyFGQm9M6OjrKpuSne0z4B37WqTNGUxnOIJZnHoO12R
PHIS6b7qARMG2miiG4iT6RRaDzX4DbvA1DwwZTPEZ6OibzasZk5g01MtLYjMSUOPnS6xBoNAi2r1
zmxfG8Lc61zmA6D67unaRPOu7ZtObMS8SDaEKVPrbqTD41wKt2bA0dSD7uIXSWziOTndEDWf1Fw1
uMHM6NrZK1g7ui7fGKM1ttgm0V7tZr/h7s/sEcTJFE30s+lruM0LFDzjMU2YZfM4iOCZe73o7kqI
IyywZh2kWx8TgcIa82rSe/MNZJOD9+SYgIzWyomlfWNHuT8Q/NctqCCcA8WmFhZXk8IBDYawZIbM
tK1xUJqjnrsHvJMBn2sctfgma7UaSG4XsWYw3O/lTc6ojzISPuC2W0Jq1mrU9cPUQN5bT+jOoTxE
iXdzLTz+GYf/j04KgR/Mr//7OJyTatW+fa1+HKH/8jO/9VF0E5UYIx0acZRMV6rJbyqxRUDG/Bml
uk0dDojx330U46cFO7k0OagBPqrE4BMFhhnQ+fg1aebvyMQWFMuHihKnDSp+UgB8Xs4O7KUY+bEk
ot+qRxr7M4KPJg0YKwT+EiA5BHbZHlO98GhTZ4zlQZowYEJpfLZYAQnBLJgPeHKFz9Ku4yOnLz+z
bkqNGhlujyZ5ctOaKCVC63Z9lsox2mW+cIQ4O7EaaFTP/Ck+fNzOvNaT7jDknNFB9UU/JmdjKJwJ
4r/yPW1FIjVrFDlZZXGEo8nmkFkqx/GJsnPQX2HakUpR/R/2zmM5biVt07fSMXucgEmYXMymgHJ0
IimKorRBUIbwNuGv/n9AHfWQJbU451/3Qgy5KgCJNJ95jdO19fw+bQDMWFtPRKN7Q5G3j+W7JOmA
IUmWIbLZplb4RAhWSRLTLtoMuBzMrR/ZFVHlf+uP/1/1R5OpTm3gPy+bq6rt4n/5iFPkyWuI5d8f
/Xv1uDakMCyiKXdgEULDhsX49+qBhIO9ECVICBqAbVli/149K5gE3xmQ81BtoPOv5K+fVUi4/4gC
sNwsPOtIA6x/snpc/aSigI0blBQ4KeAIsFWyTnN1N8O0os0V8I3Oo8xkyCzG8lJF7P3m0CIx3w04
5CGN48bs61jgiWNplrh6OIvCCIzeLxGitUwF7Te7ipqDltMuxVpyKGFD6rGlsCG0vYs5jEE2V6tC
vA3GuRM9AehspsSitWMdh8Rgco+oOef0/MHwg5/2LiTork+l8rCEgD3QbgfA4jU6AoZ3YcSmeHyO
TMkuNND8tHAcOlamV+/N3I1JWzOI4ls4N6RPWZogE9J08r6nK03wWutUMjvlTbcROnv3RWJMt21q
WscwKzgorXpyWxwzyqw6q+y28s4c6apvytONu7wsCD6NuEQHqIxIh4A9TNeIja/LepW639RStPiE
IA940A3LuKPWbD+6JmL7VaX1B9QKrA/L6E3X2Na2B2Xp9HScQlF3NRuev3aj8D6F2Z/4DSYsauPK
VKl9LRf1DbI+I1CKyrxLVF5/skJo6puJQhRMDhj2iDLZ9uMcreYtfcQN2ITTJKI5V9OtyLxLiRsL
n95IjGWEnHhq3OPzDVtf/YmkjWdHLps4oh8x4nVEUpyXsRtfWdD8LzxMOTftmEyXaZgMRxrDSKYn
WMJsXG0dT2damcHFBGwnYF7zNz9eaK5HHO0Ravn3JiR2ctSZYiavVKkHpMMJIcZ69XMAJERGoKuc
WByxKR6hQsMfAfKBLhMBT042Yec94zKmGvcYY+oXUn8Rmu27mhsBa+0KezjUWPLoH1tHCWsHB+WZ
4rg8xWHPSOgDmQYZ1y0NUHs3lzHk4jxMwvvFVOmNSxIu6Is2ml8bhXmHgAx8RfgDzFrgurtsoie0
g0TANy2hyU+XukrCnTCJELTHTsEZ+bPbDcwGs1W8WWl1JGNytq0jNLBeXOauS2JQR4rJp+G6FIRU
albrk7r7RsmPiFnvavjK4wr+deXECwb0RPjkyQj/mSytCa1L6EGJn8mcsHBgijobg2V5UdUk5Idn
FxstHUzLBzHCff8INIsMxw1Lj6jtQx9hxoRGr75NE5E0EAaNdzes82SWU/2JZuZ07VkdtGq7rz95
huLLugboMCQmuXUFpLB5AKNcC6P+1MIBvX+ews+J35whyVWtiz1dJ2noDNPtaPUMyYiOyPUEVum6
wMfjXMQppQzTEWR/pmTguqq2LNIxjwnTuzq+C7RvVwl6lgRuTsl+beSSYWHDsKfsYoG5IZ1dXPwQ
GrsuYkgvDmIOYxViXYUn0KZWeBpscI3E5gjoJ5iBasasxKS1SHkPlZ8xKXgc6gHHBLT5KvuwigB5
us4E01Cy91VGOW0btnAEB7PjqbF0oCpv6tYRexUJRDmXF0vj8Aq7ZOYbqhqiN0INXks71VVExWmD
GhmuOmpmP40WGeh57R4crFd2OIzKC1ABWmBhv9iuJAmel6g+GncLSoiQa1gUuHq0gC425BvTbWFW
ZGWzmurLKO3lNpmx2bFm1vKza4JXQj0jjQYdsorhiyPhvBekHVuGrodgdnBaYQQLMd3WTHTQtHHW
fMr0sDnA44kox8fmHdKkxhXy6hSdCJza5b0iPhSHCSX/o7XwwNCYSF00CTglyE3NuAv1ZanPosql
P2KVBW3kAuUV4CV4WvTCJNUeRt5SnoTiUSUmWzPMfOZUiE79apay8FpbhciRPkpW+FQaxl3Tr6mL
DTYuwI6BiKcAtpbtDNXJLR3r+tMoB1ZE4TTGVVJBuCkKg/tBs5hCxkDLmZVo5NUM1a3l680oVN+i
DN+KJLaZ3TA276x17rWJbaTnou7bQ2+4erN7nvM07fiQ3vHMvtms87+nOH/VJ4O8t22DRNTS121v
GJFhvMFTKpt2Oq2hfNOqzgvIadf5KBE+9uvGk/doMfMif2xpqYKWGNTuWoaxAVX3R+h9DTr2MC7b
bW1oxrVwWF05ACHQJSPDa1H0eV5xxeCJ+7HsJsOfGruNd887a1XFyNuj2dXcG4lVlvdjFM3ZRxsX
2sTPQf7hMzCMWHbEnf0oc9hFYDeKGyPuTd+Lym9lPMljW9frYdAQ21N+jNiBZU5HaFyAkW5y4ofe
9yqvhssTx6URv6NyMB/YfiyEaTBdIoTYRBUFALD2izwvSuRr8fMIJ5JWTFvzmyXNvwOZXoEGeadF
9xyleAR0dsEroh69bLJ+Yq9lTbZBzBaD4dBoUqME/eN8q6ikVBGm9FTDe32E2DZOxCEW+jvCO1Zy
PYiUU+Z3yYw0DmeMd41yFw1/6orWrm2sZNMY2KLBX67OsVimTu5F8YfEbWxYcmX4uenMLdTO5kIh
2Oi3nUs1JWUNbPrCKOCAdt18VHFfn7spwP7wmk5ABcas+1g2/Y7qfbPTHFde12JAk8JFeIzm9MfZ
yWuNc6IqnPBI+b1gV6VrsTaogN3ovYl3WV1QijEBeJCggINxAJD6dWUWB8NosCROBCovGlyxXVaa
g9xQ2YKyO41ndhojeaO54zxszLKO593swFM9SKZl60eqt7EUoViJz4RY3nlT556pVHLMge45IA6E
RgZSMx+EMVSXmu6U75Il885cM2T2GoKgJPaqbeSlNV5B9UTBMHP783Ya9EsXmgn2cZo9PSK7n36Y
3eKDSN0mv8gbJW4ahIbhaqrR88XSStij1vCk5lZ+iT24g2qU5mZhkm0b200C2ijtbtZSedAHZFfn
qaMM6OGm5AuRrmZLKsW3FglxoDq98y2FVrhbqIdzjif6NkrGD1Km9S5L3HZPU+EzxlK+naTuF7Bf
sFmRIQiMvDF3Vgai1Ozs9kbpDKsjS2cLNG76mvbmnZa6eFaMSl16SbwAN5ltv3L7YkfVVuxDObgX
tUwE6srqrpE9qketQ2SE63FTXXZLyBaVUZC3qdRsI+KGs75ojTNTtdqBhqACRdaLi8padJ9BK7eY
99rvJ4eG49Q03laT5IrpCpJhhmTXoklxv/XOtCUz3nEIgJgRQ7mLPM055q0130SV5VvkgAdgg+3e
W08IC+DoqpXUH2x6qRuVzNonFU6I9NWtvFxS+6ZPCjOgJK/fYnvlXVRz3n0wJ1O7mIs6x5HIc/nc
SOz6pRtySVxiIsLXTWWzT5OuekgJ3wnvekzemN9mRp0s9A7uaGlX+opJ5OR1gwwCdO/a844maYHp
jes+alnxMGlNBmeU9oU/tK3aaS7TZkPHRN/M0Kr2epjFPtJRDUDwBFignXMQRXF3HEr7Wx1HAiIP
+Dyj1sH0gDQ6ApC2HsNWr5sgxDX4gYh4S3QN44JmRxnQ7M+2XSOcO1x4jCt2/rbYJhWtNy0x3YOu
JrAAMS5XypxnXlpujBdxr7nGprbwwsKI2vHoUgadrd8OIwrF2wg6B3VIt1nApyahgTYZhXWRH9wF
+tM3Nv9oF6cmdHEPxhL01BK1/hiD100VWeEec1SNjalNnIOHD829likTQXwnNB1gjUYctHVHBhI3
W5c29GWiWBcU1sb72vGQEnYApct2znbL0i0giFdwb+omO8fM9Q9jNHlMcRzGhHaW2Gvgx0aKgshX
CR3sImoKQMCd+ghltT8vWu/SQaWVNjumm0Vv6g9yVE6L/o0Mu7OsaebkI0o3vX4sMkd2Z1pjgNM6
sGuBtZRW34wwnDUip4jELXwXYo5KNDsAoJjspKJh2uRs6iFsHZwDtHEGNL4BybZY2A2kWBT4Zi40
Hb8vTR8jyhZ6b33y4oJT1+zTFXafeFa0wybJLs4bveXvs4qQK9Dtgt7B0JoUIe2eGDQG90uLZ1QE
Is6wVlWSps7nM91YptvZHI07mhA59NmRsFxSsX+rG2++Lj2RO9uuyy8gEzrQAnf99xelp0FGiWZp
iGSW2AXi7QbGXPmxk9Ucd3jCNDihFDgl0hJ4hFg33zYdWWYTk4Ul1dTeFmXjv6hBXP/AUbxUtDDW
zvoLeAV3tKpvCNzLhYvgsHFyR5pN87tnxz9Ql+fAd+iN3HYUE+4VybnaeNj3kQyapvomUOQ+gmCl
rfkMwjBaNlMfLPkaPROS/vnGrN/dmCMoB9Ioh1V6ahPjgpSFSNHEh9qJiC2iiqgZ7N84tkjdglhU
5XvYbp444tjOu56sSmVngzCH214MUuHUMCJWoc/kOeI5ojE6EhAtIfyFF0DglUTA+/IQR7BNu2bp
pcRvK9CKkDw3c9eezUxJ59uPdCIpxum2p8PI9Jnr6TaGBg2pK12m6/UEfkzKDC/URXmgWG23Jnb9
83CYJzif9T25UIVor6wiLL8ULWNDa5J5cLW9FdvMXrNa6Ot5oHKZMxN3z5KF32J6g/YeIVTS3qmI
ua0ZAPT7STqMVmQZxJX2AmsTwgG/ZbD4CRJzjrbPib1l1uvLpr00XQCpjZJDFVG78BO3pmUTDbAR
lrng6raZkXY7GfR+GHBW8e3PD3uCBlkrTDb1L5M6E2QbcepD1EP4TuoOd/ewkrySoqqs6eMill49
AAaiiyAKSdBelXaOVPqIVuoboKrnWf96VQjAmeuNYAHHXZygqsbYoVNjdhGcEgmoNSxVlAS9NEIa
sZqKI3KysN4nKzbovKvhKWxrR4VXEYrLd57e0zakGzi8sXv8ZligX1g2jTvKf+7p5lFaPQj9VESH
Ultd/yaC5O1q8AsWcLVL7BKTBKEvFnIIWmz1pz+/lOcFdzImXN5Zf5GpUqJ/vXeVs5v15bAwJvT3
IS4azQzBSjUeYmqiiGfsHhBT8ay7DCD50VizVHRFRHo+gOkx3wmHtiIwmayL4kO3FprqJipTHC1t
Uv3nxubzDf+3f/NW/wbG4ItXGzx2j397KV09Ft//7/+hsIlZRJd87btXLZznj/0sQhvIU9NbZM/h
ZKDOy7HwdxHatf5yadzoVH7Zip5tH15CYW3WLfznn7TFn0VooWMxIbFOA1bxLBDwz+SeVlHtV8cW
0MP1DCVNM1xbBx74ejKCKoF0WSUD2sOREZhxAsJ8KaVvd93D7GRfPB2iX10t3RYUpKSa66jNNM0Z
DeasJkP37rzBy860vMsupz6/IEEmUtMc0KythVumtmpWQ1OeewExGCYOXP9CD+ANWPRmGrmrqT0B
ZemlDzbzpqYpE8CsLzep8LKt0XBGRQbXBEE1+CnCHb4O0yJIM/VAoAwVgkS1IWHzHTv94mi1HuS4
qOBSCDMA4n/LQds+GNTX0bQdLPRAbW1bhO69Nuq3qWV8GVou79j1Q14Be446hGgqF5yNY5KfozJg
lmsyVk/dVm+bB8dI5aZbZYBwy7U2JXiLVQZXDwbNPbatd2TjQgJXMTRsJdiaFdZmSbMnM9OQlXcY
ysprVaA3fGk+MAQCmRwegWHQvWORKBWQMXMe6tzDUAtYT6EJmCc2q0MqUHGqcqgETuPwr5m4GT3s
HNdP4vqK5KzsEZsxV0rZzBDUudVtbVRHyVjyGznnwzZXXBJEj31uCyzIgT/jbdtwQ1btZIG+RB8y
tbq5uitRqiqf5rIBxmCt/qjhDJkmm0FWSawgwxzhXLxv76QOq84q89pXWG6hYgBcDZyJt6n0AQJn
KtVd6IU4aUh4gRQ4ll296Mth9Bg9i8Y8XW736Bna3fMkSRrcTWfRKMozzAMANTdUXLBI1uUd3fEB
xBA/Ct2+GRJuKkozcYQzR+cx7RWGAsV05koqCQNN/EDv+L8IZlwlyoD/XSlz6w44QDuhA6wMMAOW
mOCqCtu+Yj4/TTKDh4PGxiYfky8Eebz7hT+lbKubwdDKYOw8hYpFxWcKRkkZ0ANNt14u9UZJCmjt
w/P7LiKvpJrLtOpGnjeKmTIoFa9+PXQue3IKwuToiUXOrKYvCS6F2em5TJVqXQtR080f8pg/Ol76
BZ1E3j+H5waGTXLVM1xIMtzNILm2Y8M6QYw9PBu9YrmMIef59EoeXHznfcflDXs9k4nM9ep5MMqa
RTFq/FfK9F8K1Ma2IaCVs9xU9laETNo8U+HZDK3ytlC4FJnodhDGzINvdRj0LYWJVS8pQVDQugho
f3APUazOPaVN+whc9YXVhLROOsQ2M5dFSQn8IhlxfYWcyyxD8wZcVpldeiYL1dLZCLwBTgvsHCxh
WCdoZyU3Q4wC8rq8rHRZaOP05nYSyGn0CFhsqh5eLB7DKhCxzM6iWC/3E2ye7WCsyzADvvz8brWC
x9fC8sKhJMEWwhQoaxxsKPUiar3O8sXNll1Fgr6HQJdtQXbJHToXeTBqTOfnCbDOcJb4TSKWkjIv
25gcWN9ikcvh+TV3/Sra2jKNaKCgtZwa4WNNGniwiWv9hcTHL3tDO4TSYveyky9QmHgFRvYEExST
b4vVo2us5sLqpG+WRnimt315QSI9XdmTvcfi+YsW0a6m0lRehBmGrVTwEr9fdO0Q2axT0jrjYqbS
tCN7RXyNWu2FpiRXL9m+3LSAks/mAOwNVIjYyzhXcIsmvswYBx+xP8fHQ9fC7NlWm4aiyXF08H4G
yucFU1LoSLfZ1lbLIzbFyGBzo4EXaG4m92Fv3sQW1uOLUc57QDgmHYlh8JF+q3Fx5xbG3mAVuXV1
oHfODxdT9+e9yZSTuX1etIAuB1i12h3fHV/bLVOitcWNOa96eKuQtg0HgmNnZDI1U71TMKdwTs71
AOxnCS5cTFe9mz0BKGBoZlbA81g70s6CrOAre4P3KkqgrWLqVKARZm/ylWro5lp4bUJsC5yqyfde
2Dw1Ln9d9OmWRV9vooT9RGh5sjPa9quna/a21ID4Vo17T75fbTMtvtbG/spFi2VDxBadzclENqPl
Kjdoh8z61sxGdKvKSUN+iWTic2bnxbDBXk04W6yiUKldljb9YqbVhO54Su0Tp/o7O8ryQHljnV7O
lBLPkhEn+42lgx3dhJEh+m2qI4URV0l3TYHGQWMQGhak9PaH/3CGMDwyGbgSQxzFodhpGu2sDvtH
rauqb6ghfhW4TPSbyJqyJ6+xtAU4srYsymdhUGwt22oH6myS9abVGppCKXbARSoGLYg4igLIO+Gl
xNVV2+UWVYAreBKeewQlqIpDR1VJe6BbPfgx4ob5RRjTh9u0bW44fjNnTXJlD445b+nxhtpt2RM+
xK5z9yIU+00+fhrjE9cIhyAf0JIOU8U6ScdzqZmLQHPx4CYzfLwlfkoyDher9O76FmdUGzgK7jzM
9D9fF3jAaTxFTgFnGWKp7lLIeR1PwVUwZ9nV/cEYnzc71iCi89/KES+Jqc6e/ny1UwjB81PS+UAV
A6NL1EFfX20ZI00gX9Qf8pkJskYCMkMSIIKC/uO5/psEvJEEwDf7Ixol+J4/jo/t95cZwI/P/MwA
bDBcEmoR9DXSgNXd7d8ZgE1ygCY5ueBPoNbfXDhL/sXUJTvAZYIUwVrThp8oFFRiBfIjOmqvJjk1
DhT/QOrLkL+Uh4CRIZGy+taQWKAB8XoKZSkxkbHI5kD/In5AVKqsA6e2ULWaUJGjqtEW3a5u5uu8
MpfRzzF+oCInURvV6x0aJSUxp7UYD2GCIDJeKOC6AVuO36fO0dbTPYXRjkRHHuGF7mkaGN/8s9Ba
liKyQ4gPS7WfaYxvEQ8E+8UgJoeQmOx92nHgTXD6r/LUhtDq9cSNLhhP4Ydp0Z45hp4REnC4U9CO
4bvisg3WvD2fGo5Bp7AQq5iwqhi5OXNjtU59dJckPFKo7m5LGYkz+mKf6ZtoD0lecP40JQWuZioh
YZgRYHxC5dpT9btlYpMoJnVDy+obBlA8ZMiTgoK5Ya1nOwluJwBioAHqLrs9gIunGn2NcYMbAahy
ndTJrmkbgYGpd3jad7fxYN441qSDlO8ucQqyNr1JkGF4d6hHXhqhLEE1lO/BtBkXE4cAUgUlXSa0
JvlR0DwoLoRXP4QYtvuL0U1oK0afCbCPKwN+s8p2YLz6ubGJ/TCSfT+B2PiU5YRHtRXHtAlqxKvB
JvsYXvpMwbvJolHnQknJQor2Q99sHJuvlg2Vendx9XdAUDToQxmigkrm9xXJ3D34V2KiNfJvAP/v
qLdNSIJ0IKX14kkt9TUU0OUQUhbvxNw8VsJo71BLBDqSgMn2rToHU2vW17D6DqG3AM+2u+bdPMTt
g8i8O0cl1Z5SbbI3YFVcOGHmbhcXjw/ZON4WdbUP+VJjyiCs8UMkQkCEBXI7hCirjK0M+6+a3rR0
9RrduumQXL0qElhAwWjGE8lJ3CxbXBneW7Ajt1aLQFhgVtatyjtEp7wQdVwrBiDNysGGY0iCOAdJ
PBRTI/c0MyHUR7VhECDM4Btwgtx0aLRWVyadifMIsYd+N7aa/QEcd3IuCkf/LHjwQCG+u7p/mgmi
XCChd4YHpQjAwayfjzNypMcKRQhU6dJufsJJd9H2HrS48GmW7niZm61Fi7ckVM2p2qKuRxe1LlLj
/fOR8t+N/o2NXhoWW99/hh1Cd+ra5Gv3r+rpXyB3++LLawb0j8//3PQB2ups9c+2DmvVh4P7Z9kH
X12DmhC7OlTCdd//f9hDD3iuACQrQRmy073EHnr4DhHF8I8/0Iz/0LLsJEohLbdBFhs2fXDqUuuT
v2yfzPgDGlA49EM2rQJ7Twguv5vmECTE2pQoD0Winyna9yykByNjZ7PUG3HSWkp7FSitt0B0hjA3
z2yuipWvbqFCzrz2vEg/VO2sX4XiYYY5qYZsWxao0ZpoMndNH8g6KnHoCS/rOgJEbIpyO5qfBLWF
JSahA+Suw/uh97XrsJioXTgbq/SdsIcN4fRavl37518FKixJRfZd4jORfU6pBay/nQVK+8n8AWvG
fVKgkKxtZ1seRNWRqUeZc0GKW+LBrXcEy2CILCvQMziAVnk/exk4esM6TAiMFHjWUIM/j3podUm6
3IhOrfhlajKedsmCJnhH5xpc5AU6DDfsPP12Qpzf1BDvcOQnw9K2KnIfQeVRnUoNGHuWDwWbBpoE
yBlv+yoPhqnwoePcThoKlw1QFRhs26GrP3Ne6fsk768jhTeSgb0cAuJdmvmNM+Z7Z+E2xo7WP8iU
r8Uk9H2Weugf6ePXUkRB5PTqooTSRLGu9qm+c7Fll2TWu6hIox/dl/9uLm9sLqtqHCHcf95ddlAB
km+PL6PIvz/z947i6X/xFbTvkE0QBIYrf/onmtn9i9IyLjJA+xGWfda/+xlHwgUAqYxZGTegm+RE
/44jTfGXTU0a9D0UyWefs38SR/6ymh0YABZgWpsYy/ql+xnBI1m8uuoPptmjyAF0CuivMGN5IXqL
JqJrt+UFGsRJGciYysKLsfpNsneSBtHIWYvlMCR0HHTQnDjZS5oGYN+wTN1+7M1h686FszUSM0e8
KykO/4tLIY9LjCtwBnJOLtVa6WAYuH/uiWfAMZrGSB0T3AmE9+Z/8VQMpcQQxVg7AWuq+aLHvRhT
VrNDIZYzTQliQUsTtF2X+d3k9sc/P9VKXn/RknoeQPphutAtJgUA+NeXQmiiz3KbAZQghcEImxDy
eudpGpwAyCravRXh7aqF7aMdUL3RkmUO/ubiFNTWWQys/uQ5O1TTQqvuuj3eR2Bp0wmjMEM0b/TB
f50jNmLGuPJSWjFxWjq5ikLAXA1N2O9btCdb5iYIuY09Ne6wTcEKFG881EmbmRG1qYJQBiB3Y5o8
911evDwUeE0rNoDXUO/qIDy2313LfPKiqiBwK86dEILLn9/hr8OIJDLuvDSOcP/+JZELY4pknlX1
4D5txE9h9/GyZLX981XWYXo9U7gK57XEIIuamrUO84vnAoNN7NBk/d5KBoypNO2CYsO72TBphOiF
/cYz/W4UX17t5KXB4Iga0D/93gPpuQmRnY+GAjGCNAOgDvxv02bZlz8/oMlG+ssTeujQ2GuPlgnJ
vv3yCecYB/NxZNkZsSPeoY2Y30d6T3JVLcgUVRFZZ3PrIsnrN3T/vzmd7p3VtnXoo7baD70ctv2E
smw7uvXXabK04wzOdWOGXfN+aecNBInIN7JmeWNjMn7z/rGdduk1YoFEZ3v99xdvxlMU4KuOZZSM
vcg2YtWKp1WH7Z+mWeSaygAr5FVjYDF6WxMFss/64k4USD28vRDF8aM6ku+gpf596v9H7Qz7t7fG
/ryucJtfJ7eWyhzRADvvEKKIt2YY2wEKLhNUfKfbqiZSHyZ8vnx9dGQeAEIpz6YybS9g3w8ZmTc5
46CX0CtVumlmTKotqOBBWHoUVsG0E3WZ7ZXpLNpxodoaIC+G5Kdrk5hSv7/v4YHfd4MX+hJKud8K
zd1Zlgl22Go9Yp3prMta7My0nKAptCXiofZ5LLIP8DEpbIrZ2szWku1a6hW0Brp3oF2XQ5O4C+Ej
9ewpzMML7CP1j1rbDHtA9RqJ4/yEt/dt53XZRqL6eACD1r3jm8vdn2frrwvEs4EdIbMkhHR+gTJM
ih6ATXS3T1R8pWV9jHKMjl/ndNcvYb3tgc/+4yXJFSEZg3ZaaVXyZHlIMKgeiMlu34aAapXYIpT9
VZbiorWQTIAM/PDnJ/x130aLnt0GMiPe6mD7X09rFcmh5N10+3TOa+SnxXgEwgRLz2zn4M+X+nWa
wvoC7asjn7JmZyfTNOqpmIzoE+2lN9jnFei7YzX27hsD+Nur4DZPmIJ8AGP4+oEKKJNFNzKAmtPq
7aZxpXZAssC7/vPDGL/uYzwNwsIe0SIAOfvkOhnyB4ZTU16bICcF6D6mO2cqkGtSZQXNV7mEFEx8
ithIm3gfYZfvK5Elb21LFo/z+sDwbEIYqiCGDcFLnLy/pqnEkgyu2gtUZWlZynyHvkO3E2OXeLTZ
FnFEl05uW736nleje5t16bgHmzhcFsuC80dWhW+8AfO394TiEBVP/LLs04gjEpqmhbGl9mXUl0e9
tbdS7+HyI2l7FaKR6scuxJscgQM/b7T5XV8neNPQmQmkV1b0xvLvuTENV5k3BcsyfkYo0vSbpKvf
YwwHZaZL7IMdxeNZOedX6M6+FVz8/gHgSFiwBkGyryXql3t9aLSyAIPPoMbzbYS7za4fRfQhZheD
8OCmQYiHkF+4TseJ1RZnyGU8eol7p1pHHvs6DP0Jl4Mtqgryplrc6s7D+GnBYeDM8ugkokIw0+1P
YcakXb5DbqR+Izwy1tf+y7R48QQnsxMDcG64min+Qn46CxdZnnWAs4NU04Muadnke8rBaarDdaNU
qWqUff+8QE6BkYRozEx6JhTAPROv55Pl7s3sJeggqX2qxR2cPRycvhBWXbtCQfCV+rcqH6aP+ATG
X1Hk6voh8tPKpIBqxTT4I7UzdXxgWhBmMJmMsdi4Zl/7MRfcU3hOfZFGxvcZMg1bpfvepUdt6yk6
PJr8iMx9ezAGW7/QbCM/LFX1CODhvTNzoQimGrYYUtlvjPmvoZvnrIxXQYTgwH48GXK6CW4WgsjY
N2n+sQz37pDmgbaAZ6aHbL0RJ/5m23aIgVebbJcv1k8yCoiEDl1EA+5kVD5J5Mw4talHC5Rk3rjS
+k0nM4krrWJ0gpKIfhrYY4LW125oM5Pa6C4zrOhjmi/wyIqZbMKeM0QddEfzzkLHeMvp7Tenr6ML
OMaWxcFE4P16GXYRevBhqkNSd+dPaKldT25zq4vwKXe7L6S8TvDnKfsce/7yrDYEfsMk4aYB9PqC
ctDUlCRMWdLw8ra3iHvm0ArgUgLRGJbvaIjcVUk+BdFcE9wIkAKDilrEz5c3Vs9vJxMCBJws0OZ/
wY0lfTfgAc76Hb2qC/TapXmCCBQY/yry7Th9+vOT/+bQxBYAAB2FQlsnyX/94I5MMdDqJ17y3AI1
qY3QX3ovfiNH/O34GlQymEkML8zw15eBGhZVhqjVnhy59b1hwhgduieYIWTaR/S8/AjNmkCbG7oX
IcRGqgE5ylHa+bI4b+6Rv1tDxCM8LpEzcponbxtbMTolpd7uZ0PEX2qXngJonKh7pxLDRv3MqRzH
r3q+APeplcI5OE1uB2gnYESGh0+cgfaZx0tIzwAHzK7rDd+ObPXtz+/mN7dJuGRTyV6rP78swBpY
UVd7otljJtDeSBDoEHfc8Bzi3+Ofr/RrmcKDyEL+ANDeBahxMiDjjEtbrDJezwDCAT09ZEza5XIe
ZtgMhQFzWBXlPnY7c1NhGP/GRvOb5wSUBYyeTYaI6hRIH2teMtul0+whW7e7XiCnI1Qjt2QNyT+/
FKBR4TKaFPy80ypTkhqqblq32cNuKp6ENbs3wNQhOmiO/tbr+80mxuujLEKIiK7had5oLsgeVz2v
L6ENG4T0f99jWYQHno5fsz4VlMgrWFB/fpO/GUu5CsCCw3cAqcuT9RxFeokyod3sEWwC0WcjO4AN
thm0uqneuJR8dvg82TWJNHSESpAqATB3Mm28TFR9tBi8OLFyWpwZQWocn8S4BKhRlbnvtMoMHGLy
3G+sYdR2ZI79tF0m1yowKLCZSolFjfEYqjm/N7F+gDRUZl4fIBnkQJ0Om/gRxW7tMkNYQoH5y4EB
qXKVQi95JAs8aUVrRQ72aOxGlEDnc3t1sYOV5C5bNCvjlH5DbNw5vQkHIxeTbe5So5icLQYSsQlP
CNLqdyelWBJtajKY+HyKWysM2iRr4w8K5Yf5mJdU1/aoohViq+m1cVYs6ADtVZ8N6souQNpciq6f
wxtHoWa248/aiORUqzKwkEJmZVBmg4guPbdc5bdtq0p3vd3k7weN7vJZizn5wWgzOOxz1JqwbuLk
vlAQYhAwgol4ROs6AsnYV1W2mzOooNuinsv2Ih1IJ0HZypp+hIKBiDnnYM9TUA0I7Z0XGgpF1B2K
GkJmYa/BVYKVy6OLntOMiHk3+YsHlud9bUNx3yOJlc7XY+gO78tEtN121hrp3upV4UVbjBKj/kgQ
O+0ab5IJyK8IKUdUZpYFik0q9yWA3wq6ylr+0zWTrlGjbO8D9K/cn/ICcp8S8UDft65tYGv9DXXe
XT/Y9cewNvMHuOX6bVc6yF6iSnDQVn9M7Nnf9fm8Kxu1m0Bh3oYuRVQBuwEx32RvimwMMpnR1+qH
M2uYR4CV6jHNHHTrexMTpnSydmjNfROWNm7pOIHDEq27d/BO2EqROHshlwpcqsCq/X/YO5PlxrFk
2/7LnaMMfTO4E4K9JFKiek1gUkhC3xwcAAfA178FZdWtzHxWWVbzmqSFpUVQFAkcuG/fvjbWhSsJ
QPvD62AU2P2E588b3tmCJzvRWlK2xmnlpAUrO+6GLSRx6wQlG98kLN6CvplDiPLGlc+W+I2l+D7o
FghzhMIwzpazczTjLk3Z12I6GB2iwM7DMct7igqG6ywJAeyV3nwHJ+QgOrtbpexq8p/8nKMujcpu
j/k4mutZz8Vm7NpilSXRAFaZTAtlJWtm6f4ta+cXKG7jxlB+wlZdS44BM3N2HidzN1O6XqK4aN6w
L+rXEDBwBHfkWo961367miD4EC7K2kew3uFucA5tEcwrj/Dbg6Wn5kFOHv6AcTgyjd+mTmOQDza9
lPDiXqo02nuOfZ/20wvMPkaJeoBQ10cvJQGXLXdg6R+G3gPdrgmYhI72AL0oOsrIStduXPt4VG2N
70EQZJ8F8zqhb7ikrTbcirj1L7JnzKgsed1NkQfKAszgpFVfUqhmD88h3aeyBMlZ+sO3Lbt+NaUE
WmJTHNJunkCqigoyNYNEvWWHvk6DjmRknyUqk4vnucQJNK49QR/Bo5xDgpBW9YqxJD8JxVWWTZiB
/dw4kCg8AWjsajwZs3/FH+rNyA2xiX6LwPV/C8QlMdSTAg5MZBOWO0uzfdUMa0v2K3s6GkC7Zuct
YbujR4bX3soLs1+XfusBDKiZb19rmovrMff8Nl4V0+BoR+RZHbBFLeARtnxSxJRUBTuZ5fCQoOrf
mkVG0FlZ5elBZeTNOYBAT4Yy/S37B2pmGxcxLkml/uHqEfUk+m6z8Wa9uGp49P3qpB+7WDxjAMXK
SS3MQdK9t4c8+g4Q98lMrghzXv1sEMyTPz4yZyq/26bFED+BeHmDzEj8bt8456Aym1dQkWoNGXHa
ddRLDz6ZIK+D5HUmrQBr2JniOLPTFqZjZR9M25LPqHCLy0cm88LS5UrA/SpeEoCvv0Rj5yBKNPHi
CTPdZ1CligMRS/k2BQf37NSQIzHjKLV2Wa7s1v0suTmgNziw8fBSx67rhBnl3gFCIjkhSMgbutKg
3eb0TeW+bEAlA7mIhycRqYXJ6eAXWgXx4jKsdRtnc8lokIScpFiuQU0dSRBK7nU2bVe11/ZQZfk4
tSc8mvyKLNYFyVVszrxVNx+eBnPs1U0cRfE59Yn1IRN5vqnx8V/bic2rEgm7s/XUvR8605kBKXji
6DZJcgaQ17wh3ZkbhDPnHLNG526qupzZEh/zrapHu9x5nhefi6IZvLBxEufMTSS4qfh2EeHFMYcG
dvYwwX+0Q9zesbVuPMiUzzvNcuJ1oBnu/IQPVSPR8Erj0rxrnLb5cJYOM6zcmd3rXMC74JNN985I
yImrQVAxWlsc4YFACBlk89FNTfsyJHyus+eJX7URYxib+4SPFQphdIxRI7B+dfKTnVznbM9CUwQH
BfF5hDwG+sglI/ATqKmN0akxlWUzUVeANK4NHsvNWgVMyzVWWgQmHdgqnFB9hKO61o2HxpgIenbq
6LFxE6J1nb5+c2O2H7olYwIbwAzdZ/Ap7ZweF3Xc+YIgbz1axxBkr5aohT1BouOjr2Wci3GU7n8W
NiApxeceQ9TMKo1D/V9hQjzbligObb4gSdkPzgGx52wIJGXHX8CV7ZNno4punc0NpoaZ+xwZq5LP
BOdM3743yE8vtp0wiqbiYLTdcpX3ROYxczGd+7RMhifsEb0Xqpo3WTh6fvG7tnm3ssS9Z5WefKOm
Usl5csuKHElAcC8Fe9u3viv7J50I5gvQF/u87K9fO9jlL8Ie+EG5Nm0Dz4O0Q5GRnG3Jp+ZnyXSr
x9r0rc+AQ7QRhChGPj+6wDy1D0JPcPdbiles5/xCIT0+BjoTmVnBdj3OwOOSjcY+3bdH8nAVRqxD
ArVwDNmuINsQQ+1qNZs8ZHGXhKVpbnSxExqMVdNLMR3KYXATfneupFkTLUeva3OlcWYlZ1J2AW2U
xlzfalaGiDtMBd+1Lv1kOLhW7VdhILvvGr8jNHy9zEJRKvFNNJzxZMcwGQcljS/WgQByc+uJO06L
+bs2wQWERBQTEd1mTv8FE3J2+M6wRGpNw8fi8iSXO13lRgtCAYTKbBbaJeh0TjPPJfq68cVdF1UI
/8JsTt0wNa8jIUB3RufH58gFVtMF7Axge4a1LJOFKQny7FARhvkssAPqd63mS854CAKkYE01H55v
eTf0xNG26dnkJ/TN9NBNO6tnIGz5b6zqdqcI7MtuKIph/4O9ETw2ry12REh7hA1169qy2QKgl49t
M4B5xY3dxTX/SzYNC/tDY304Qexs7YZ9W5heOMytEW/iYLk7g89rxUTTXuf4swD9WOV0Mcp2vP2B
lS0JqU9mEYOS0up7QH03xO+wZaLrKb1M264VTO2TQP/R+2Q4wqdp+bG5e9YVUFqAy5wbFlugo55q
NyMLZOdqcqJ74AD1IRjTPubQLWeCeBg2Cly5ByftjsM0FeuUe/NGj1V7TRxcxSYKTiFKfUrAgPEf
Eup74MA7zr0KOhBxYZ8DGZ0i1Q2ONOIZZkuKTeUarI509tU4ZvYz9TZMBn2sPwK1zJlqglVRlg8i
qj2mZQkF6ZDV07M/qviiV4naemOzd+tCrAPQV/EqZV3LV/M7+l/5mpd4N3nm0FqZGsuumUuHE3rT
ZCdhludgMTTdWg2RRnZEabNZAXz3KjGWqGpCNW9Zv9N3VpbJ+15oLkddEF96yQ/pnci77WG0rhCm
8RER6vkepIH7BHm72Kep9zQCM9shlybUgZRyq3LxSdapSm5SH+GmNsxDhCv3I9EjtR18Td+RKUVq
dUrcuxq4GWWTkCqaIxXG0+ReUVzYz5nt7CpnrLfcThzAdUZ3GrsYMgOCP7+HvDefR4BYp6AMZlwL
pf3QEGQVjtSwW4ez66qMZPG0YAXupoFvyRnkKLYedeGq7Vq2ssmr+5oZNZnwwbr0JDIuA9KeYrgV
Y8WCbtMAgrDLTIYj+xCQwuFAzNhke8+loLfj7J11bzaSsM91xLyR+21reHUJEpx187mDCr7lVtxC
b2UfihkbBZnXn0rbiR7h4lJm2AMxPJ7OuqXfpRdfb2c2WCz/Sk74dCM92SSsaa9yq3XOZePUdZio
wGBoUcyHaaqHGxf8REWNpuXccG5F4tKYQQO3gHCB0l7wym1FW1poGbcRM7ThBupE9lKatrtzDAR4
pLWaJ9bcIDT0qTbeBpElrifE7GU/bUjhwbTEDgYq1S/snR/bzBv30dAB85H5DVBN2D4VDjhp11B9
GPAshIgOHmc2rVw4h8aoBS8BM1P6HPCO1cJNd+ZQkP27hDok7LgNnfECqbo91Kb3YczuV9TW4o2K
tXgrJFkEGQ65R68A6m4NPdvjUGLuJpeKpZhag6F30M1hPELZpxwa98Cxh/SoWbWy14OnS2/v5QuD
sLLd+qyphcjANnZ9RlRhS8f0M8Ke+2Jh3dWGk72VZVbdmexl34E+g6HyQ/vKEgXLQJo6oV5Z8imA
b7Eop/GCAhfA0Wmz+p4lEF+9tFQ8fG8pTQ6U34KnhAY1rWjgvM0L542nJcrdXBgAklnisQ51lJoP
1Md0pmD07GOcjyAccwJTZL8wsGCSld85bCYQM3MXvekyMz7yH7xwvYAQJavsb1DBaMLtKNWCsJmh
bmlOo5XsMg4BDurcqe4LMXIwyGRU9daLu6He2oFC0YCdyuWRmD0FTl2B5E/cHih7ENfRm2M4/Jug
GcEIgGDKnTXQKC6jypq6fD1I3iWYaexS6wqXlkcTM/JDs9Su5FU6Ox19o14NRhKqRpF7T/HKK88a
QWwHWyF+gpwKJm2nTUsJ0DEhJQNnBMSQJbpdrV0IZD2sQMLHCZbgURcWYx+9De2Q4NPs02VnNXbK
b7Pv+am9sCAaKtsK3n77MJ1Bi/uVxXiSrTip40zz4JRA1ozdegfrMwZyRbRFiBbER8/GfnXv4B+r
dkWaIffgLEhpMPORgG4DFehsCmc0tp0zO1dT29X3jsJRwVfIvDVUkeD3yz0HPaRt9Dy7krgYhl0J
HCq5YX1w+B5clFks/wSA3LiakTyAfzCJLwXYT3S1d5d7gWBZFu7gA8uKcsJiapN1YPf80ntz0HmP
VOW86xT4CV3eNFYa8z/gniHfCfcu2n8yrdFl+BQHUFAdhwTckZTuJV3xZuFbyEF+pWRBFLugb2HE
9wHGdMjtqTmGhc79Az/SYeGiQv87Kshq5JbWHRWdk9hNdtDdFhGlZbbCNqZInZZb3abh5iHM8yss
e6BCq4p17zI0Z+KBzslg6QQXUUIWBGp2bOCZyaOREQ8vilo/MpNu96rs2feN/ZGNsTx9mudEPSqT
NbIf6fG/HtR/50GFlMM84197UHdfdRv/0dRu/PZv/ulBXfaEAkxGJtjpH2zuPzyozt+IoEWa8PD4
LH5FRmH/8KCi/f5jd0n/G4YHqCuEgkHvIV75P1hdwv/ONOZ3ui4tDxZ7XkxHQka9dheR+XeOp8Cs
yUqogQBZfvyq8mRcdZJziCHhS6W59y2xedWi+/il8UJJY0DHmrZsSB67RSOiqjcPFnHDB7koSBU5
ModgUZXwo5N7vyhN3RC031OEC7JedKh6UaS0RZtipKxftB+9alGurAJdrfHTdBtp1bjpY+/CZpR/
q+aUdZsOkKtKFa/WLy2jEBupmWRMLmoZolYohvI8SdPBN4CiliGttYvG5gD0WNee8kJjUv2DmQaQ
phdVLln0ORuhTi2KneziZ9cuYUkuap636HrdovBli9anL6qf4UrElkUJpJTf2EiDPRJhv2iF06Ia
lsiHdW9AHUD7JoQHbTFdVMZ80RutRXkEUUaJsKiR7aJLqkWhVDYqCbtGn92iXtqLjpkuiiZFzbtJ
BbnIdEeeFIQapAiV2aKEzl0Vb/hWV2pRSUvk0g7ZFJXlHC06aq+Jcd9YaHKjVxuXYNFbu0V5xZez
LQN1x7JTeclxvVynhd/2q4yJdk5jV9y0jRWrDdQeTplK5C89HeMdg3r4AFLrQsuqKIObeGjvhaVF
96xTOld2PvFM00qn3RNbLDh1mvQEdVq9RAHHJUbV4GksrZx4x7pHuKlRvZIhIMFBwR0gL8u/85Ti
nCssConCJO2gswAme/DvXAqaoXiq8grWQoHSr5sFMJvq54kPFzPfxnrTXiMW+WuA/gYfXmD2Bv0m
+oE0m4rttChita7Wq+NClhIr4VeeIN43Vz+kupSd/rq+mhh4bE3lZW+eSX2xHqO42jCIA2O8pOr4
MJg3Y5nW9yRVGyfLHSG/Lk8Ayt3srWkWNmVgeDyy0nw2tmVGSnWH0Hg7OQO0AbI+KmDG9khqheT7
U2W7tzrFdN3B/rluhU+SGHjMpwmZ66PtAVtpJPhkABA7PtW25u8kwwJf7rUQYRrkEXsh0FxrB5Nf
x0vimZj6tV7BpjVjLk2nhzSxd+TALy+meLoQlc57LGudLsrtqTDZHMlDa+J7II6cF2QBDnQbrPiK
JJByWo9d2bwm3H+71GW+hgWSjjcaU2ilXtIVT41RpSciD3gginnYGb3VfDkj/WTU1835551luHP9
7dAbvHxhmt5dPCdIBE7ruKEVJf6dPS7SmNaV38VSqFVO1T/IzFaQ5IlRCNPlF/9pVJlYdo/eWPIX
iygzD87AIbLGpjtt9EBiF1R29vZzpbHkyE+bsbtBt5voV9IRUKhvB/VZNWT7rSjO0DgRWJ4o18xn
VS1zjK60vTsCXO1DvRCGDWo6NvnpSsy49+x9M/Cl9r1dHaE+8K2ZbO9vC9KxPjsvSU+VXrtnqGHT
lYgM8xLpmX9RQis3CVckKbKBE70FJjqZcsoEeSkaeaHB5yd6EzDYIk60+3rG9Ti7VL2k0Aa7mhW6
zc+3Vaqyvk/jCTSWzKOqCw1cmGHNihG4Atu5NoS0IxgXbJQirvPyvWKM6xUjVz2gP1Zn/FcfyS80
RQ0eLZtPskpOA5uovSYfBkGtPjj1W0WyS1y6Uxj4N2bX09fHt8mgs3HaJfsya78dFVwFFh1JR0Vc
md5llBbdQwIXcH6KW+muHX30r10EfsRjh7UabWU2Ux36ZlVfOp5j/cpcfNVGargXqp9HaWQQegfO
8Nzw47XrNVZoeLgf03I6pWOwVmO2llF9tCovujU6bTwbo0nYRx0zrVG+m+zcOgfMEQz2hvRHRBWm
vfthYJmyA8QIdorwlSoeQ5JtvkQ11FciSZurbO7lpjJL44DN9ldrdPvKd+54TBZhPvQWdWkcvWqx
+SI1/9fUYzWfK1KuiqEANjpVGIFLa1rTONNGkiYzhI3r1ve9Zdshe7rzZzlACJyZvy1T9m3TjfdV
1jfHwMsRAjogkc7MF5y6xnYUfbTK1JSz02E8uhNFO0XrIR+n8kCSjrVXHMJr3e8b9pzyiFVYkn/j
mcTeun4Ves/EsKr1a1CR3rHlwmd64eprZ4hedaMUIfCOVW9M33A1L03qe1+AI5FAldDfPES7tZHn
Dx2GxndSlq0N9zqBQJYg3aivGEAgdB+JlLDFaphnzgNrKPYxQfIUr75uhzPqUhDdi1J+JlMXbfTK
n04MUxVLHDGjmLDqTPLhq7ntN/NgVte14Z4Kzvw7Livy2d3IuLVIEN8os6/YnoNHus+rvFnbUhug
wpjNl4TrtoGWcpjKOodo37z3bE+vhS+DdWYML3oEiEWvedoH9BIYQftfrGa8isTa6ZOIHpUBv9Gy
8mHloG+Gtc1kubXJu8X9HLrchnRWVfxCIpcMK2mtO0wE18CA4g1Fgv9pe85w8eixHnPWSqkhWDNn
ouhOR9VFLHoNUGZHnCzZY+aRB29Lu/ySLAB/oZcVR/i63kI2ihjPakgSrq22ueTfxiVZS3Onn7wo
q+9AIWIzSgSVlbX4UprWPzVDo94qfSreFDlMJ7djV8Shwlq1bjrDqrYw8JddinqcVDAaI+Ztwcod
s/h6YFRiHKUJ3HOVyBl8VADY149FqXNLxE+dO2pn1wDrnVsIpnyJRKVHbaxBc836a7xWNldMBQij
BkYOI3xWPAbHvj7VgK+ONnP+TUT2FGwmET0FeDUv6EtptpmlqCqE8ko7dbHvHKgU8p2h12KTjgTj
sZ1c2+Aux+8K+M3ZKOPuUbWp2hPeKJ5d0TGW5Sxc0xbS23oKwIjdpMCL50NOssEVKrJ21GsOsMYw
xb7GpxY2bZcx65ki5l6Gz9sqsEHYxYcn2dSTbaTOuavpN21UteA16nYnTOxdvcqjkJrhZmQqj4F1
F5sxfbA/v2ZtWzfrrBoYYCvRshKeG6s0kcW2tHXCTdrc3s31fDOmCSSMBdNo9mxsO4UcbuecGi8f
asmTa/DPk2LaLzKpmFfm2qvVBSeQW/JLLUkuwp26bQBFctsXUQOhXQDbJBRhTRYKtzim+mWGceEJ
Wp8rD0hrE/TTSurKebKacTeqMV5La76fXMs7jakJQcr3sx0OyZ1LixkWRruphzr+Ah28szoeeYOo
i82QZmxL6uN4TAdDhn0mowPko+s0Fhc7cpw1ObPZYZrd8SrKcK8y2tCS3Ngg616CnNPVuPJ6GDvL
nk9SGM0uL1UW31luJlgH76WKGekpe4BspWkxj4RY6HS7gR5PCAWqmMbDSP07XzuUKqSPxmXubCaZ
Qfz1GxOZr8/HrFjx3O7rdemmeK9kPCTTryRnY99eQWqtzT1Pw2d66TtND4ZtWQWL5NOr+4ho0I0x
zfIUZ04NT8GxbxAWXsRspZu5cS9pUGthNndQA5harovAyc7Ca5wPOdZTmJnV/GFIo7tRpadtU2P4
auOJYZxjDjf+MFhrABT2keR3tbTu8hahx7xGcBGXmFJlY0ZIrpPmvbHqFq0E6Jt31cUT05DWhg9G
zneppe4qznSdTHBZhcOQjoRbARtvoqZgn8NOd7ofPARaN66c3L6aLQptZIFPzwRXYJNwcnKNPCxq
+1cCZwpNPg2OUzy7FSjbpeiPkVA+dMTCTy93smulKkkdL+29RV7QAYLYvc5SjQ7kbZg1ZuVdfpjn
CKzKPNvTtc30/Y58rvm5aPXiRiblLxrQmPxFU/SIGN2i0VRRvU6r5JcoS576mig/vYGQZzIiu47A
vnTYtobevlK+uBuTycOFBOA5pAa6WGnmnMFQxZKMh8I66nYg1t40c6f1lXpygXteiQbi0lwMPgsn
U1ec80p4Do4VK/nAEKIDvczScUtuGo8CPVjYcbSGNXVAEfifLEBzcAyxY1yYNfjPsOWa19kqWeJN
GMIiz1u2xpHvLbmGuqoeqmWc7yyD/WgZ8UsORvIZ50O6jP+bxQhQL5aAdDEHGItNwP1xDDhVAkYN
MHCNzFlzCcUUJdmPu6BajAaIdovpABjFjweB6nmxJIy/GRSsxayASjR8J4uBwVusDO1iahhxN+SL
zUEuhgdU9eu87Uv6LMwQbqkPt2Ckmwv0YpTsxTQxL/YJZzFStIulIlvMFbyxRxq/iLiNpN5qGRaM
4seN8V/Vp+rSbvp3qo/1E3z0r1WfPfiaNP3D4vFv/+Tvoo/h2KAHoBV4CKTIvC7uub+LPoar/43h
ABxd+DHOgqn5P9HHNP/G5qNHQPiyJ0vAEdrN30UgA8oBEP9lNRJ34+Lo/U9UoD8lHi+p4j4uc96W
i1GSldw/iUDs8hQA1mPzXjJM5JlDmvQErw9xKpwLFOTGxlMA1rL91XjYPJIk1y4UF9OusrUJ4l3q
O2EhR0wipIyqteYaYRdoDcXD0LxKXed1uBxx3WlDnd5mLRCnFcHlqPUJBgfiNaCeLSYDU9MX1jWe
kh/bQg0a5rJEoO6DGIIf2OH+i6AXmOT4Du2zxsP4PJI/W1DudOo9iJvp3bOSKaWm4mMLk3ig7W3z
dt7SAYujM2nNR28m2XsXq+mW2ENonRSAr1M7tyGYhNyjKZ67r6GNDfoXgp5i9mHv4sRl+qul6apm
aPG4qD75+ncq4e1vgtvv0dfW4p/8pw738xUsrli+VR0GlbGspv9ehytnsgK0CDPO3JJC6Vi9s2nM
EV50UI9gryxTdGARzDK4rb3GvK6Uya/WuH4N7SzX6R6TbNp4SOaHYO6HmzlykpOJo/DTSHONhAdH
XpIJYYJggeyGhhofv7908rTU/i5OwGL20qrPvt8+doXF6k2jrvEimg9mYu4g431mwhUff/1LB3+0
zfJL2zp4r0XpRFa1/z/vf4NpN450QnPtuoxejeXbj+vaeDFMe7zVPL099JnVHspMAQxMqB5XpdbN
W8nTBFDqqH80ubGIL44azzFUl6OqLec+mviTYN/vy2xq44qQInVOehewIoEKt44fPSHGmKxpI5Xk
FQA/gmL0fQqzY0eEjbbLGZmvF9z2ZtZLrmmr04crfbY+K7e/Vq1p7Ls+cvYTFFKmCKwOpOOUb0YH
FKSOysBg5rUgl/Jo27X6lSaA0oiRVr8azuuDNxXtvoWqSfwrBWkz9NsuhebNTZmfvEHjZpLsj+XW
p84wAYdC1LpynYNcvSJSD/o1XUe/TlNcZzUzpJ0+w/A0U9QZr2JGTtgBOauwxbObMlnmjn5hPk/Y
kb98UsnxbGBUZaHDAVXF/MrYVomUe+Zo6VXRdfrNTyStXxnDjUOl0tGyg/fciGTO9hP22iCc7di8
aGk3nmVn8IGai+g1+8BIneXe1HKSJ/BlPNuJFB8Bs8Fr226DUEcpO/31tfOnM4s9e98knZGK2IDa
b5o/TK7fCdcmxv4ohkF+STp9vsOSUe00Q6Kijcpftx4sXPZquHbaev6FPw7nKjyRKWRdKfkkCmI8
Na4ZHUWni2dP2A15N4W+EyChRgyba9G75WMpeJV8aMlXyQZITQXf/XUdMbTWiUHaSCceQV7W5mXU
6Q8IMuRXnXptumGLIw05rqbtwEbCcqDWOT160xkbp9PMTYqizmuOw3gCBTrf/Vy2TYYBLU3d6aYV
4CiNBmpRXfj6i6+V8jnAzv4Ma1uAYk2Bc5X4+RIQS1X6Uen5TtStRi7aGPQJW189btdphvaU+4l/
9nWBVPbXH//Pyug/z6vl41+W8tlJckGsMYlYbu3fffxKwF2M5xYfUdsAKevw+q+mVmj32RzwGxiZ
SZctpPaQTemQAAloguZmbInp2fmkDNGacw8iChUiOvr50Lzng4tTOaAkAslktNErshW/zKL5HkTa
a9v//Bewl8cr3D+ey7gO//gLVHMuW4P1h0tBdtNmzIzxJJo43go3YswsK86ZSBC9QDwiR0yVwDwG
NNu865HuXBnKjXBULXxVc6rfrdEzrl2FcyExcfhsReFHD4UnmB0mZOz5q79+7z/P4z99+DaEWsbs
JkBnCAJ/fO8oyGk728q51L2Dn4vUl+ibq5k4kxZL5JNBcPZNNsrxXHhDteuwMzDaqCr34DfpcMTk
DVYUTfJQOAqXAPi2h84tcYEoG7pWK/rqPPsyvab9GG9VGRSMk6WS33DF0FRIkfmQkeoPJGb5+JIX
Z1qP/7ViGc5r4Vxi/xoXwbPDvPdsYlvdaz7eITKbYeUCldgWkoSMpkjGV3ylhAmrIaL2JvNwrryK
UG7THL8MIGTtyixtoGGyMY3NbDUEeNT5B76lPalkFai6vGkOhY3iVXnc6tQE4+3PrRcFWvzZRloy
kHTP/+zRz47z2JoX2iek8jKDIItslHzqjZy3GbDsV6684csuyuUEWT4a8nSOoFbmGxs6ElFkJSdf
syxVTmaZP+iNSViqDUT6xSuzX1aNr4Kso/GQK1OG7SIMajZtIgYBuXYQZE8AAnmW/PWFQJHIN/2H
K4HdQGoGFrpI5KAc/FPZwFkNxjcfxIWunMCnCUcTVOXlbC7UiCTCUkX494y/OYm3lGLNu4v1mTEQ
ZxIhsvKQaMIDzpYVGKuQ6PD56mkeDjhcSmyO1bYjep3blWCxj0npxSPHf/dh0ux/9alna2tA66WH
CdjHX1hRjt0MJGJtSk+fuA7sCoZgYRVRsS2MCOtBMJeEsdA5rae58Q5YWx/R2w22O3ARF6FmktAn
XO0OJWTCWtzr/SdmXo7IvGJfpMacNRozO7vctXuvSJeSc/lecUR0zwTg7YELMlQZzXTeBNb0bDQN
ILrat1a8n6RcITlUO8CFXKyZKe3QJZ33F8t55bodhvxYM07fz0FBcD3Sh9jNyEb1jTlGNkaQPk+e
eA6kT1LLWIicG2WBwUvL7FkyYmDKkQs33ifULUzvLU4D/CFN8qkFnnHRBrUUOJiDjroPH1GTpbtu
ca7HKysBQ838BWovWyYceUW9OGmkavlz1PWLGSFhwyjE/mnba/JFqoc47uQhwvRsr2Yjsz4SK2K7
OmZXPb/S4NtQ/gSkLHUEMmxmtJiPsqg5VztRsgnAyU6KUwUYMXZUfpy4EJD/FYMwzZ4S1EZWppdw
cFbLJ72f71iXiJineBlpm9SW+05jsrmScp6/TTf3DzgstQ2wN+IvfIRdQirbWW2gGAehD2o4YTWI
zhaaH7dRKqgyVyPrlB10YRrZJtIJCpqLbxjcF1pnUlwcylZyMTH9IR3m5cnzyuTWLD0V8jBAxZDB
NN/93Ej/9TP8u86WhwgPj3/d2R4+35M/hGuzULf8i380tgZwLJhVUKugs7q0sf9sbA2P9hU8HqAb
GhtaStrFLvnf/7FJ3abH0Re6L5ZT7rD/a2ttA3gfi2y0tct5Rjf8n7S10P7+dDour8CKDoAuDEfk
Ef+Jm5AbkegdL3JPOG60QxxVo7iqcG+yF+BjJ/diHlRlbjFGBURY3M9p4wQf8I++Era5720vt5zQ
qK0HEHzjc+5p6RVbpiPOG9PHCthUrl9yoMmgXhOOOHUXjI8x8M5YKfGoVyLSVtWQFlZ5lQep3DGb
yrKTB9CLYSAlwhZzdXUoo4nDLyPTspyMeE30pL0GSOFs2UGjLybM6y6H+dmuMl1F1wWDkGvZm91u
cgdxNINWfc4GNFjCpT7tQOqvhaq9nd6kzVtb5nqIau9ip5bvVptxa7LEwvjMM9vkap6Sca83tb3l
i9JOFe0nBm1v2Ca6T/0VtiBch5Y1h94oh60D15NyDRD9WUsS83kglgcsWbOGk0JwQZroRHous75e
VGs2S58LJw0eR2ecaNFhoDZm8DyOvrsZ9CmMrKG8o98Ve7tvzVNblnR6jNlDPSOfvBxqdXDcJL0J
tOI96ATDQxZkNw4BC1eihJpe1NrwIYl2OUyRs8QKGsVXWaQUEJlvfC2Fq+Doaet9YKZfPWibDX7L
8cUxfEWwQ0pSrGj8OBRl4b+ZZg9UwMsSPpv6uUzLZ6HxoyvRsLmZqIGddKDlFNr1BrKHFzqNV5IY
oCoGZnDIHQM2dVDee/PIqjwO0+awXJGPYpDuFqcuPkO8FfmeGb0gaNfzQJGRqbGuNJTlnU6rObEA
Oap+5eZGfLFzI7+dJjmfI5XoYTLb4jqxSMlbQbN3+ClWjfnDs3d2Rp4b7bCV3itXFtcOa4LXCWOB
G3AzUEqSSN2qVrTbSsrxV+fbRbWim+rCPtea74A1PtDlyjZ2pZepa4YP6X50KnndwZHlgHZV/Jlg
jA+LBsc0EC5Ii1PfeFcGHW69SjtPP2Fh0VduG/w/9s5sOW4r27Y/dOFAv4HXRPaZTCaTIinyBUGR
ErqNdqP/+jvAsuO4XOeWb73Xg8sVIVOikmj2mmvOMWc6qwpTL2Al0u4YeYQU4LHCAsFDaJK9yWpU
UMo41mYU99s+NsnraDkNhGVu+qc+z1lUt5VNvIBdRbP1h/Gc1HxTonaro5on9RSh+OarHkL6rxJX
ysbzpA+UHLhk42if7uyAuojjFGp8GGGzbmjdhLzMuGyRutmKVPdfsFpkq74RpyrEzpN7GEolgJQf
PdD3rclW+iOrw5lDYt7zwupjd7fgZ1csiIfvfmlbqEWhgAHghdsOmn4UFNkwncpBs9vAw0F19Nxs
qNY5h87NRAD1Skiu3Mw1mrPrwuRoR4tcHcbSm8SIv/Pk0D2T4ylJChYkg9OQl6Ggke2kVRjCndz3
8sDz+Su5JXsF5iRfwSIZiNs0/bShmSVlcRBOm2Tw5qd+rOnXYCbbxo6OD5SiEgzZdngXe0Vzdd16
bVDS+g0lyL35VrdvCmu+H9DCg3IUR6fjtsYzZY6HJMxZWw1ueSVIrBEuNBSNM5U3PWZKVne56hGE
zDp9w4Jfo/Oxlu6GZjh4UxKHh4KmEEjJNdhjlmHWWOl3bFRYDpfDQ2TXzXlKqzTg4alfVMePGwNL
HBR5YvFQqP11ZA36Ya6NT1xk7qWy6+JAsNk85KqjZNBQOa26lYlyGEa7BgLWOkwqOvKqiSytabWP
rA+nn7leUVOjiWk/UW/4IKY6RwI08EdwoowDI3GynejGap2EPMh1c25PSdyNT4XU7W1dFRFHwt69
0/GDYlniQeTDoFmHhDFerVKP9xP520AbJbAdu500nACO+8pLcN4DpdV+GiktuOMQ01zt2t2vNNTK
i005zU3ViKIVABbOOPp7NOfRpjakBJnc95DZlMbkxGH9lbGiPTe5vCn8PsfYd4vAaprqRDyjvc4F
+61h9OarbiT+vYqbbBmzwnljR26zy212pOxevLXKvH7didj+GS2ehUGMH91CHc94ZspVmA1x0GB1
P8caG/6ycoaXiqBvYBvVfIPc5mO8Kd1X4BDcG5ZbEeP0CBgl2XhXUDPJAysineEk9lsme4z4gj4C
IyyK3ayXxvuQRzYOovmJxVgYmMNk7p3erXKiwqHzmCTGuKY8naoeX95m3ThwemAuaCzD3WT6xA+4
MB1/LZL+YaAC7gUCOYyIDrTs5BbxNZVqKlZaHQ3PeuTWR9+qxTGinMjjCRr6e56bhB9a/ayEZt3m
ubvSHUfuRJKBJKmWBQ7XHqqEmS9hyxW3BGOLbxCDmqP44HvaLcMXxRa4KSHOWmEUEH/2qJt1OwpM
W7kh3pgHuheeMSxnu5JMFifx1MPsQFxmqGis5oaKt13OPBS11AmZoyTI64U55+2Gx/cQDu9xolc7
rdfd09wr8UGzqPzRqEq7OKp5UFbuPBLXftInG3yaH9as9CzKkVpt3nmd6Da1I/onlcfd0XHz93RO
20OcQnKoM4jfPSvWfTdL4p+jFqkjbdUdlsXIvqmoKK/zEo4kUOpQ85s+EA0yXwlyDWeCCgg1mJb6
FyNJtL2ce+ecV0l6NBNnW1opZdImORfXfh61wV7p5J83SWGFK0FDxTeq6apdR+runugF1c6qIghb
hz897G8B3qR4h3ODbSI79b0CUHeObXs4VU4WfachEXO46st1NZPDsV1n/kVk/lucFwV1Ral4zEK+
hdbIcCGSFly5qXXX81TdVLHxFioWYnSJEKSsSsZe9LfRHc9TaNhPss6w/pE33IDL73cQ8/xtMmbh
W9NN484ek+aN/RvLWZ8mxrI3+4MY0m4rXfU2GDxXfD03thFL2GzZh8ouftc6Bz8etP2V8NL56Puk
67NInsb2JErQa4Ae8v5iSwguUIzIl+hCPqWaWzxyqMpORe3xqncMBqJkyLz0fqmZ34G3qy7kr7a5
a1U7DznxjmwkKIHR0XZxaudbPTajs2AS2zRm2u0j9qF4UIgAX7FqjIfYlhiKaGBcT2nq4Csd3qhW
SmkARnXcsbie7yv8jUHmUOpbzk2xdbxhfO+80Fta88hPhplynVUmQfivXJx9a6ecx4+CFqQ3uvIC
nWPuex754Zpv5BcluvU2ZQNfBlOhNYdJ6V6Qpxl1OnNDeYGoszxdGXZW3NG7jNMwo6pl6HPECFJU
n2TKTLIP88ArzcX27viLMTFL7zn3Bm2iy+1AYGCrhxVv0CE0jjPPARw8nDZjVgn70NL0Xx5wk1VL
I9eqazHslW4bbeA7UEE/dc0GdtKDQ+qakmd9wtQQqsXUauK650f9BlMp2jPVhxtRdJVaYbBDn1XU
n+LGU+t6kLirahGK73WsL9VYVAKT0NcfRMULaYXHLiV03RofYyUk5QZQpfXelPgaM3MbFjMQiUdv
DLsUxGLvxeUHvQ49vt68kH7+TYzUXtvH0PGS7NSOnl9+owGbT42QyqhpKGwFJ+VV2pA9B4otDdEH
BVGCNWHvTKynOCrWWhumLQCtafxZESL+HHy+Q84Izne+pnzTyDRvJ7OvDlhkRjj3PZQ1opXJseu9
+q6u+K9L5ZavFneeldFfzZ8IecNnNd9hftglsB9LKnLHAh1NN+7KZPQOlFPN3MHsKC+ic7/NxI1X
NX7OT1tWKqQMaq5O0B+HDR635tYs7VGpS82Ellf5gz7Qm0Cuc8JeFA/d3pYtTG1EnzWnPnNdUhuB
/VotmlOS7d1G2hsySuZJLxQpKZ1NWEJWboPVcVw77kS1l9D48/SsKkFf9vYLDWW0jKmkwnqlDM1c
1brMAp1P7oZQw5pMttPr4IT3UQqec6VLf3zEHhqt+5QG+qDtZv1uqiIzSFsq5Br66nER0zvSkYup
UNF5C2PvxrVHgArxbKWqIj+OeZp+izzZvrYcPZmZVH+Zijl6zJ1Z0RvOh03RRboDUs705Zg5hMmw
H2hVLkbEya7SqYJW9WMY5nq7Bq+e7josowfE6eLWRj5Ahdqon5u4YStGMvV7UUbPIeLa2aZYLMGc
SIeVZS5bWypjAbD1+kn4efVISlsV6zCsCnFHKMl+KOL6XcwNtsVqHiG6a7E+Bx70hiRI5sgmH0o2
6D6Tk3xJdQyaXjqEO3YwlDVNnWHuGIXaJ6wJw2cP4yCoSOsRy4mqNd9RsU0bbBFr9P0Zn1rr4Far
ybm2NZrvGlbp8GPm1MeJX6MgqynH6VoLj8qPwpfJrYnIheq0emA2TCkqU55mbEwBKgaPeHKI5zk9
w8lKDrlFEx25NQbY0eVi0rUf0ivnJ+qbQmflGi5/OeyO5UZ3sukl41FhcuUPejCnYr7XphL/HOC+
XWv28lYs5yRr5rpCSm9XRq2D0DMzTGacfNnD+OW+SEODmCc8K+bP5SBrOM3ZsThcJ4W+pLdmnPhT
PQiyZJB36u9lO3j5vZGlygKy4DKM1QZvASLwyKNBF7sYuYg0uvOnhgtxuBo+vkc3xmSaFL02vbTF
WI3f5kHD0rzSWgbe9trpivXFputo5K1oO2vG4cRH0nggHyJA/YGljBIH4v/J7V7FNkbZyxyNu1AT
9Tcp8/H5T/LP/7Ko/uoU+LPi7NF6oDvwRDmVoe78lSJW1eOQSssYLjCLnbXmm9S4mD0/kfyggecJ
ozczt3Z9ah6tzNlqdrN1YmPjCeoHOnZmJSWYvbbz5xTgwN9V5S4+hX/53tjnGEDs4I/+lZGbG31d
6KE5XKqquYiKs2K4T/q/2zz+L38IWRngWTiVdPHXD4BmkZGhtx8uiQkRmH9cTW4LUf5jQfVfSfJv
JUlvAR3+G0lSyqSAlfNPdhtmYL7od1XSE79h2DbBxTvkLlAf+aXf7Ta+8ZuzsCoXbKkP1HXxWfyh
S5r8EmkGimRdwe+3qIm/220sqkhcAfacqBRmGx3/zn8QuoKw/c+XEHBxagSw9ZD2EiiGX76IPy1P
EzdBvjFUfBxrciP4fksqa7Bvn6paIPVMo2FDJcK2V9Fnj+keKAfaWO85uIUVA+S+MXL4o14p3eM8
CzvcyL6ch1Wr6+MDXvTc3hmpmLSHzE+bl5qorhMACIjSYAolKKfeVD0n5dyrVzJkWll1uT4TO4KD
d/ZTV/ByG5r5wI6otVdFWvobpgmr2fQgaOLAGkp4Piqs8CZ6Gnv+dBIfXxGE1vMJgc+6RflSJVsV
TJ5jOmsDock8+2Ybr5Wfu3cDtpBV3nd0BZnaVih4kysOchQoUhaUPFZpOj2Msd5emsjMb0ueptiI
sdTI3Htj5KwKR4+Y9tLqJp2K9Ek01Cgi5bSPoF8fzapJTjx2d9hjG8gbZVJunYLUialiAsjtQAHq
enSIkdutMF+kj9k0sRr5aJigwvzYfotgPtw75eSvMfJZ185Mm0NfTvY6Nsxr7M5s9ApXbLQJW+dI
IevVEpq8WMVwc3TOtI6UAFGqUcQfIBCqnS0AYqFgZScjz2EeuGN96xse6nTSJtEdx077MsTLoowz
SHfWh01tluUlrJr8V9q7/raHoL1VDvsYhDB1M13/wwnxYxohJABXi+maUvwPOfAXn0zbqkGhDCrp
HPuhxH4LpOcxbZR1s0Z/PFmVGK6J0iHAZPGPFML+u1O6w5qXxglpalo7BNRXbJNt3uSV9tCXY/4o
myxH8ZLqYlpZzIaW8H7oZw+NTNuLNtLnknDHPuFjpDdGmeNlAtO0riCwbQyH71SDtrDW+zD6NnuC
eLH0agLbaVEyaRdpSiKgqoyTFdf6kZXTp+S/v486Wz6wvyZVTWLPvwlAVA/0tPdIYGGK/A6O7GJr
SJppxRslg/mwm7WuuOkmV7Rwu/ZsZrZ9mlhfV41lbzm6q7uSDohXdEBwgyzK4qOd0mgFeEiyTrZ6
e11n2bDj4B5ttbo7ufRuHPXYvet7VZMzdwtIN6VHH1s6cu4qZM+Sj2sQstZEaDokJoeb4FnjjYAD
/wbsUN+G4mT3S9dtXeDz79JrbDX3GtYrA7/I2pf2jbOH3BRe9aEqIXA7lc/TgsdlV/2Wi0ZuSRS3
E61XJpXDqE+EWk5y+tRofV+VBtTdudNf7M4n6jL54b4aeu1u8Hx/E3ZVtE51+5WHobo3q3zcaqji
NItEzmEiOvRsw3ABTiYUwiWrbQ37uZtqR8GRbUWQ/hUOSL3pRN7scDOYHHyPc5uc27yNVxTUriZS
YEXICEFclW4ftqhouflmGKpkmw3pGNgchW5018mHynOiA7BcaFlMZQcw5eNDPsp5V7QZyDpe2Ls5
G907u+lhKFjDoZlo010jQA4P2BKeibJoe62enAuidVxwg5XKHnTSNezZ/XVtMBdfp3Cw8jMp7kve
eD9YFjsb1539bymnwi1tFRmMnyS8TpaX3OPkfi/sCrWmJikzJ8a7W/UONRON3r6phr8y3Kdq3VTS
PEWSQiVIvVzSeiQpMbMl57tYXiceu6uYFjeWttSMBaKY3ubOhyIa8nzGzd6ek2mc3vxphPpBI1T9
WDdEgnRcWlQc5/cl0Tc4dz7n0mvkhKSSKmYitiU2hz3p9Gw757Q8VFkPdycpWtj+VeHf2lT8qkr0
28gkRT/EnkRU8AwCBhDFKLF0i7wMqebMu5HBuXMQ+6vE1bbGDHfLM9t8O8WADni4I2eO3XMsJ2XY
+4nV/ZEq7rjj3aLVH5kGKgWzZQq8cYwZyu+zxivJjJajt886BJDzaDfuw8gL+9FqQm6RbODSQ6nq
ne/KSJpjPOeTWtGM4PxoufqTwIDTjg6rhcKGB1WJWw0OkCEB9/ixNOmBqKeQojw/LaJ9WLeHCWrk
fSw7+Qi5yRKrhprwXUxD5xD48xC/Vp6tNr1p53sjieJ3j1O/vwKyBjw6mlr7HFmNgbpkV8hh80AH
RV8x6Q5W3/crjJw433m0/yoym6M5hOLhru2VuuIBoSFdwAVo2LAXFfkGB9/nCvZy96KD9HivGz15
5Z1MuJPQ/R2hjPw+7B3/lz7GHVg7GVps/bP+RcvkfMl1OqcZUH7mueV+OoXvsAvHodeBgukx8EMo
PDhlf8h52gaK88O0xim4rBdDPkWEuth77vrJOSNNyU8t1VNiBZ0J6NOtkuEhrG33mfeIv6nYe2w7
Vpwa4o+oQmoycDkdmmQcPzKmGpuHUUR6hzbE6ygYeki1xdo1SV3atkwrb16B4GUXS+KF4ipubRGY
fj6T6q6zTxsvCFYL8BdKUiZMa2p4YGGVEyaLuVkrOr/u55r+6gC7kDetTJiI+WYyff0Ou8/w6gzT
8DP04voNF3K/LbSUAVeL/IjGiHrSjtjG+ivcTFQcSzXah61P6n6CuAL5GqbSvhMAyPZCG6o3Pxqx
Ck1z2B0qA3vlOk3SGukEN85L7SW2vfJKq71R6k5gXButmiRVJQ/cczAaOlPHCjjZTPh85/7GEo3+
GvptaG+KRM+oEe41Z9dJO7mFfoUtEHgsJdQdPZ2kdYnbWDGCr2P0bJgyU5ynoa2PRty6tH7a+nrq
qdaWJheckNUcgIm3N7VOWAvIGUWWMfy4laGqB6NT7VqxCT9TjYjnXxBHWI8irQ5K2E2xymXRvGZN
ujh/o04Z+PtU+Z0C+arYtLA+aoBi9fwTEql1F+psnyzT/WFHsf8kMMu+l5Eqt5Rx93LNIz7MVxON
iRrOr4wnIotZ/ZAIXdz5sy3eeqeR5LEq0qNm5NBzPVmT9UMM7Inb0LCefaJEycrLrRFhrGH1WZSU
UcOZ4P9mc5d5exg5083LwroPRkxf771PwVxVONUb03n74Pjkw4J0NPXXbuYAuYn0oeNa0lW3IpRt
fPo1e6VNmLuRdiRdEX4nUlE84cZ21dbC1XTqVDcxV2oaSKRGsS6H4nhIo+yqz13yvS7EJZp6IAM5
LZOetiHKx3Jpan2K5Hydfuulp83PWUM6hOLvYcloK8+IxA4PF0XVTtPbP2glMWFwY5V5LuxJsJbL
B8RlQ7OMKTBUogNKiqKLas15M2DJOZipxHptO+16riy57XS9OxtsAN2uyX/GqdnByO1cAXQW6XnV
E75dZ27bPEW4En642Fy2fUnx+oqfJsXRVWN3d7E5Uo3JMYsUZugg6SRNlNpwNe30syL4VKwYPomp
aLHk0WINdyVroxcZjvIbAlm805fq9MYIu3PDTgcVliqeU9bkfhDpnBHzITp6M7jYbYHRb+8lPjV9
VMBk35UnQKKxN2YLECcOqc6qMt0NW9H5lGlGdRywf5z5G8qzaSfJRzgnLVyCtgWsWPfbyLeKQy0j
a21m80uFDbcLDNNo3iMWNFerrlmO6Ulz+Br9/jsl//2UDPnj303JxWfyXrz/ZUhevuaPIdn+TWAZ
xNuG28a2BFrKHxwS7zfiZpzAaMb4Gnb/5N0xfhOOLyhuEw4iC/yS/5mRxW+AtQBEcyb+x2j9n8zI
yCn/MiNT4Mnv5oModz3zr310HdNaMsejtmDOxjU8RvnupFi+oWrpNFvGxIrBqKoJY3eHuy7IIszZ
btzkd7Mb2mNg0LG1gRzVfwoMLPczufs3X0+hqEV+BpCMr8rXYxlyDRdz8ZY7uPOBpJj3JFNdECJM
aHc4azCOZ2nO8ofSXhcagvcoQPbcmrHr7/X+PS8b7hkGy+eWYPNrmSW9Fsy9xNaa6dX4jmsmH+mN
0jBDalYE4GP0UR7JFNBotKncOvsRcxfjAmxywFETTEdid1NCDLweeQJIv7tbgCUWz5ZwZivTmB51
QaUnGCktTOHwO1JrV/sLA5MSuPhspaL3NrywErgchaQEM9Oy8mPBBL6WWOUvnZr0oLOkOtEbPXyw
CSxe8f1CPuIwM51YS9UPU5VG7yQ/mIxTs1xhhIfkkFcBaG2dRJs3XGYwcle00BIQiUddNLbRQezk
mGQXz8rHB2qd5m01tetJlQchBiCANJ4FfdERarCn3WAm4gq+wDcpRs0/RiUx0oy5d3Udg61Fm7aP
1oR3NlFKbTDtW/twrgwJ2pKNntNGYp1Oc3fyxoE+6lkZ9bGfJUgoPYKCyKqgFmdPz80iaLRJPlt5
1T3S6MVJqjPA5ELzNr4nVHl8bzXWZ9XgwBEsfO08zKRRyU+49HlMdjCM4XyeI6N7kdlU1cGCgT4P
YVOfWET1v3zML0DHp1bL1kqygeztQm4qTB8pFbA+qzSD5c0d42yz9JF22Xv9FdeEmufsoiRH+DWh
v76l+Enlgr2qq1VWWxEt335h7JE+k1tcZdaLGeXJgz87/GnkaZpHg9Dstqtj+2SYKUNC3JXxnlGY
jOVEjtls+3o/TEZ/i+IcNDu0v1etiJqjpef+Twwbotm6Omv6lWENXrKBp+PfEH7oJgeFU2rf08hy
r7GdMDHR+qUVK1/N2YddlZaPaEEwP9LnfO0TI8JEhR+Vn2NG4l7FVzGm6k4ZU3wUmKD9jVEOOJjC
wsYtMkX5msuVphyr1hfObUnUu+bXjTKy7+re7soNYnh1SZFTE/rEcu7y72NhpDbIvYgOXD6ekUUC
PIU+0flXWRhR265Gv59SF8uEP+ryXKCCFYRXgNbMZIYxIoU9EMXbNPTWdIwp1tjXg3s1vJQjqy3m
wLIYzgDm+Y8jtu9+o8ZOvoYhq11DhpyeRIezLsgqs8StopxHII/kYqfEaIOWXm6C+Il+sRmvzy22
tZ0N9nClSgVRglJx+n8p5IWtzKXI/XILFV6oVYIZ8Gn8GlcRKvT0KhKQEv7arhjmH+1Z4fGXiBiF
QyN2re2Hrnm2OUI/aJm3oN+XCdliVO6jwr0rl+k5X+ZouUzUVZdPD6gUJukp5u1ymby9ScmHobGw
H/0+l8NZsny5EYT91lScrkA7JmxB4kuecn8sE77OqN+nR9ZM/E6WVu+6RQ3wkQXcRR9wEArSFBEL
PO+KQJvit1nUhEVXiHGMAvpHazAW1UEs+kOCEOEvigTIJZbti0qRzkbILpun9YSEUSxaRrioGtn0
2aj+1M58hmGrn9IvAcTwM32rq/hp/FJHkEk8MaGXIJxAKaBCJDFv+qKphIgrjH337pCm1xbZhfUQ
y8XpJBY9JtfLxz6x8lU+ijYYFuEGGmy/Nr/UHKxB3l7ExK1xm0j2aWrRfVCAahxIx8ZSp3YRhybq
zXbmIhgZasKEY5uCcZEW+2MTCTvhr1fNr6zg1J0/DvbWJTpuchmd3EWW0qPGxAyzSFXwuneaU2hL
XoeriRXVZfpSt1RJRsxbJK96mvwbiyrWZRhZ5EO2iGOu33yKMtaPWRIZpzn3642mWD4Bhx6pPuoL
CDSQzKfomyCUvCaTSqnfIsfNizAXudF0ga2Ocao3mqc5o+xYc/CamH7y4DRazS2BzIclXqGkIP1h
SMofexmGD84iDOLaJLNf6tPa4sfkM3uss0VIlGP4Hi/SormIjOYiNyaL8OguEiR0vTxoLfeoFnly
7Lh0KKp6cRbpkiIHzqbpSMGgy3dqZuJjYLS4eZjnKakZpy25TB9An5C/XBUWFwzmahFLh9ZGN20W
CZVnjHZO2wRdtY7z+gYySq7rRXa1FgHWWaRYf1Txh/2lz/qlUoHIuhsXobz4pS6v0EpZIy7SbrKI
vIahX+mxsteL3HnIFylYepa/1rpFHh6MN6dvOB8bWvaYLyKys8jJLYvsrfrSmHkcLnozJp8AV3Wx
nb70aAq9d8YiUWtIu0dHDRMEmmQ8uC2vyDGb3YMm6fv4R770v+fkvz0nU3v4b8/J5fCXQ/LXF/x+
SPb13wxHCIOD7p9PyL77G1YeFsomlYrC/EqH/7FFspYtkgERghXTckD+nxOyDbnPXc7cIDzxqi9f
9R9skUBt/vMJGRQ9hUGWy+nd19knfXWz/WmLNOVt2xcigcpc5+NJSxUA9czMbqPlZJ950c8H4Azo
N9go0HKyL1nnS+D50npCobQr8y8KEGN/f7WtNnzOZm7vU72IRXGLT/pQfqk5YcHzPwB5irRkhAjL
1BA+T047PHRA49joT7kEj5568rNfRKq+7rznGMgK4tmXitV+KVrFIm6h1RziRe7CgCY36ZcG5n7p
YcUijUHSkj8L1LIIhOwl9cf+pU1q+4bgh6rW9VX4q12ktkjr7zIMWSgVpF1f50WSswmEvoxRDTBz
UvEvKGrodjCxwcE1o7hW2JM58k+W4k6PxrtZNDRP++QMf4lc0x7KgubKlejz6NJrJmW1X5phhBrH
iq607DPJ8YyKVR4Y6FUDZrCZYra9dEO1AbsUvxqTBW/K8nJvp5a934pll3ycDBj/nBjQ92i+3SeD
jHagbryjwy5jp5djZa3nPHcf8zgCok1HkRSricgPBFmwtujL+NsJBtil/zkZOm57kscCb7jsWVD4
TRuYYVYfuzBLNzhTANmzPYJqU4/+aUkYfW0WiUn5lXexOa/z4u9Fd+tFXu8j8j57GNaKKST02sBP
CAoFNj1cj7Uc2qMhPHREOLQPpS8hYGlVIe8NjFE64Nc5vSetWkJhwY34XXYAn9zObj2WbyWWiHie
xoUpK3yOnW7YwpMe0o2EUnqPiRRhZEwQ7HCX4vgbRkzlxELbY5vmVrxy4zG6em31i56Iqdvr7Vwn
aw3k2y+Aw9JewWWUwyqx5/ajaDh27Mk+yuewG9MDQd16QwY1XYoc3P69MnyGiqFBGkKN2vqa1QhG
jtraGqXP4DVSO3g/typKn2sd/lv/AFI3gZljzCyIdsLok9swifiKWX0y5Cc/XcJvAW0aCZ8tATcc
Y2eioFMJTdAVeXiJFGbm3Cgxn9htj+VoIHg5GeZT5PFnAE9aU673aKsx2gwFFougNYy+2IeFsbC9
0OnYiLlB75viiICdbQED59zeFKcRSgesnQ0rUSDV2D4Oc6VXeVC3RrhN42xaaaIlXkwMeNVEVr6W
mXEyWx//lm6I1VjaNzwNeznoznmu7JB8V4OyrxfTnqUkn3sHwBujvT2F68JruALtotYvGrtQd61U
Z+FFDnFQpnN7NPMm3ySsfqno8IdzBwB+PZDO2NUOaw+8/XN9clXdHfEr5rfJKOxilZSus3PTgqSM
rx7mmBszK9NfcF6eYDusXOlln15T2ms46zQqJqn6pnWmvJBlFIEqUKqS0TEegeLz1PJw0zGXsD7R
XVZNWO9icGqRF7AMwBrXZVcslM++3cggos5gpZXWPm2jm4uLGLqekQYh2KogTfTeWTF/Ep6dXYy/
mbt82uXwjex5vNbZqR0E/au0Pbs4tc3UvLm0G6x5PGUbhgbngNM/p4XD54wZ2aq7czinbuoxxYOK
C+zFkrb9XeROuo4zzvQjlR9H0bXiGxpLd6oGV448pBTPFI4pKP6JE2ofOmxlRI4smu91OjpY/UTp
de55NmaY0fYluIh9p/mwfgzNHzeRisZtaM7ULxd6HlC+QZlbktWXvIPhKJp8kQDNd91lpsEO3W/H
ECA/GIB2g6cf0J/Fh/IAwBrJZGatiWFX8mmbVsqNyiHM/0ioouIzt3p2TMnYjkHMWHhO2KLdp8rD
FKYTkO6LbGYQMfWN7pG7TG3RbRvl5d+ZRrxr3Eao7hE//u8p+SbT6bA7Z2Nxb/TUQk8y0r+RXZG/
1GS3r8KI7EdRj8VDXVMCNbEj3UpCInf93HoHlpoKOiHKxgZCruShGyfdY2Jb5DBiZb1bikvasurh
zB6nuPOMSgHacYx7pRzamFr0DJUP02Nk5K5HisZIKHrwOZkzrJ2Vg21Ij5006FOV4Uz0eGTK6N7w
4a8n0D7JgnTCA/nlCXZMVrQ0vCKVhG08H3VZxdscyQh7kAyfYlyuMWF9R71x/IP+Pmt9cjb7TO0B
tdUQmIzxR952WTBb1fzN6i1E8zAVDfynpI1WolZPWN3N84wwe0Y4B7ElXT3leqvjm+N2xiMpLRP+
a1pBw63ZE0MYi1+qulIQ9lxwKqpENOPBVO95o4/vMVz9b1ZsA1SBiTGyrLVwSZr2DG21a49gqB/a
DjQX87lltO13vXaXw+3ECJPp3yfQvcWe1EiTvIA2WJCUbel2vIkyHTfzXMb4Ywsc8pvOIHYyWf0I
Y1Qf50+v7d1NmE2MwaTXBb0/NhNO0wzhKoqnbjfo+bdhJLOcZAMdZFgyD/wo5Rqkt3ywFiXJKcSx
i7RqXUPODv6rI/9/oY1QNLFA/b/dVqf3Qr3/s9fqH1/yxwnZ/s3xSJyRK1rq002DU+ofaCPd/I1C
V5PjLo4n+C7kRv84JeOI+pO3CtOVgRnTcjndESH9D07FiND/cir2kcA80iKO5Zmu+5fMZ02FrEyj
0T3lZuUZAcWzBtxhg81jHXRKq9qa+CNrw4F+AKsML2Ux8QpuHF1DOZhbrspHSURHy7E4ubgtNxrg
ADvceyFXNLppj4NV1HKm8icm3Cq2eYMfYLi0gN/J3k+m4HQAxhI/+rZVMnfPvV2rj+z/sncmy3Ej
WZd+lbbeowwOwOHwNutNzBFkcKYkcgMjmRLmecbT9wdWZjfFzF/5Z69ro7KylAIBBODwe+853wmG
W0BvioGsZai1E7pql2IZQthTBZvSmqd7w5vxZM8tmNJ1hSOFcc3i5Zv3TFGWGLdRpORbNSaDK1XD
Ej6klddVN/g2k/u68vVTk842VTsvXcFD1sflBelOIQ3lSX8ziGovOMTkztsRokO0R2tiAreZ8mwL
U9K7Tqrcfapo1W4MXQzPSKp541DT7opuQj2NBHnpilu4pgo7NDyMTAYcwDlLjzHeome3kdU3q7Fp
Fwty194K7b2l43TlmTXheH0CI5w//HPfuTY5TpF5IGtSbNvY1uuRviR/hySw2y4mk2VtThMR1gMo
0RWbcJ2t2DqzJDo+edaDkP0BEkp20zFA/YJxnjlcPQ17lHDTrW6s6cSLcelIA+I3GKIZ0SFM4+g3
7gd5Gyf4Lrd9YRnX2EsQiUkXnEQxCtq6bf4QzootOPGLN7xi1bpHKc1+2GutsyN766sBAAoaYWXZ
14UTdBtdsl3OFKqdPhIzEB3JCDLqnG4rrLwjfWxxC+Cr3dkDFKvUiUccE341PxtTVu68KDX2SKTn
o4PB/412tTqG+DbuZ3PyrzqjKi4LUheyvTMToD52s9sLbB690+K7X/3xv/T9nD48G3JRga8jkxEn
nMleExt1issmGPITvb0hJXOdjM1Y71DF0VjBC4sweYD4MG/hXwjz7T8r6n9vRUU7+ssV9Xvedm/J
9NNojk4B/+iP0Rw2eKUFLrelSWB9mMzpf0maESyzaEY9mnYsfr+vqLb+l3BQ42Ott0HykNT6cYUF
taURnAqkrYjU/1HfQdDA+Ciydjz01ahgJe0HAEzWOxnoQ9vBdu2w9gi8PfWCHQ+dQqFuBzI9uMfz
dh9V1Hu9+RobA3OVCo8XaiFPQzTt2wPCxH5vV6La01sGh/nhMv6FNF1anzoifDVOjjeRabnQ583P
M8OxkZNMLM89Koj3xbVmI37tzRAm6TT6MlmJDpq2cAxnG9UkuwVMM4yyx4VEweT/5uW5uG2IXKjq
bTmpTH2dSyO4Qik1tCzYjXjKCKskdDHtS7L5wF8SmSMBHV0zFPAaA+Naa3gHGLPzxjGTHLmrIG8U
OUkBSqB+DMlVZetkgDNba5lWCOOadNqwE6MZzVhLn+Dxi2X8F2/HWj+wuofwk/Xg2TfEonSPuiBC
CVN31q9YwVNGoUNcvWYAW4C4EnxF4YZHhVReOrM0f+kE70i/DtMTbs6UFEUS1qBOoQ++BaoJTTIY
EAEQWuoHxr6O5vpUBbHYd53dvEVmWF9rMoU3btxc4IA4lTgdH1QeEQqoYcuqpmuxVREHNhq9sYnU
zIqbMkO6qohaJs4r3BlA/KhhOlHcGY5+Mu24WRkRvtbNnKThN3hFpVqZnRzOBjOnW1QkSBhVODXb
IerHy0DN9+Rwptf11EXYuXWOr2dwRbDzEsPBLYnFTJdhsxol9lvezGQr3pleUt71uBIJovGyG9nP
CtsrErDkTFnT2I9xgBBjhBp3Pc/VlkLX2lU6HR4mhkZQntAwjG4p9zgn8l2pWuK/Re1264YWxoIn
EofR9ksSNbWxsmcTXycEhSN9iGEtqsC95apXF1jB610McvAUAC87aeF6p1CYKcnQuZl+AwPWPBSK
wrcaBJjTpDNotzTRjITYGi/t3lS/BSp0d+hmqi2zVwzMFglRJITWWysqWjgDYe/s5grEz6pMyvAl
4bYHRVWP65Y7bTWz6t+ZCo8CHon+Qg5Nt0XMpBlNhekWF2mO1Qrb9Zy3Nvy0jCRuc7ZWQR2F3NKw
q/3dQIkyrWd0Zd8kH7LG8sy71NPdVpKj/GIFcYjjb5q+WwDTzxUyxo03jvUBRSXD+JYOxhNvYrCK
PsOUo9W7cb0pBnsK13OLSnLPG5hJq5JN462sKlMWs1VibFYm4JpNGqTBjKjZNx7k2DAuc4y0JUqu
Fhea1C4JEN1Mjz12pmaViTS8DKiRCXOGHGA72KHXTr/0wno8/pMlCff1fOcNKc+AiSwd6od5KPPL
JfOMyzdXyVmiLIAtpXEre9HydIVeheSG/Ua/p+a2sWm3RGcoooHkXiWFe0wQ8ehwmF9VPxNCNjTO
UcPvX9EQo8dYCmzfrITDEwxjr16VngsqIQvmXGySqE7Q4uC4nZCw1uo5J+m420h0ofijcED2V0yr
nSOYI0CzcAAUGp6+DbPLqaC5s9JT3x+LwC2Ig2IRwRpN6wu1euESjhUF1jWD6OHWreE84w4Le7ak
eZNewxcsGbp7IdBcANEGdblAt1zS87hyWQ4ushAvFhLmNPvCRqgCpWu3hN4CHD/DQasuDTjdzUYt
k9tomeEqtlDpRnSRszGXGa/LPYo7dZn89rOsz4MVhjeRNSSP5TIh9pZZcUD41iYrB6r291GybJLk
LQ4ACtHLW4bNNOfcmyaaUuMbdgXG0eMymbbeh9TqfWAdkEVb75xljl3PBJ9OmRiesH+jXljm3eQj
gDZkBD4broF5bpmLm+8j8naZloeaFBQ19PU9wdwM033hhrdCWtbXos+iOzWNmTg0dRPcYAAqMUqQ
zJWuLdhUzwVsrWzloAWVpNsAXfaXeX5Y6QoqtBj7c4uSAnGJGGSIes5j9JNQiUMpXdQBskfHywyb
6CrWd4btBsmDlcJn7BqaQwTanC/R2dq7eLJJvUqscVsNqBJYG8ZjvCgV0JIK/uCmY53nIU+Y0a0m
k5SxVbdEa+BVRu4QL8oH8S6CUJO1CCIatBEMIamne/oeFy1Ev/efDSpbeJFRTdD2sznJXqhtE7pv
sc04b/CcErTbaH9hyl0eY4qFG22HgqNmbxbjfm5EmdjXo1FeksjHkiPTy2DyfJQcIEiJlFu50gCQ
LzJj45nQW8rSia8mCZzGoXDgH8yjdQ0cDxHCsAhKsKGYa2As1oa4UabKNX9Enmk8x4sgpbbs8cKR
lZOuCTZEsCJ1/9YvIhYYPWpTo5vdL/uS13QRu3CXSnuNgg8NjPOuh5kWaUwDayFErmLXF7a3yGuk
HaKjEc2sHFLPDRwejN21vZtqckE2SH3NL27ctvm2WoQ62EXQ7Ezv+p0AEKYP/GHR9bTvGh8vVAO1
tLcM4N9VQFgx6ycQP8kXtnD8XHjHnbi/NqB23U2me5+MvtzH79oim0SgmRSC0D437+ojBoDWtZ8Q
mswWq3ieFplSuwiWUPDwe8EbQMdEbGr+bCNf5zOROVmL4IlGO9N0tcigvKoRlw3LGU/RIpMK3hVT
7LtQT6UedtWVUlbywoDrqTEECR6TsFG8xLo8xWg+FE12z6DVjvooXEOrJwzAKKrsDi5Ne1UsHh1n
ceuM78adRYMKyX7x83RNcxfogZc1LsIziJMQmRWP2GXERE1uGMEyeB2cCNG8zBz0EUt4ib94iFAm
VK+erjAW1bOhTwxfAVUwBQPggytC0wVcDEn14k3y3m1KenEste/mpTJKsX2Mxqwo8OO4v6zEjK5z
eLc91e8WKLYn9Vfr3RjV24tJCr0mLoR365TJPeBv9eKo6uOaNwESx7w6AIVxxs04+CEOYUTk2A5S
27sfF4dW8W7WchbfllcnLLShXtz7hZvG5zqcknHN0p4hZvHGLzW45DvENuq5grS/L1zUL6sEIMub
I/xF8KqqfF81NQMyI8jIFA3FzCujUmG3j7JS3EBaDbMT/EaNMUZB8MlNJyJmLjCPpRen5jonaWLV
2B0ZICPKILu9cL3JYhD0n7Luv1XWacujf/VfN8ouiw7y6mfJ5b//1R91nfcvGlwWOiX73/Nf1Ji/
98q0A0cNRymORFfYFuPQ/1fZ2f+ikrEgkHnMm7W1uAV/751ZfKCmcmQGjYaerdE/6p3Znyo7IXjA
mSYz8aZSVIwfqfw+VHbRVA8dcRr1UXLjeps4NsSdGVYzKQhRuSuq2IPVUMKBbAzlPwCFhvyQ5f7J
qCMMgbz/GTUDQi1MN9+TidEv7xSS1D326w9embF7CEt8V4XZ6rVA7XEtcqjBcY1wk9jM9ItjMY8o
Fzop97rPzMrB60/aUE9IFtMvEZj1AM3UmA+sQ+59l3fj33h7PzUPuQILaB0StYWVHAjd8t8/XIGY
zRqFKlRRtprjDYNdvWfPotdW2y7nxff+cIv8Vcn6cy39fjzalaQD0SQlXRuj6sfjWQbz3CBJyuNg
wJIdg/R1GVUtlOffG9xv4/8KvtOMSqegyD8Cxj/JaZcjKdtiXgs6jtaC/enMZnr9M2/3FE0AtZ/F
8s1OEroI1LXoHnaFs5/C2L/7x6encOLSL+Bm8rCN/3x6sWmhY2P3eexc1sOVsciGGrQMkpxUCb7s
nx9N0uHAwOthAF9cvx8vZqC9IcqzGFCROcjknNfZvMOqzXi3S/XDr48lljbyB6v5cj1BanAQZePi
RSDy88FGmC8hfL3oWIVjylw0pJbfVFVWbLxaMLMHrnfdUc5fDuBZD9hn23JLfFrzj88ZFzH0ZRyz
C/ZNffpZMRGricjP+Fh1xN1ueNE3BIH5/oN28Yf9zcH+fA9JUyy7YY94QNIiP7XWawplu63dGMfN
PN8WXt1sWoMnGN9IEgKBiZhxqpz0pL857nKb/HytpalcISiUXVpi5qd1KQli8m5dIlPzoerZlPNr
DnY3DKs8Aq/06x/207EcUhAYgS99NH5eYS7ynY83kRMZg+hDHR0j6nkkc5MCmGHW00VARtPjr4+1
fNaH83o/lgRGCNxdmY4Un368OGupUdi7HedpHsSmYLdwSiO7/1389V8++5/bYss5IStDj8Qiw+1q
/XxOnZs2tVuMEZwqUiDZzVBPrJwpZ2TZ2/I+jKIMDS1yXHgiNJCI88qC8Pzrc/107yznitCChQ5z
PTETn+8dirMkqmTLd+gb5h2CVLZVMBvB2ben7FQEHuWsa09/s56/X8JPl9hiCQK1geUf9+Cnn7MP
XHZ3voIiggv1aw2O5uTaznRVMmbY13ZJ1llrFCMevmkM1Nofuqk/Dm4+/oYOqSLvAsnQieQ9ZKrL
SMjHz3by59i4/fXV+avvKflhGHmwOwAw8OnRSqTtD7MyjAOscvd1mjqnXvdVSpmFYX9wmXdQgq2m
2FD4zoshOcMbgkNiEy907JLCucBe5R9R5ttX2nAbtQNhWMS4obTq97/+rn++az2Tq8nIDo6C+6cB
m6mJz8H+F8FvM8lySjCBJdQuTbv99XH+/CTCYOAnowoB7gBp/ue7NjIsLorRRMdiAJGvo4XCnSeF
vGAEI+9/fazPyzm3p2cCeLDeQdrYoT9d/8lrZOOMMcs5UV+bwPP7DZN88rJ5VBBWLEz6Ed6j6Eb1
ZGR5sKekaf/mwgpTLk/iz7erZzO9JNqFTQFf59M5p3VpWDwZ/kF1Qz0dVWqxmLZ6tMtj0JXzLVM8
81Uu6QIRSClGXGUYk2EdYctdERYkL0jN8k+666Yb9Azw9ZsqLknHhd0KGTDJ5nMaNij1wPLczant
/+gRTn/xpnQ+I9QjdUpXtbvILhL0PZ686GuTBRephHVHRJd774aleWgRe1+GGOTIHC0jAwTjMN9O
gW93q5SG03WGg/ol9QkznckgPzNzpUjWY+7/yDxDlqc8qxCf5Ej5Dhg3nIZWaQjq2lb1skcocOKu
8spyXkK8r295l9mPA0q+ajX6fQbaD9vyj7RvnWGTAdUMwQXF4Rm/QkZCHUuLqPvotQtZvIsmkD/o
LHsWsn22jZRjJtTXIdJBB1DNdfaDY7IZyhUR8Z6CPJTHlXryqqH27tAHcb/x9AfJLik0h0dkb8Af
aFg7MS2qpxlV+WZMdHBWy79tKHSx6khYc1U0NGi0mO496MKezrxn0i9VNQ3X75fXd4kzsfLQvC3t
KgQ6Pqs0PALOdu2Then8nOBThPFHpAud5vfVCvf7Rd3OrFCeGI3nvEi4IwtzBOSdpmI+dFHJtZsg
igGfN83wAbSd87WrTQiuVmDmN4tNdRHk8DlDGIVnzLAEyVUqeq1NDRTXr+spgMpDENCKQb68xwFi
P3p5X1srw+LaZmR9vKZBZu0EAq0X2kxk4PHQkJXgR9l8KwcaXes2IQPW7KvxOpoYSm6UI6Ln1G1Z
mlBZQzwwcc7by32YLRARr0OwtZ5Cr4028yjYwIismHek8HEvqaydz8EwQVr2Kb0mMgh64kWkweBo
MZVvunAJ9Ig5AbrA8QAhveEG2+IQKF/CITCZtXjcvSSqjTe1jxz10EH6vEJgbjy4iOUWs5AznQMj
jU+Jl271TKOOWf94Tb5ftcNjLyCKgJutSJFeT0ZRQ1QPo6Pp1fkFw5MlqzSNNq7VmGdh5/Opq0z3
gI7YfwhatS2cxe/j5sl54mhrzJzqOpvVPolm5vsEUGLVjO0nDwvTCjAoStAJgWVCmJxpjDNNR8ta
Cwb4Oz0inMcPDM2Mq2p90VF/HQX5dIqF3oUhSka0qAUgTJtpi4EzhXA+vQJuHJ/SxKvX0OZSPMkL
vnlJi22l81QzczrjKbquR3ABTMTHTT95zpoXDqGGVfTo+i7G7aa0LlKMYWaXyHXZ5sM+0YRJknK8
yDtNl/k30YeRDu+acHrFVvtSdkazjclI3Uwugj+LntPRML1v1aLaZ8Jfputp9HirdaX1nNnOaYbi
A48mugrdCBeB4z70vX9R5Cr41qKK2IbONJ7CNGMBdpY9UmZNV25k22fMIdWtiNLmZPQALefZvUxU
NXnEemcALTQY0coKmu+IOsvDJAoQCLnf+/AnAjs+icIpxMo3AnXZyZQvVKQAzun3WvOjnB17Nw4p
1My2h1CMPLO6ZqPkhJvBXQZnihQEkjCCR1qWw/1USPYPRQNRekW+3nRO1GwvRma1cxKo3HGG63VM
XSiNlc44KLvocx2Yd54chjs1TNPWnrtuu7x/ECIWJQDiqKyym6alKah40tIjI0u2AlYC1KGe2Isk
HsOqJHebtWuqiKUoH9Ae+rwRVKDVoYwpfVAhJJuMbd5Ozya9LnIUy3VdWtl1Y7ZfVDpDBWbQduVU
M0CTAE9hvGmJy4h3zDSRQJZNssvjRN6Y2M53ruqCr20cDBd2N27ayB9O8dCZ2KzAxT7bpI34K5lj
+Ac0VBvHXNfhCf0dxiprwLk/9xk3ZszegRIhNW7TqVbbbKrh2SEFNDN0siQsez9aZ0TF6ubCerAy
qb6Ow6znvSkjA4vQgJy46NiPwXE/lPOsr0ajcoHQMKmyi6JcG22lDlTQmkwjYbWrUnT199LyvG05
xBNhP/ZZZY551n4NR8XR4pI+cs4WJleYm1J9m/oV6T6+7dsU/3Ho0KaoxYNBlONatKk+8aNiEpMo
0XkJo4eG4u28jbPZ3CqMhMexygmmLmDeeS63AEpXbGJ+IPcDgKCdiwQOW3rkPCaYIm+IcLBxXYn4
6MeVteS1RBsb83rV+2LfS8mNrfOzS/tg7WfaugmqlFiuStmXOsDnV5cg6n1ZiU3mDcU+NUkGTufG
e+kWoz0LTbXuG4Z8a68taji34Cb3YZ9bWCgHRkNk02JyN0f7qjO94tqcgWHiOCjcVUm8BTHgiVE4
uD/7dJ8muXqS5Kk+cGrBBTpKr4As6KTHydDT95Zy/BJVf4e+yYBbSU4LI3Xm2bzTSdmul86kvKJi
X1JDUcr4vShOqZgIvejb8jzEWXpTurK99ppxPNhVExKDpL1DNs71cfDgMCM08C4KeCXnuEOy4wR9
9rokRMILLnX11UHhv3PdOPmhZQYoq1SMZHFX0UsCkv5FNeVzxkdv66pgfKDlDKmzIT34xWQkgTnQ
aMgGKDv2sp4g67UiV3fjkBN9AWqWGNqCabzsom2SWW+DoSFHwxBEVa9tgqSDYDozvitelcj7E5Hb
TDs070AasPN+kuioGby1N8Lsm9e4TlizSbjIQDDrOgnade+ASpWPrdnlqnnDc+LB1XXyMfwRGhgL
26hJQx7sNqdMao0flRvm51GW1lU0yO4RAlD/6tSR9xR0Gl7E4mCF9QBbmca3xJOhCAzLs/xguM50
Yt4KnStzewLB0LuaSQbB2+vx3cbVMrkcErFmF4XgwZrUpk0ruhpW5WNbSEebb9WOByePzbMzRCnC
8oF3BqMs8l3TriOvncUpJCUkrsaD8BfrQI3ndtM6VsFyNkHE9OzYAgRPHtZR6pHXiKA7xH1JV56o
+9l4iAj32OkEQmDJS2Fvm2V7KueoeyupjZbpSAo1P+Mq1F707FvLrUxHyTyHqrQg8jP9Prim7X+Z
pGW/GFZpEE/SDZe+hwtO5nNMlAMfOzqjfiS+vifBV9bPfulEbCdNvWYC/8jGmABP38VRm1R3rk2Q
7cLCmFle/dTnpsq+mDI3VyaYaNWT8BKrfF4jR9wh0YIkmaO/RZyerUY2JxulyN8VeY1umhobWSxR
znqMXpPUCvO1QZ2MmbYteFUuNFrD2nXu8B1Ujt5TyzvriqHBjnR0tU4y92Q1GWEUxPeuMrmkOoOg
R/pskNzL7WzGo7iYZAY8VOBK4YPDovP21lQlqyyb0j0G7/G+ciGgW50XnAk6/mGUjBmqmTADt++t
U0Rjd9vQzTpF9ZQetEl7wBp7HBpl3e1LUtZekxaROjU+bx02Qifsug62+KjaZUOLB6Id48tEjPsE
2vPKZsO1pqh2kfGN1wOyJDhCo3uQNRBgM+s9ShNC10CM84Io/JtRNCaTtBhVXNt8b2uj2JZGMe+F
Gy3+c/1cT0a2q6fSvWhLegczgw+s09DujJfIdXYF2XXsU/QVDl0Cd6unIZuvO2KfkCc/Er13Zsml
YYSo+sKt5x9xFXwRWt8pK9+X7KahkBE1YUaoCAGurFRLDog0m/VcLyo/Q8jHYsmXMAvrddSCjRVx
lhsvtMhZrduNtsxd3JUoENSAvt59y3pQ11ZGVxtrIxVBMHTd19me30Ywpm7cITohvGhYT3oKvpqI
9MCm1l5yQr8D1GCacEpE9l7M276KvhETB/qmDS9l9Wh6fYcwqNLbsInulR2EBzXohNCuvvtmWLW3
HeG0HnpqmMuuqyGBwOPnMZ/Mk7Qj9c1tiD6KssqFER8S/hVVLu3RIV7KCcJjx32BoWALp+M9WYjA
ZkBORr0Ls/GOIDT9Gw4XOD1GmdLQId+58cy91VuDfcH0m0wJnJf9eJNa9fJ5VpWQLk/TeaBxgVbs
GGAN0IzfE8a/dDUdCMYmHMQdNGbsPwn7oYOyO0WKOPaIaNMYRQzQStM0dZuBkpMUlXXdWf6TFyT+
j8Z3eQA5KiMGiQaiZitCIUWiZ0FZFHDbd5uC5YU+0zLTmIrOfyIe2Nj6RkWNUVgSX/FM6hvvuC9e
5U9nA1I/YYqQXtupcs2r2JAkXrdL3FDWKZaloYntNWEjVCfEnvTf45loydidwKKIZN6JoCYBLiHp
KcgMmtyBo8SdaGS7dcHLlPS7EMaRKeDKcxv2S8mrWwKoQ1k2QBp7tg6p4Zr7UhBmxt6ej4YbbmCJ
p0BnPIvETglFfQWf4tlNM2sT1Wz/Vk5Y3sgaTgUuoiOoqhiJTVEfraThRdrY/skOJU0B1MFn4PH0
CJZJzfvx+tIxthPKkaPvkm9InYAhjTCsb+9/hQgKDNUuZf971KSScj7ApSlfmgzQ5HqsLboEnj1c
DzPbHoNik1nPnLv3OuFiIhiWBKi01e69UUzGCWOUsfA2XULfOM2iEnpqFOq9ofmKWUgSlTu3+d7N
ZPO1iFpOIIr5RNaRGVVeN97IKBXfss7kV88TskH9YayPtczHm2RkvztDND7MSUc0aDlNLZEjnJcD
J/OhlJR9VR+WZFtNcbVnq0Zt33Wpqjd94g8JbG+6IjQvWQxgHTNfRwteOL2sjolvZhn3vzkbl7oI
yheaf9HeTGI6it58oeu6weeVaoLzeHfgms+Dudi1YNCcy7RqzSuJIOSiiGcmZLOkeeXPyen9vjMI
l9v1Mb+APWNYhxk534Ztg9mnhwLO9wvxOhoMj2mKUGbdpt1yTdKOKZvg//JbjVeFIrTMpUm5XqIb
zlYu8j2+5hZzNMl1Ch7eNUY5b1MQaL1zHe6A1jH5bN0vH5jG7n1gaQPoZe8R6oC+p1WltxlzZX4j
BW4mWcepjypf/mvRcrWEO3LDCltN554P2iLw0hJeumF+CwnBgOnbEs8TNdz3ocH2mtAwkEfvjSeI
3P6PWTg0lWKCS+2ZDwWiWLzQSsyBBuVW/9ha6LC1GPxTH/rFix8SCDuhdSuhVfMIO3bHbHJo/ZNf
iuIlUQ2isGo0bDgwfWqiGkh9cUdxwBnmSEQXcneQsANGu7DXeWRdUrfUX4km5i9k0MFPXcFl6hsi
PIekheSxPLBWk4S/ZXNWvsAR49Bj1/Qn2OH+saXlCuXRM5qXGVBWYNKRayv+na4hubP4vnay6Qn+
JG+ibMu33PQ0lkoCdpu+9k9my6/Ttj4P+8gT6HeTpmOR631b9+02KNzpbNMCP5cZiYb1gJZ1Pbuz
uEgh21zntuufZGrzzVsqH7nJWQ73pi1pfjAW9TZyuQsGLA+XspS0FHBrkPfhIe5bDbrjLlGz+RqY
MQmWrmeAKgxLvVdFLf1NQXWKApD1UTtcKegAxgP58P4PRT49CLp2uQdrkxgARV7bCZEZwZYejvyD
oZbkWU9R9nlu2H/3XOpkYPVi/NaAjH8ee2+JsmNDXtNKLYNtyLaCNyPcskvR9PlVOLTdQ2QO3m9l
7/g/omJEPSzBERJOxJvJiYZqN0k14ePF8njsdeU/xe4SetkAsyDwvKDBvUnL6I+E0/845v/OMb+k
Mn/onm9e2pf/gWSdmPSrl+z7//6f55co//6TeP3f/+J3kYMLK5nwc8e1rYWzLDXzg99FDkoAluL9
gRCd3FVvQU794QeC2Cw9Gv0EYPPKsEykFr9rHBzkD3LxFzFG1gwEkD/8A3/Q56EC0wQKZj6HWRTq
dffTPGjSoLCI7UFB4KPk2srpjGvtw9W4+Xe3/uOk/c+HQOQhoW0yzEFs/66f/6AhYIS0bA71fOh9
Gzaet4L1TjAil/T/ikv+P46yfIsPR8GGO44y5Cgqf26M52L83sp/Jk5gKPnziXwaT6qocCjdOUQ3
3yrzllj1an799VksH/Fx3uERILAg1BGxkGFqfR5fu8hLocF79WFwPOj/BkVNVBa3WVbtiezL/mbA
8qdf5v1oWjC7wlfhfp7tqlGOLQLE+jAVUKRNxgOrKFPjNg3KdPPrE/urQ6GyAGwjiUembv/55zEb
l+CTUXBioRc8jLED7zXuxdlsMY3/+lCfJ6vLNRR0g9meaM0RP/1MpF6YE0D++pDXeXeZpO2SnhET
sjfO46oKxmyPaXT6p/cGB7WELWyUTPgwPh8UHjk2NhhNhwmW8IosCMApNc0L3+CPX5/f5+n1cn4W
CDhcVKhkHPfTpUxso5zL0qgPgEoJG0p9MhOMyouPiYVkH5ZLdVNOYiS7Zg7PXTqOf3P8z/PO9+OD
wmOK7C1L0+clI3DK0EyC5uBlxrh1c07QrYbHX5/kchKfHwTb4sZc5BxMIq2f75dRFC2oSqs+tG0l
9moIyfYIlO1fpZY5H+YJK37fYfQuasT6vz70X90/NgwTFGasWWJZ/D+uJFo6owgsuz4gtJ1ovUhs
x7EB8FQZ5kLFDtjHTyE4yF8fVuBL+tNJI2d3OFmLl4IQn/VmTWqAmeur+iCNvH4rUH4MW/YC1paS
dj5IH84exkA2TmnH7rwxu93Y2PwENDv209gP+6is6y9WONsCFm0Tb+pW3UJp7uWGMnS41LUb0Rio
zY3djj38b9+/R/5K4aWyLn6Yli66ilV80bg9k7WCPqFXQijzGgh7oj90UM5xJYSAsZGmbBJDhWfy
ECcYbV2xcqO6oJfQUQmYqbowMRoxGobMsArlFJ7NynDZuqWYKExmIqEhAVoFWceNOoJxxu3SXXaQ
dR8haKabsAwJnlHVm0vQLTKDjKQbo+o3jZqx/1nNpZNY7eOYT87tgBF1b9Cu3hZkelLhYN9PO+Hs
CH1D+jqW4uzR3NuSejWSbzr2d7Zq+RD2gpdqjqdtMXvWxKijEWcfuOKhoC+4DoouvPXjfnjTLfiw
frZJQ3L9kdugxxRkRPP3IXf9b2GJiGtDdNv8iC5B2tC8xPe6Ho10zQS9/WFUDhEBY5y2XwjfJGVx
dFvntsfTQr4RFxgB17mgQ9euGMkCFJykiyPAbwEb0+LEBgBq0cfpDeWEQB+6ta1CfBwbV3HgfG8b
BMnD1Ha/xfP46MzWdw055mm0wB04nRF9axMIIObEzGdVhzxI+eB8X4phvQqHaj7EFStGzFx/pGMA
p70z+bxs5HvEo0pOmZbNl2i59cn+UReZ14Vsxgd/a8saXxRiZBAJZEgFud1vdF3WOwwV5h4ny0w/
2HWDtSZuaeuB1qUGT73gJJnXHfBucQBrdtdVFbd7YheSQyzj/j4p5u6+xe5Pm0kTtJjA+7pNA6Td
ZPEkJxQtoLaMotv2iEauPc3lJFNT+JuMMc7GYtt01Q5kRB5jJrQEqmMlhaMcEQrQ1RRCOGEC5vKR
eR/nXTKuALnJaysV8T4MAnMvnNp/9eHUALOxDP/KGjTjpSRkmr3YHKB80+O/nkKyuqZgctfQf5zT
VNbVZWUsfY1s7o+uLt0b37CNPap8+0aJLLgcHElCUUVphG0C7bnsTQav9B6PVd3iVehGeA14pf3X
FvEBFq6haFe20Rn7gknwDydOvB90ttt1A9HsoobA9BpqU2yDrnKgKML33hpNqxkF6eV6+PAxNmIe
f0sZ08brph/TbRggUxCNmA4ZqNJLmL3OA22DeetPHtAB25Bi76m83ks8Qd88y+9x4cjw1swq89AD
bnA3TjdS0auoZ0bDgONNJMBpKoLPrsCADy81gbDnvAv0NT4d+4H6n3EyXiZjO1ZCXgxWMN3YPT0h
/CreDfTf/GUK5XBbT9N4M8ZhezWSCHkpRippcDHyIilpwIhK9mtQB+59iYNk06ILA1VIk379f9g7
j+a4mSyL/iJMwJttWRS9p8gNgnLwiYRH4tfPAbtnRipWkPH1ehbdEd0hCQUgkea9e891dJML1PCA
yAc34Sk3s+6JFVjD3FsJ13U2SH8q7H6j/ttO3a5cJUWVAJsfsp/O7LYhROt2S+xqu2dooFuAu7qT
Srb7rhrBMrYybQnFSPBB6HZ9XowudpWkqpOHmcNevCLhj3/TiRJ3kwWY2FETzGf82vjBJCn8TOWq
PqdtqNaFE6X1OnMFaU9OmQUHn8PCDruAixggDg4Oacm7jjICVIjFdpjkKcAbl7StNQ0CKlyB3m2h
+DWHfxWUktpXO9T32taL+gj/G7lda7jkPIepYoNjUiC5EWwCvgO/6JjGhvy2ANlBbB5Bwx2zwCvU
85lwP88LAbkNv3C9zzsTwdn5e7lkrNLCX8GWp66VV8Z33GloDQqO7b/bAHGMasHtoRek1rVUV0zh
OpCaKIsgGCupQzveUgBDzAzwvNsOfs5JlDH8Dj/1N7YRL03Z5ZK0/SmqUoAd1r0yObZbxVJTz7v2
mUzpdsOxlz9qN5a2TbGRXb5X8sw2Nu9oCHHqtZPqaUjLct8FvdhTjIu26WzorNUL8aWmg6FPyzm/
6t8wA3cH33P9HAcUwXF+lOvL8p4zeTbDVUC/iUJVArGlMYL00s2xLxkacWMrGuVTWNHWM4l9NawD
vhuII1SdyzPYUpQBPIL2+qU9NoedkPxgfXLnkGA6997AqvftXaSR2ktR9l3J7UhfsJ9xqVvMsuey
4D2is2n225XRUMvC+KA9kE2AmlObePW+BQOh8qiA9oWV/HwvBuVLoapsXOc8gtlEfYJ8NmyHeHmI
2Pb3HESbgyW1/GkM8DgKUVOCrF1t64D0pP1JUTF+Lx0vi10b0PzUMsqoo0uh1zKomlQBndiEcvKN
RerEm1HWxHFIBjhmmvxsZkSv0W+CyrF18StjDT8g+Wgf2tydnxhI8Y2baPF1l/UBcRR0cF0b3Xja
SLH3G8v91nEW7VY9MZxk7gi24u9FHzPSppuuy+fbWdOHX4OItMdyAfbPXZcZG19z//2e8m6Kfiud
HzvZ1rjTbWlcUQrVHmJoKjeYwGgqFiawAWdKX0Tf+rdBNZD0gbP22eqV/Tw0mv2cOVJdsVK5u6RO
tI0i4XNDWZH2AUkyl3OsNXeg08XWbOBBQCSert6feucgyqla3782F/imEBULX5udE2RqkIQCHEH0
2PQqBuJuggh57tE+3YqAQNJSddZWgoelUqwTYIPNUZ31lNCuI9+ID6h96Li+j+XZNxD4abbPvsK3
z2dwiFdeK6ItHcwYdiKevhUln/xar7PyQCaD+y2IsGZ2EapaIJkshsQX8fpnvAp5W82XBg41PJaB
RTCjopznzMZSkUTtlKvpiklBHUyCoK+9Zp5J3XNALyJ2UU9kyDjkC82AymYgONTbc+D8wMQgBnvZ
NVBM/E0WdW+7L2kfjDNuaG+kpdDI6br2WpZu0PtQw+qKquQ0l16+gd4Rgc43yBlgbRoOQYNCYRXZ
Lb3vjqTItfBE9dAjQt31TDjsgegFn2P2765rOgZ0PNwBQwS1WzVCYa+Rj+1Q+pMTSbip9tDqOsU1
vIfsmG1YfMVAA0CPWz7NziGxcH6XZftDTbNPDhQgDVE86XRZtqWkKG0FqfH9XQdll2hb7HHUvwM3
pXY6pZW10uxFLohgZJsiDKfBjdSvyT3vzB1ttfU71YA2I2cSm9iARq4MXHxQ3YCIbyWIxLjVXTqh
ONUKysYR/+PBJrm3I9UiGS76ToPBxR+9ySy8axCX6yhsgf3uU92aD5jQCOEmI265o2svmcw1dc/k
yphTs133aXlvTnmzRbYitrNMtD1n+47gCEeZr0oon+BdUd9DVEInm6faOc3ymx5f/wpCZ4LPTfvl
19BNDFt8s3q64AXBFxfcRr4p9IqZ04nbZuf7zbitqMDuo4iWMUkU3Tm6vwZlaK17W3aICT1qAoq7
RN2YlCHXeeuWPzyh/aDcfz0BRNmZ01gu+7b6gEeQZKI5fRirZF43vhaHzFZ7HsSwRosuNjESHlrg
/jdNYHiBjVLRmG/raOOPC8LRoteo+x3yGkdCAfck94sf1WZXZRIvCnOL3gdBeyKJ1zlo4K2bFoi6
K2vooaNkyWvcD06YA5Ihu6cngJIo6epeYomZ8aaihVyVZnKeZK68ESKX37Q4FytW9RKHoKQPP3iI
Qw0UcpvCl/mhH9RMOHCQ70ET96GWgBzYEEpo39h+M99ksdvcSzBkW8Q/Hq3/qSk37uy628lronXU
kAlcANDeDXVONU4v0jP4A4reWkeoWDOX5+QjWrR0CidoNmMVWyPd4X7K8/NWfGd7b7xMHMcvjaDv
9HVjEqY+1Bl0HLPqx5toVtWhUzSYMi1pd52PGsosSwIVcsy3eBUb3uIGD+Z3O7HrcT1AGry2jS67
FU5X7XrcUC9uw/5qNRmJeaX8oHsBW+CdkUkpniPl6dGqhov5pC8rpGuUkm6Xn4STEP15kvr2ZVK2
3TMOeycEODaeFU48nJNOnP/o7AyVUWLwcqu+i24GT5Y/yxam4+Aa9ht91Ap7LXSEMwO2y0XTcQJ3
sQrR5xiEzVm3BTCjtM5+tIRXbpH2GLSw8LZeVZr6lQ+e/82sPIGeZyYyLC7mHTrNbJ0NpQKWkMx0
UROyo1e9NoFGUg0zWVZkITFaxJa5ns7rZbU9U5wqUJBbM8gdn+A5OW+wkz5oBS1p0VHQYpZfUbP1
ifGkZZ0b8rmxMouEC1o6CEa8Gls7O+N9FbjlQ5WX1UU3F+ahaRBvsJ8vkUbh0s2l35Ol1Y5aGXJc
crVfqisQi42g9Yze9Z86DZA6505/zylmXJlaGj3SCOkuWBSLG7aK2dtkWNVjVuf1N9kTvLaXGm7W
VRrVaQ5pYMH6guImm1nrxK1tGaNYv7cn8sYlRKBvxuxsMPtf8ejTvqeyezEFvji32Nn+EBJ8rwKW
unG1/GquBhgFraUV+w614ZqGcHWRD2Q2oZyW3RWFwPgqYzO0yuwia7e+79Ro/VykqQ3gQL7/nwD6
MFyzpgWrHv8tQomOGOmq7W9yfFQbG1/R09S0FgsXeCRDlNFtK63qO2WwVztrx1cEkfcz8Qj2zqPl
stHotuyzemZml5pFNtWSlBR4IEuQhjZ3jl605ToiRMVNen03DwNJUYx43N+VvU/AUJGSBpl9RbQr
9CFAxiFQ7/g73SdCXpgJV46lgdyIJ++Bow7rCeLk1yWBdiPj4NmeCPHWJfmw/Csmfpm6u7dT+6dX
+M31QFELQ1s0kGCH7o3nprLLgNSm/dB4PDGggHuQIxMZQAEPxYq8Z29I7Id0qOBn9CkfbBNg2Bbs
qVRCEJ5DKk9nJeYNZ5AnJuT8epKze1ajLl11Y+duZSGityrI53VBT4wyoZVduTD8sRprnGLMht0t
lJh6HQ+juBNwMtjhatSby+7Q+aq8jVLNvfFqPYZ74ppXRjJYv40YTGSVjXLb9CkhsdBLr4UzJReF
kzv3tkTViIh5BlD7kgkgGUne7kum2+0gSayeu0m/jaLeBbuJoaDq8mqvcK7fd8y4q37CGh8Eg75v
iv4h7kFyT57unllxpfbd2LwmgfDCjPj0NR3KicwnTwvJwR0u2Mp5Z6ONXquN65z9byV+9102pJui
k98tdP8vrd+R2kSCcJJ/r/Qs088N2Ufn/hhlG6olI4OtNR96U5vUmiBXJ7hKCyIX15WoCWO2mko6
u1pQRl77SYOyRjXFgygDgokcFeyTdDHyUMJ6QAH9a5rQF+sQqpCiWM2ZPo8/PIdTg1OY5ZpNFYek
GjHRTDjuoUwDY0HVhhqatDO+fwc+pvtUIqZb2xGMXHaFxYZyx4/WTBFx6Ir0y4z1VY1j2E/um8cR
ZCJ8zGn0W/ZQLpUzykRa7xs/7KAYz+3KsbZubVFIycHNxpERDoEW/U5cy7mB9GbetlPwu55s7Snm
03s0Ta9JNk5b1bTGmynatL6xpGc41V4Pph7oSi02AN0gsuNH+MKj9LEKatJ10lmgKXFjgaf19Wf9
1WoDt/JS6q9enRVnRjk8Qumcw9jldBt4FPI/r7ue6kxgFMZbA5zax2v89+XiptYN9EBcru2ch9qs
95wAgE3A9P2i3fLBVLNUzqFOmTbbcDou+nFleZ7/XdR253780b4X6VXU/wQfOq00Ej/wS6B3cf1Z
f0uIGQq7kXrc57d7qnpPII3rubaFB/VD98CzuhkvQIMuP7ZvHXgglzKmTvr5VU49VF7hUsPWaXwe
u2ttPCm9XdKDeW+HDCQEoC5WEwDgTH7x/k7dkI1wwLctSnOYFP9+f/nUCzhOI52lsYZLM1avrl+9
fn47X13jqKVE+JPp8rU2ISJq4nSave2XXznelpd/3PFg/AFAYig63ofBEWT+2JhdE0oWsMu4180z
ExYj4Tlj+i3RaLUgUdIXCimUGgu1Hwa+r1o7Hz89C1MydVS+v4Dzy1Frx3Yk8sEqgINtQObtICut
oZzWxLFlKH9kIDb/9LlyPTKViKZ28GIff3s1eytfYfoJS0GKt+2qW+BI3hfzycexaNFDBw5HfWfJ
QD76wIPY6AiLKOoQfizgKlmlazwFF15GQfPz2zlxJW6CKHBAH/iavKNhErRpOivlVyFTG6olrT0n
duhBNtnT59c58ZoMzzZ1DHNLm/g9KuqPXrcry9wKGq8K51TfNsWb5hfEsotFcHX2+ZU+EuR8cHV/
XOqo2chB1V2cG1iFhoDqnbDJRxy9f0XMYMkaxPyowD3vQfdFzaa2O3+jw958cdm3bruZeL+MFtDe
bDlLl41FFay0EXw5fiahsJFmFY/JfBkVbAbtWliIRSkZs7nqtoVJ5tGZNxTT1Vj1lLEUvt01Z22A
TW46f3GjUFWPPz9amRT3dT4AA+/K0dwMvVqzAtHzTNukew4I/bwyBv+O0Pr0rZx7SLtFQROlQImE
133nEX9E48o9uPiCUof2jFHLHDHxYxmxO+pcsvaq8k6O/uUccbosq7zetojEV3UKCD9qMgsd5lih
0RrgmmuZ1q8nu7JDGlzjpuvw6HGdbMM53rvIbbQMWQ6EZWK+3gTxuJ69eNqQP1QEPC0TBE4wt/p3
bxF2fT4CTow1Ez8/Cg7WLNb9pVv6x1iLyqGmDat4Lhlc98EIrANvfQrjrEEkTxDXGH5+wY+dX8vC
omw7OHggeBx3fvEkDMMoyyoM/A7qV1qV2xo4zIVryW4f+XF3kVB/eYDeFp9/fuUTny9tbX2hRSL1
+CC+aIhL1JLeFbgHlfo2uCSa1BR9HzCqZ78+v9SJm6TLy2zEgYf/HPfQaY6w6VS9CMuhoTSKoaOh
ZgNFHatJc3DbnGzrli4bdFeTyt3nFz9xn+yrCMoARsxDPraee6TbcPYUImyjKt3Xo3iIF6+3n6nm
H28D7GWSMjDwwmNwjvEhHATbGONoEWI5elZKjBvTn0DxF5b1j4cp2w0EUwijkGF88ItLKIp9PPQF
zcWe7G6X6ouVXY+j4+44ff78pw/Q1i1uzDRsCAzk8f39TcRpIYVd1NyWU1ohdl5R0UigsNsWS0zl
5xf7+AFyMbY2bA0culrHy1dNgzhx+5I70+yHxNKesaf9zCbrAUHgF3uQ5Vv+ewvCpdDnuNwac/67
G/uPb52giVQJjW4stsStRcEkqBxCt4phhpyHm6cwv9qNnr4i/B9kbMtHd7y82NIjWJkr1sZwlgfy
rVLGg9XkNWpft4CVaV58/jQ/jn1bZ+O9ELGBWtDy+fvVOdBWcN96eaj1/ZkqhtC2c1I79C8u83HD
uFwGjYy1ACbMY2XV4OtTSuZuHhKcshjCAZfJiRXx85v5OItwFUNnswHKwf1g0schMxGNYeRhY3Gs
5biHprT/7Qn3Nqs7umpkNVqq+mKWXHDoH0bJMnGgb3cgMxyjGQhKwAGQoKoKHHzsYxFwFhcyR2Ye
0KqbBZ2sVsFjXWGYIzQLNKik9q17+26q40NBM2lHfsjDrJz6DiEudAEp2Rws24J6MSGgjXEfAxPI
A45A54tff/LFLEFEdATwDB2/GPqSSUF5k2zfkb5MpoLsTJsodnz+Yk6OMnSVXmCAJv6w5SztmmUk
ropQdB6EtGoI9dx48L3uq13LqVdBAhiqSsATnGGPRrNXWELWgolokhbd7Cg5TK4+7T6/m1MzkMsW
APwCh3Ke3d9XmcEWTXGv5SgIcLQMHssUBkA09W3xHb3+P99Fc2ZEJsqSsTCSjk+oeN9dqI58oiqP
fi7Prknd27KJnj+/q1MfzwJG9pDkcjA4HsZTS4rQXPHxFKnj3+TKoM4eOT+puFa7Jnb8H2MBYQcV
S/vFUnVqzkNIarOvRjL44dBD/URPLHvIwxg4aSc0HBTxTmZPMpvv+RC/uNqpAc+xx2Swc7L8oBYE
hoCODOtyKGOZ70vX8W5HE1fm5w/zA68F/pHOQ/RMliMLmfPRvBr05tQ71N1Cvx/1pzTRqx3xRIhS
MmsoKNB742Nm+NW6r7rhulYiv3IKz9onJGhvZ0xsdJcI7DBqPOb4M2jK9n321enWOPnkPU7YfJmw
zI43Pk3U6s5Ylqw2k02tsKvfjC4AQG/5LdHf/jNxSXLtkUdzUQgrfcrHoT1EQfWa0Nad3cV9OZb2
gSpSsHKVJsHich+fP8gT3xqNLbagnmfBFjheEAuP35BObLdHMf+Us9HtdImiKipoYqu3z6914nEY
70JDZ1Gssuv++7s2oU/ooPzZ2kfGT52Cw6Z09LdWEWjikdiKScvtvthhnPjoDIOyPTsaVqwPW+yh
KdTUxBW3lznfkjSGxkHrnmJmM68s3JmPdTPWG1qyQ/jP7xVGWbBUpNggHs+UNgkIaeO3VchZ7QqP
H6G7TXGLLJm0tzx+UmSC/vN9GxdcygBA2AOmsqOn69JyaO26CjU9rteweGlNCqu7HYEehKXLQfrz
Ozyx5nA99lBLTDSbxaMvsIwaO0krHu00xEi47Wbc6HVVbyxkcf/JpQLc777LhhFc19+3Jj077UrB
Ec0IKnEDdBm3pte552lvGF9MX6fGqMUHtfgQFsnz0Rgd0MWImcpA2Jb9A1SPX45TP5DR0KzSuL71
MbX/48MREximCxMQGTry4w/QmCi4m+0swtmcEfp4413TNxtJHeCLC52YmNEWwyGzqDxj41je5x+b
bTnj1tMjjoBF7DzH07T35/rhiyFh8W8cbej/usbRmAg08vlsm2ug6jVWEFzlGYga587sXSAyxdjy
FHWsUWMjoY1l8WM1NnBuHRo2PQhXin89kiiR0u6xyS3SLMMA2IAbOrW65ozMreTWDIj4EwqHViR1
sS9bFBqcbtUaLVx0SBwftbY+YVY0FpoRVFvjbg5KFBfCgKdRlW2z1wfCWt6BY9eAW9kdVos5HC74
dTJ5yZ6wF3UoMIxeDVZSXg5aM4R+HjykVd6uecL5rqRWROo4aqEQhRLhKOMst1GfOCgG8/Gisq0U
ylHW7z5/vKfGJqu4ZzBOrIVS+vcbBH1Sd8plbKIVfKun7s1P5LVtaTurrDDVQiv//HqnvnD23Gz2
KN+jjD+6npMoQRa2EiHo7qXmdDWa+WHsxBeb14/+goV4aloU/qgRuMHRZQCOJFYzBQTw6fmtlGmD
cMj/UeePdKIu6Uqve8d8jRvxxZHpOL7TZgvBdanS8kQ5XB9vyAIJBkuODjWRSs3fElL4Vn5ja7eo
3fViS+OcM07tlPAI8qHeFIRT0OESTOS1ORwcpL5ONmoHS++1ndHZYh2hDmPAyT3GD9pYQfbdMQCS
jxN6IJA08SboDBLsoeZvYiO6N3N8/P7s1Cucj3aOqxB7XsbvAf0gfyH8Nm7I8wRmPWHBw9HF/1/O
zjppu2zrwS54qi3nq1dx6o27AGih3FJmsJYsqT/niFRvnVLkZCECEFN0l1Zq1Pe50Q1fjKxTc9Ef
1zneGA1yIOYS7FXoOws5mXrDmmiP7efD99TWxoXWR1+BfhtU0r9vRq9NWdVgm0KaTv5aLZZFHc58
DoE/adUXprOTF6NeyZklwN12fIhwGyYjUfCtaIlLmAjgBGg/O2RgCCq79IvHd2oicCn7s1pg2fuw
+S2UstwMKUXYZM0tQDTyjSP1XBXNry7FvJW4XzxJ49S48DglcYDFS+Ud92nmVhY8X/Zp2VRAE5lN
48yfm/FgUovfVJaWhLascXzLwLpL9SgJVYyyOa5Sov9iP98Fla0ePXwBaLSjGGTV52/65M9jQqSM
RP02OJ4YxylqtTxhmzPW8pcVxE+JOdwXFs3k/+A6ns9JkePv4pv5e0S1g6YSiSgn5CQqqeZ0b0Jp
46bqmy8W0lPb1gVtS4ll+S/v6Du0xgAZNwKssEM4nrTo3EZx21QOYHjjmnS0h7IIvihUnBrAf1zy
eMOazXaBUEcvQ3KD9sQ2/ArsAoWre9ZUwxdnDuvU+F1A3NSiwW1TS/r7OXZLuME8eSXTjKleu0T+
hglI4mph+GvKt/F64QMQCqSLbVovgmPNWORZDcof0EbPpHglz1EN1ao3kS1jbcFskHTNPam+4H9F
URA+0/q7yRv9J99h1gRo1aKa0NqJ6JultFmZv/XRRNMOD2GS+mtW9Vd4EuUW2v+v1B/GVamsdNuX
yryXKC9Z7E3ni9F06ikEi1OXEgfj9rgBWxSyJYtXsvOT82HuZmPV6fYz5vFzaqaELqvxiwueesWL
PQPHoEex9fixy8yIVc1mKExrmAOD7Bu5e6cTWDFwnVW7CFM//2BO3CLr+uI2hsPOzv3oTBK4ygc5
YhUhlEZ7mzTKvRQJOzSVVe1zBqeZRKrk++fXfNdrHG1C0d6YPFQ+UY62R6Mr1lRBZ7YoQ7ecg3Uy
9u69nRjDWljKOU+qoniCwQb7wEay9a5T9hPwD2U/A8RCS7TXRnB+Xzx640QRE1UCVZ9l1vY+nH3j
yZllNPBFt3OEns2K7R2qNGvXRk27h7lsrRgpyKccMIgkJK0VPRnk1/ZXKGLrxFy5+MKRY8DMptFm
/v3t6Ugj3LJLS3zLGRiVd3FzaoG+QGApnHNel3foMiSJ+CyglBUUkQ2tpI8KT2S4Ga1R3ykVgZt4
58t3s/6NbbHYJyNDCtsEaclT4OzR5f5SKDKZsoet7WbJFsGgvWk00YWJW3vbKem9jR+fm1Vu3eeW
mK75bHGiKD6E58Tvg7NC9150oGBfHMxP3T8dMDzo3tKhPy4cUW7LirazuP8in+7BlCJIc6f0OTW0
ZPf5SDx1KdSXaA1wo7NsHG1AaDrBI1+WJSCkyUbW/mLpmWR+FiRF/Pz5td7f2/GoX6q/FqdXlsHj
47/Q3KIfy5TDwQCMZ0UMlcLxMdvGPpLVAGO1MM6NSo9uuskcr0xTi2/NToNbYhVyLwU4l/cf9P/4
hi/wDSYlLKbB/0UJnMA3gO96Ez//JDj8+y/9m+DgOUsWxdIY1jlOUhxgIv8fgkPwX+w+0B3Rmlvq
/Ay5/8sfpMPLyA7sZev+J8HB8v6LvQTHK4qttsdqaP0TgsPxKkLOhUuZnNALHRnNBxO/0HHllkkO
+CA2nBmCuS0u6Oeqx5IQJtTOzlcYhOUz+XNkc0EPFjMrFr/8Y0UZ7GNCYpqrwmliu6trAwYfd0z3
f7yEm3/9e39SI45PoVwFVe5i4neYGj8sjh2duqF2kilUHZaH0Zzq27xqiILwbLnVtbFYGS0lLrvO
tLt29KbHzy9PBsSH26RMaWJFIkWRd3x8DAYZDe1GeV1IBE4xwT9N5l3hJfghEUoQo500Z0Sas1og
hoZiKoFkLhDKlJ1SS5f1Ho6nEa8qaHscmomwJQkLX4I/j/lOmTl/FgtIWa6tQpuH1SRxCGInbGHc
oLtVv6ks5HdW5gNyxZMQJjZGyMhza4ibTv0NS6HaL/TndCVjQ1HxqJnbVhRc51CvJ+MBTZ68aiAY
PuB3xlZlYRgf3Va++WWZ6oi9B/U7abmjQRTDU9ETQNdmk7iIDHzL2HMICh4rU1wkkU75O1XyhbAR
/uI4pcFFC65ny448ugsGoMSboZV6deBRiZJ8K52/GzH5WnuCuLlN3WsxsONReVCVAo4zVcm1gzyb
skyAyAwrCSJ7L21uq2IgMmlYlNpZR5x466IMmq0ppRBRjhtyOZqzvDfrW3Bb0RmSnGnv1kZxqJEZ
bQ2rG54yOHpPdTa797wdc4siBoS1Ca+3d6f6h6pIEok9dh7pKNQjDv7qhZg/3kzNfBu6i8feG+ES
WZ0ILlwiEUOi1tXvEZPMo97wV5TetM8uKu2LaIrtA8Yd46GHMfqcdaO4mKoquChLdlgb4nbtbGWX
SPhXbj/rsBgKuW1lVKxHMZhbiKj5nXQTJO9QrvFCV80PO+J/xjkCQSLhqT2GsENRnNt9TYQYn7Ov
dWrvpn1xqHxervLkSLBRBuCttSBdkHRFrojEmUblAv6vB3t0rxlRfhcj4YO1mtRXhGY4II3j4Veu
E6YkcNtRO9N1Jg2jek2nenii3TFfBvXAP2Ulai9JjVwZE3ccjJq8ivLlY9dq51qL9QFJJ/fi2lmw
6oKkXA94CsrVkIjhF+EGak/esH0d27yJCPHYyhZSbUrofyV8op7nmkMP84rAWRMnlcHanSCA4a+I
ojtXj+ofNJ/nSzEm6tFkId0DxsWJ1NT5DpRq91PPXOOBkLxxQ1IOqDmNZ9vGvEfCl3nUyxAtBEg6
RdTlbsbsEMN25E3YLkJyktbVbyKq5EsRe9FZ0eYvo9b2cOCb8jr2f8NNhJ6VaqWbcEAuTVKInVcc
x/US0tk/xSZjE99Fnu5NrFEb2y5e7cgbQL96kigFh0G5EK2mhBeFq7LbRbUtryV85+ugG53rXkXG
g0hb+dI7bvWKc4XR6uGRbcyoerWQk59nmLLvJ3/hN2sZ2CxfjNVbDFkKmZ+lNGTZQb55vzk/4SNo
q1a7m5QU3WZKs/mSKm37LDmG36mqM0Bac6QA2WtgNS2ycu2Oehp2lelhRoymdI9VkmyHwtV5TWXe
ewuDvP5mpLj9sA17iMdNq77qXNyd5jPFVyN3X4ZKjN2PtOntlxRbRh6HgzULG5nlrIktQruxv1T1
GDlnY2z19h3GTCx69qQeDZzB68rtE7EynAnZYD27O8ahA/GSojzw6KljaurFVV+BecYeFJzZWn7T
6a12W+nFneb0V3Ypyx0GEud2hnm3cjzQvY0TgwCOruBdQg2nxhfG5pwcSjN/bGlcbklt67e9rb6n
PkB5e+h/5olZHjQR/yBhIjkkM/0gYfTyoiImbls4wwQZN+5+GpjOtnHanuNcinaojQ0su3mwMVQD
HMFzYkQMcXplz/DTQeIOat3gJXQz/0zLZb1Ji1rMKxlE9QHdDSplbQJnqgOJKdOcmmRZFL9jOYMe
p4YIerm11Zq86jslvHRrllpwnmHhv6REP2Jb4YPF92mcpwqdeh/4MXkpvEjTGPSDDoE5LD3chbKz
/G01auYaeiyfpVg4BzpCRVMr9fPRSYOwj417q4yCHcWV9sIQgVVsTZ79j1aOo7t2OJaiXCRWNeLg
0Q0hfj6CNIwR3n4ETrMFtCpMvUfDGRhUSQNCuJ3IrTcqan9Y1djvYydmzWMB93fYyYZVQlr6NhNu
fUd71sDXlrc7VFsJUXG5BjbOn159EllWo5VP52Ja/AVFnr9gVai8tTu5ag/rHUwoHW1/Q4QF6pLB
ttghWvSCDBPqbO9Y3oE6o6lvFJMIjuhcmu1K8l1d2kUrz8HiY343dfOAZqLdWEnCV9Vu4eLVK0HB
ZQUM2DmTbjM9zqOVrZvFwEwTKhyLjTVoFRxfd36The5QbSvnB5nJCk9uG4TT7ASHso/UTZpb82aI
+vosL6W9ds0Cy4ebD6tiJDCxtS371mspMVfRojqIG+yQuvR3tTbQY1kSB0bHIgc5sLJvnhvjldXV
SPitwpoVDNqOzNoKoWx5WxgaazmEmEOaWjCJUU5uYi0OnkBtGPsiZcS7VpUc/GEiym+M7MuKyh/s
61G7IyvCvzLqWZ0tGV8FIQcBsIPabcpfdlxfYT/wLoIJ3fvaHkeIvQW6MUQ6SX4p29k4SLotNcnK
bnNezJH10meesleeMyLPNQlRP08UUPZ1ZmT6L4mdqCDWWbjTRs/04TDXdbCWpdbse6NwXsaiT8k7
yNPswu7i9kdpZS4JAq090IEzBOGdLxiCdNBReYuPrhKoULRJ5DsvcYbvVWZU664Yl32BrG/x3RQb
xPqi2mLST8/J6UW3iz0x8xh+ZXJAP99cBHVb2ShsKRwS/+qkuBQJn15nWJ+vlRml4ZwI+d2UoA1B
xKt8eTdw+5YtUpZZrENLyETmtOIiMMlC8IXsfvow4CW9Eo7QOz1vWXBQ/6rfnKOhRSotupN0HfgG
SM+48CJdRpvYWWiBSVrC2JbO9YwH/U6rpOR2UyvZ9eQh4jOkE7Qu2eQl5GlP8vske7pbCWILnL+s
zsiiSX1933zVqWk84Bhtf0ooPv7GdBLuzyiXatKklLllG+reT2Q4tvhv6xp3+2DnmywxiwOFe3FR
YP8Obb0lSqQamYybLM5WpYR6vUmclsU9KCvtTsRB/5SaVnwdl+w0hOPKq3h+/xVB/c0iaDZdRXW9
TMrkUvzuAAiRieCxPQnq2rhhGhQ/LelyCtaII2LVJqLFjZmIVmXDz1mM5/vE0PqnJIVJuTJqzRcg
khu1j0tXnesDMSBJP4ybeDGFVWy2XtCZlutWLdtf3EMvXjcVMAm4BQo7CK/KSf3GaJDupzmqSDVJ
A3i1I1gL5UQ6WQfSKqBnBfUXagcKax8OEeh7/EVvCGJiadr9Xd1xeg0ppcKcMuG8W5O/KrNtXQZq
V5H6sJEpitggsbzfhBcNIcSSeKcZ5hvi+GfACBZNPpYpzRnjTY8i+nJoTPtlkLia09nKz3W9tF5N
NHYTFh4phnMMxD7kWiPfkIUJYAPu677kFYZxAOlGNxIce1PJPqEogwsWbqi/k6XO0Q2MJAqim62W
N2tCDrob4sa91wBNklET6xDNhG2T8N0ytkGSsd8YK1LsegYOYFL2ShxS2A/GOX9oJkpRrBpgIBgM
lz3SJOb6VqCX5V3icdzYwFG+kaXermwiyu9tELr/zd55LdeNZOn6iVABk3C3wPZ704qkKN4gKAdv
Eh759POB1X1GoiqkqHM90RET6lGLIExmrvWv32zNOWquc6gNl2zAjXgktQZNYjI+xWRiwW63zeKl
tYjcOfWFcgkzjaaYh5SSp6DNXT9v7ThP9HBorKhAPGtlA3pxXJW0Tmy4ocp8qiPccjppodN2HVXE
R0Jp002k1v9HRCEVbXRUbk4YpRDtRvhInnlmstQh3bTmhl2QWqrVk6zC6j/hjuPKJw6ajx8DmpkS
yp3xHtEWiivaGB01GQVg54nuo47uO0Tga4edTWZKWPo4084ojlERiubzkg35rk37dD+MnGp6PqkD
XkwUcknlDE99Wry4LXU7eTDNJ28qrHTTLmtMxfrs/FVHelKKh89i1+4R1VpHgwV7l1tjuo/g0VUh
UdPFsSek4HUmtOVVLAZnslmYZlDNvE+r99pbOgDvskgd5fxEs+UUVfexIlTmI8mu1lGf+/qlX2vq
KvGLMCGeYgqFKmbMuYtp2BkqLo/YYFAtVq4VcGa5d6XVDk+6QRIQVrb1q9212AQLKtvGoGvZtJVi
5fW10X00Mxp5KYvmGpdrdLCRmOvXPqq8jeX1VKSREKgZa1uxRjqSAQwU6Pxlryv5pa5mnkqpyN6h
Kg/sVKgD80t5ko0EDTEZZASzv25dSYmbjr24NN6lKZ+hoHoXY6K9xanJv8RG057Sxa0uTsyDY9az
7CvdtMPaq8YnRlC0VdOS7r2182ZC1FyXOX25m9KeMAxS3z1Wqdqmnmo+5U55O85u8xnbbtoc3Y4J
9hR4CUwJk0HBD620tWBZf+tZrBEoHsSdNqyZt1wWayKwcV2qM50sB0k+bTD9b15sOeP31pYZWmpm
JdthTOlI16YhnXUap2QW8k6vWt5MnXEEvO2BTRVXWATG5kIuNI60a7FBP22hDwbQ4u4KdzmrGHed
eQTVePsMsWlkA48rrJ/mQVuuREynaXWLvHvrtCuLzwcNUBE6WHgQq0P3gWtHeigEB1nBfOkyRA6D
8bUt02KNxwAd1g0Benj0K4CiUiyM8oZGfEqS761HRIxiuVXhvMQcAtPqnebFoAZ6M+f3soF6gqd3
7q9eVzYMQrxq5IC9B8YivOJ40gvSlLgj5qUmzbNiCTLMBvqIiOeipdbJ6hnwzyftmDYSwGTaVph1
hVhB4v+V41/EQaO3AA4Ms8DaQWJwT5HPyhIAFHY/yS94VZJopffLY4XvQBCZbXHU1qYWJRHbGp0U
huJrh7w6ywdeh5dWWKmUn1SaNNlSscVZBpd/65td7IKu5hzMrKoTQR6Q9k3X1VqmuBqvryg5pGQH
seXvT5Mkil0jaMmr2ojudaOoLk1t5hukAd7F6zv5XBtgF7jGg2VAm6wuE1T+m1FQ4WLK3LO5a2b3
Fa1Q/TLHrbdpdelfJpd9tp4SHmFik+ynY+KGpjofDHRKJS20Q1nUY019Wb9n2a7bMIKRjri5AiTI
T11qjbzln/u9XM4pNIaHZEUbJ5mtpwCF8Yvh8UkINXRfB4l/dWJE8Y1LbtvOaNfvB+cIrCDAfwqH
24lW1OGtrPB8kCmsNvL7chrp3knz2TjQcB7ezgajB3obvDi5cdny6fcBr0bNFjdurNkcFZPvXaTP
E5ZLbj5MLTbNfonJlENK31HQhoSJkxkPjYM5TDrwIn2AueNS6NUFk7/qYpsUD+X6DhLqpU8dZLNm
16qaomgy2M2IW3laJsqTJgcX0evCfCABj82WfewZa6DmE9IF3M0Z7IRvUMzYAxZ5+Ouc4iqZMPkG
yOjYTZqQ8jLfrXmBO1nP+Mr2FJklCxtRvwX6VBcsikUf6xdyxAEGJ7A6K40o0XoKFgvXzY0JqLfl
sOfjedtmZ5enQcdOPFot4o90UwuRO2a51nEkxZ3m1ppvW5rlx8alWtLURKs4diMPU2d7S0bWUU6S
y0fdGRtqa4tvTdOj+3kCpzCLuUyPlbDlaWoKwJt1q0QoY27b3MpvsFHEedFJbdAGzNUs6XM+JLSq
rMkWVBAy/BoOY6DwkO7wzV0jv3p+dYKpchZu6lP8YbrefMarh5JDdqo4ZhWLLG3S5AaHtZdxtHlq
5EJaR9NLWCpjzjPoC50qdJzkM1VJJoJhxiM9wKrBp24Z7PQaO3Y22Ykshqe6jqzQX8ZlMw688MVD
t5CbQJlv//VtYS5lxhGjEZX0xZ44UxsOlWOl+vkWW8BlVyZZSipEzYJOhTzFrs0mw4wnvkHMwmhb
2am6ahxFJTy5Cw6d+fdBqNohoILG4Q2gc0ngEVgM3k9rFbDMklKYbK9hTwPHHU/kHGYI+z3xibiN
BMcEEPCeRnY72LiUBzlRJqc+6v/ELzPe0xxWHgUSKkRwSCAxhl5HDT9QEofaqkucyPuDSAGHQ1Tq
9o3r9OY27vEoWwRbW+JTfPexPt+6Mcq8rLMxpKE4iKOK3qWy5KmzxuVcTY18HgYhbnAPnB/ZEtQf
hnm/jJXXX3aV60MLhcD/i+MuA77cHTWrO2jpGlTWkbOwNPRiupElN9pAYwJaQSFqjDRFmMpRWgFl
rFlZ9WvWAK2+vezfTw3eRvY/z0YsqHMCChB0IKKz39X7MfYSpp/G3aEsLfKCoLWu3gmDvKhJG/dt
OyQbune1XZhFUugMgGxZw9t1k7WTQxRwn018VKhu2Q0iu/7apIV75zkxphg9hp2R1tYykL39RwL/
r52Kgf33+vZdKMS/SFZak6ChONb6Q6yZ8hTBNlmRe6pHmckWB8F1EmFJbzOyJ750C6dINVX0hUNv
/2f28n+jyj+NKuGns+R+M6pMv8CJf61+GlX+/Y/+M6r0zL8YlhGayygSlgIah/83qvT1vwSzFx9d
7Rp/LBwmbv91m/f+gjPOsIvwNKj5iIn+123e+AvnS5RskDPZEDzsFf6F2/x7BQZW9jhkC7AEhuJk
vL+f9suZUExZdMa5oqDpSWSLy3Q+tPbaqxCFAFWvThZ8kbLc0KbHdEY3RxObNBRnfmO/Yj9amQbI
HqoSLGszRyFZRYopsnNsrgGcQAs5QH/VMZf74Un/wzxy3ft+WNkEjfEL499BDw9/gF3n573R6wYC
EFvVnmnu5nsjqbTQniiOltHVOWCWqPgDRcXyVurHz5dEPYtKyKaOW3O+3/EVtLTAxHGo4zMp4Bfi
RnCHK0aI/3s43bFkqCQ1eTBaHbwIUYGcw0GMrjj4zjBGOzvGT+tI0vNqNDmi+cVUNBrU3uyxdfSq
FEy/rgiRQYpkPBSm0au9iKr6nHWrFjkmi2UMjDxqnUC2xNOGNj4b1CpTxbPWnHG+Jy8RhMlQ9iu+
l3VHaJrHpfwkGuNt60ZZuZlsTNER62udFzq8ERmWfTcMO9iBCxmgTARbxnaYRlmFjYEsM54FnQZC
6B5Hx9arc2wm43SJtzRxU7w11t9cT0TBwCCJzQeDNoWwTbfj3nCTkp+0BC/Z2Jn4NWaslmdsis3m
kzlO2B85pC8lN3NS8hv5i20dFzI758eWETPkYKlxRphZYnQQYBB0XEMbdzUyHheneTYpCpNT33Z8
fzGhQaFm4uRzr9qKws8qzPlj4xmE0Fpmz5NLO+wBAJHruT62DePWcMR8QuE4BbITFM3I3zYDTttb
vFcZmM5KAiZouBElaxPeOUGN4yRYHxh4uro62K9kwkZPw+L4T+NASh4VLllyG4kqDqIuP1rvJA+J
KFTegiP6vntOmDI2B6GI6tnyHK0htNM1KSUlx5Wpoc1R8mFRNa91XI05zhD1iuSk1lfirg/HxyeM
94fN1tmX2mIwwOg1FyuScbpKiIC90zwd0B4HDQIKQdg82vfUQBFIKBnVPOMh/OQQwLibejSLLbOx
eFMQzbhiw/PyQEnRX2uE3rlhmWH8SM00MNzKevtqWWLnSRtd43oam+IWN8/41ZzoE4igFV6YmpX7
WsX5+LGxyHgDeOCTTSbKkXEaey9MMvRdYYlbNPl+s2ODCxHj9aTB1e/vTCKznY09unw2GG7xeKe0
dNobgtpsmF92rFUwFQdpGbgBCi9R1ibjiyTlsJx5d6nViOn7ki1D84k/ltl3qODzfVrqNEIObKmw
jvlGOurwIUxq33hgzs/rKXJCOQMtmni3gDtFyaivbj7xZFhc5AGxKPOmnqJdp5Mx+ky27nwPNYKF
oCmXB5yacFz3OfXs2Waa1QTR3LWHeMzAbrLInG8xxpGHAbu++WJhbB3jSTtwFdLAMoWmsdP8LVQN
ngtRIPTXA16lZ9JyzPYhV0rTnvBOV/LSm63W3i4zc4JdsVhsv6qcFv8xFXqZ30djBogJZC/DaLSs
oyIwaQzUUvIsW+bIKfFSE+2n78c8iAa09hAVHrwJwa6CJaSE6hG+fcj5rPHisNRlHTvjuij6lgYm
mCegOzbz2nxIB40puGd4ifM8F95g3mQR5Q+ggJHXX1xrMq4Tx8uIEVxjswItj7MZ39a4zV5aowUY
DDAw7b9akdfnH1t2CAMH9kjZ7U1dVpXjBXOsRf7WLXB53Zo5DNcABDc7dZKkWtqJ1rjOiB2cP3pD
JPNvtluZpgzEImMsWPXRNG9Kzh8l6S7A9o5RZZIMhszX0fVjYlqqDbBEwAJdQ13DWF3RZ6axd11B
gnu2xyFa7WE/uMi0ppB85+ERYoS2pURNiO9putAa4uRoFX4E5wFPt6BM4b8alrFg4++W9gEbcGdV
tWRSSz/GiRi6nWhsp8oAshdShQviPpvG0586kjFDq9RftGokJonA5CBfKgxVk2n2Dngpxp+LLnK/
zTE5EsQJVTd4h12GqZXLNi/a+Q4jrvjFtsZqW3JIbZi8WPckw1UvhkjKnVnpcYS+uyQ7hDCsWz/G
wNZtcpxVMYAvrtImLh7NrHMDX+/6ndJ6XK7GGbkQjq94YE7NzVio8mIziN0OIEp3bOvNS+YPyYdR
FLeTq8/ZvpU4+8kFAzY9q6v9SBLgh7hzike0mF28a/uKIQwHGBGcUpFD6Oc7OD1ElWNssQJOLtve
aNUPHDrNc2WXTbLJVFftvFSvPyYwl3i0GLCRSGMPVeggwLxuHIZpcTqW+I+63fe0JemroJk5mKtU
F8t78xozVFdsEsIvsZBcKAc2XWuOZ9mV9d4r5IIhT2HVx9WldRfbxl0W1c1eh2W5wVCueQY4aSZO
qdE5VnABxu1SusO17EX0wW8SZ691KsfdDxI2zjDKg+LpONda0sszG/ZyQNuwHCfN8OEp5xO51C3m
qMDcoRyWDFyscx7GdFRfdb3Izr7nq3Nbtf6fMl3etYuURNA2V0Y8LC0Uxu9LoqWMRe+3vTiBmHGG
EY/BEcNnyz5XzWsk1pqJZIVaOfJnXctYpL+vyeDxvSuQUMnyH4PdEGO193RmWZeWR3oBqEbftIe8
guKgTxanoNDoT5g01mfCpds/XPUd/43bxmQEBilcO2Jm0HD/XAmKSCVuMtn+SYJVfIKCws7U9CZF
zu/v7h1d9e06NGQo7ik3TaS4P19nTGBIdH4cnUS+ljiu3nJorHC3PUfsWP/+YlDeafup0OEsvmtc
DTYRLaYKPXnF5G/rFZYkqLIItXTwt7+/1K+VNFxFEHOaAR3u9XtTGEkgd4O1OZ6OBEVeVyvcZSOw
YFjS1+duVQD86+sZNEIGnwlxOfZ7JQWqc/aNorRPak6ip7/PwIoEmzS0q45yqEsxqfvD4/z1G/Fs
DP7Qi6xpLvZ7LUFdCanPBdOqYUhXZzoAq9mY/mTF8Y9XgTbt4/2wsjHfvbQiMqcqSjvnRPosVnsp
IKTr/VGm8E9XoaH0sO/x4bm+X2VOb5nS1rgXhubexklBbgGW/z/eEtFoFoxSup2VXvrz157LUgLz
IakxI2ByyO28k3GB2Lldot647pt5VH9o6X7dPtjTWczcFuJiLvvzJYk8jpapcMRJqyPn2QBSPil9
pBQZEMNtK5B8M3A6xeb1+w/y14UNB923YPLpaPx/+SCxNkl11eAeng8srqhmm+od0h9Vxuzk95f6
h1vk44BWTw2O9uL9XuXCVOJSpQnuuyKNpVGfVddDexN8MPnawc3rV/P7i/7T/SE/85Ae2/9gjzQy
jbISwuZOhUOWUVUK61joXrKn0fnjQnuTtf/cJPugE4h2hOu73q8rLfFaT2c5n1TbARVnRmkjaHb1
4r4ZVXtdQ5CsoH9QJs8Tdd1ErdVdjxJGzE4wHKa5qO1XBmTdV4RdFlWnqork1sud5k9OHL/ue4yL
LfRw7OYOAM26zn5AV6vUnlJoIHzhpcWF0ojhwhr42QWYqPCpZT5l/e/fxFu23vungwkRUn0fJrP3
3u4oLsBLIo6Yk+Zp1LqzZ9E/4DYKW6U1OLGIVF2/9yw1ruVQyE8A7MrYWKk/38vOlAV2xINaw+SZ
VfXMjZPN73/Bf3om7JRvvpe8u/cSKF3CQSYS0z6VyqPo1u3sxYg164SRVpWC2Ot/gnF++TYdYg5Z
DUA5fKKQ7X5+CZIAeYp+bNpJ18RZnNl8Fiyy4jOdG7rx39/dP10M3Ag7MsyZfvV79RRhf7Ek5WFG
33+bVbAp4RjQ5dh6Q5f0+4v9sk1zZ96qodZRG7CdvStLylwzmi7SF0I6bBrLOO35sliIdIm/v5D5
Dio2cX0gd5Wz2+bmcIB49yETQ5LOTuNOHOBt0t3q9HBDqHldj0QcpW13brIRJETEjCeTKSkJpWtc
qw1ksR6DtZzvkzQHJ9AmmqWwMxiZK7dtD7rmAGWBelk7HSM12nNJevH+LTuor6Culf92I36zGcLo
gXMNS5j3lUhKKELjEph9MhXM9An3xzMz+nQf60Rh/v6h/fKhcym+AYGXJpDeL/4jTEzMfpwZXLb4
5TIMzLh/3Dn8LR5e9XkNtPkTfrieXj8sfdxH2Q9J0OP/ksz+y1uqVEnCQmuLkyNn8Q3HmfHUish/
egNEHBf34Y1UBTnu82z+4QAw338igisj5XIsrmxC5bRXY4of9jpRRH0qsFw4GXCISwXtz3MwlVgY
KVkmKoLI+wxNKRebse6M7tqPa1ag1cbpwewXGAv4YC/3+lCCIqp8xWskdqfU9UPLn9/mf23pdBn8
QSO9dQkwrfhJxHkdfCIaMoBLwp/u7KxTT4gaOe40DoP90rfkhYzt0nQBc9P51p5moLEuysH9coCj
KEjlGK86OJwVrvDFztsNQebl3QTacN06vbafCZO6xaROU3sSBXIolz3MXt2FcIr9fqZjpO/aA/Fq
JNdf+lzAy3ULvD42NVJPGmiVnmDsGCHjfJuwr8FIJHznQWIxDPatj5C8LZVVNWsG30QFockojK9T
S4zSJdNg94T+3KxgKPTK5HZcZv7skt9eHx3CPpAutkSJHDDQoimppOJvlXT/U3wS7Q3y4hdrXSMb
1lpSFTZSk6qDUpsT1k7jvrSznx8xYZ3vG+Jaklu8LAos/WM59ned1fFCzAar121tlE1+Xyud86Id
ekPusHSY73NcGi+x49T5vdsY3VcikLgLiLS2+mY51SCuWmmsUNSEM30AcYV/yK3brzbTJPyvDF/4
29zMxGVcqaIgGjB6sXAkyG7nNLCrNuAgIFe9SgDCvXJxrO1oRfzEwUki4zOc3eoo52zQPswEWalQ
5opTy9crAYSTFFZn3lTTaPf3RkoMxibnc0luaRfh3xiLC4GTLGxxHMe2I6qGgbwWqqaCAOOYq4mJ
gid0qoimdwLTnVL3IsbImI4JlJWIc9UY0+u6LcC0vGbo1H5GMGoGJIKAMsaDPrcPRmW3BSwimw8M
6S2W+lracja81QFg9nx90HGAGhKnBjdjYgdBDyvyGYtuAjzm736volvIdvPt3xCcXQz8MlaC6Edk
pv2aRkkSbbuhm5rD38vKMdlbiEuyjpOLoui1wnGJ+BAbp0VjNpL0ANoLNm/2gm28dWy+Iumt3IKk
sHmuZrdi5lbWDZ+XFAnNbk7B4f8ezeBN/BrZ1lpIxILazqtd8Voa2YrEtsDzQYPr0gFiHAj82/Hn
OgMgYwJ25V5sAsxUkOvpnO0YL+rduUSaovZlozFpKBbBgxXI2axd5ptxetdVkl/E0MFOyPYzO+IK
DDm/DLNraVCrXTvP770ae7Urey6QQGVZJdbgv3T55mlMMraZJ01xtxgNKHCyUBtjN2xMbsl5zBgg
qYm8Agbf+IJpTs4K7i33I4V5Tv6n3faQRIMiHRt46lGkSrB5rbCzU9F2oPUEzk4GrJZKeSACmYhO
pa7PQG0g5L0HQKaGMZv+PvH/b076xzkpq+aH4/dXSWdaVd+6un/9eVD69q/+OyhFuOmtRAfGoRZm
fD9oOn33LxMIBFXl2yz0bYb630Gp/xeKR0b8ZPyurZvLofu/sdxr3DA6QjAx2+cn/6tBKQrHn89v
/NdpgjGPpGFYjTTewgR+OEItCG8lNjb6udK1OpEDzEFH28B8jFDYGHOzzUnuroPFGsndnLFmQqTT
9BbBEwUcx1KlFXOmpbuCDCP8Gr53pj7OqhDiyfCprjZTZ3yG4xo/ljPsvDR27I8jRMsrZCn9rUI+
Hu3SOsMWrcaC+iqe+MtwdGa/2WtZguVon1VnN4O1VM6EdLa99Vmb0CicmUbNqIgcs7+MGSKWRyuP
BvfSkUUGP7dwpgE2X2mtkaXr8NbsZmZjtR5ALNmpBeq5yrtlY7W6FSauNXzCKW5i1jSgdrzKrRS+
mWxxetrlvNsPqJpKJ7TMqs4R60fpo5EsBPEw/yJOKs2AV1HnwoWENfHBEYN57Nw+2ZtzRjqmv2zJ
s1zVmjLF1hJYf5+Z6cMClenWyZhgHvifWFcoB6IScRqErB7/tjZoBWEavaG9zrmYA0/Pygnuq8tB
gYBmi1u2P4cj7KQNOKG0t4o2897QC/tq9JlHGf3gGsfB9yVdv/KjJ1V67ofGtaOHtl9M79hGvaVt
sq6xC6h2gp2ZcKjseYQrhAGX6YY5Bko8g2YMJGkpJ8evi3PfuDzLoSRniMomYja8LNO5H/rYC7W4
SbZu6qh7WcUi1fcREYyH3ECt07egRWY/YQAxqWoDeDQmJI7IbOctUXQQdWk+N8qCPas6TT34hVuI
oI8nNz0ITfeKp7TFgu0RWRry6e3AGTtrWwJI/K7bMxtZ9O4IJbDC9D0r7NR4jTsITbw50sVsDJ22
ZSdCE4LnNZmC03bWIxK6/Mo4gl2TDRQ5WzQpRZjn9ZSFqY0KRdSyhL7n9xglQOkJVtd2cnRsE7EW
uTooOjzMZjX3IZ9Rq9jmMR7aK3vNPlOTCkhwvxZSSRysiOiaSVJ282pXUZk+alpyNyPZDlous4vV
TB7vuHwy9IkITjeNdtG4fABN7whtxRkJtUN2kaWmHxtb5Ls+kubJx0whyClnt52Gp1Ep5vQkgJJ2
k1ejQykWddQlS9N0CvORQMmXqvdQgRmxG5B/qoWCsJpdXbl9f0JQnh2pyj63VBOnlhDgs2QysVGq
xPAfVj/js7ATzbATquH5aEjMSq0KY6n5WtDAgCIgL/lmQ0KDlo6wiukDPlk6XE3RIstBM4/wYFji
C7k9+DAh8N1D0frQpxoxlHVqBIwZolC0mXHLb5+dM3vRWgaPfXOE4DF8g/23bDyisHYui+1AkN4m
dzkgq1ghmJbyWE32B2kV90T4XpQRUZcO+pr5+5A65F/pnX9y4+m+86ETqtLcoHDaxih0iIZKQm8U
j52Ue2+ZrzKkcrD/h3nXNgVxohHDtDgST47F2J4gpG5jlMW3QkDfNauJMFaC1z6kGj5H0jBCv4fO
CFuKTTD1rkRDBmBWkrWiE6sQ4B0l7gj+ZLg1txXD0XHi22qwXeF9OHvqni7UEn84eG3xRbnYN1Dk
+ycC/AgDaJmYYX6fXSd+n0HVw1CCVWHcxYm8Gwm60jxuStXV9eyJ7LVYd7N8iNwm8LJOOzeNKe5T
UzqnuumTkBdGSYNb0ydXJs+kY1POmPP3pC+NQ+x2tCipLIhUW131GFyehiW1th3b+l1PBFyA9sY/
5pl7HzntHWNwfcc24Z3rTJvckFDO/iP7yrAxRzcag8bqs+vMHMZQ9nm/13lRO72WAxMtO7m35tm/
amcddoPWb0RG0F1sEsTtDzfLXO7IQSJmNmtc/MC7+46wOZ7QymPTsx2yKItfrxaviUiRciScDpLE
gtzA4D7rH4oqd3ZmqaIPUz5dNZpsw5l0uUdoLY82ApWg0MbXTvnPTow2D10s3/HQoE8uUAea0w4a
7rF2sr1vZhFPUYpr04jlfvLaLxXhXFu7Vd1B782HBntvPuCcQUKZFOPZlpN+nRjW/eA3l6JLnpyc
eD8TFp6ODVbATrt1NP9F+BOjV2GH+bqXNpp363XWvkuz+X7m1RHfOuLjyTbqveRRbDwXRPxsWstl
qWmCjtUdr9xl3JLdd6I77nf2KM1ziwQ0kGNDBDDK6iTMl8LbF/OgjkndH/qGnLU0yvcwWNMw9rWG
UaW24zArQhX5buBNyAOCWgziCzmR/Uo017zrReniLilXkrXbyivUc1q4TCMJwpmdfMZnXISTOVzm
VHImTMWjIcZDhf7RHxUHa+b7W7PtP5B3fi1Tt/wyzhVZC8tz5ubFduR+IA7UeYhpUXoeF+QkbWns
BARFM4xJ2b2eobyjj4lksxnows52ase7RbOWoBti61NUDw0x9QZJiRrD2Wbr5exMY2lVt7E2dqge
W2QQsNbDBh3+YantbGMYRrOrhma4mOgVYHmYNC+DjozM0h4TbVqPZ0RQteMHmmdfTzp2e5A1qhs9
bsZ5I5ZCIJNcVDbcV5nmHf0uV6d5tB7FrDefMYwkWDIq4UbsSCeG9m0VBg6iQtQoSjhnze3Y+19K
bbw1EjcNezH1951d3U6VptFAkoe2JMNNjitN11rtjsSt+oRk+aPX4ck1pyQha5BfAC7HjYnO6YXt
VRwmY4leM2W0W3hQ5PHi1r7N6jHZO1CkA4+8yLDMBTfbjZ/8GGO6Sve0K3LY8qcGkXiAs5b33cFU
eTMwxg/sxCpea89dPriTBpFk8D5Zud2E+A24T1C5040WOXpoukn2gOhDh08BeOq7OAVZ1lxvZrEu
Il5YFiAVhXDO/Jt1za8X08Fsy+xr0+afF11z732/Gj9a3Uhe4pBcQ662NwteYHBVGgPRUorRLE1x
K4JGb4tzp1QNCX8Q1AhVfGWYxaHPozxEPAZhefDre8gREimYlwx36LK9g3Id+VFT/oE4vPlh7PBe
InXZT0MfDegFV4KvMve+sDsXOwllcUMPNzymmXF2KsvfN367bGxIXtuIOf0VWj5n05PKHCa2Cfyi
1ZkJ0wLHT7zk5SUzOqI8+265lGLyD1NtzCgu5ZciJq6B5PUUPWIzGh/YIDsIY4NF9rXTT0mxF1UM
r6IUOYdXp1WfJJPDM0oZe1dQCz7pU2stqIMKD1KDWKwPZWIZnwFUnM/kYaI7Vmt8dJRImOQFBcPA
MzexyofrhBxSlOPJHZSGAEHfVJZ5E9GoWKzbqsWpA43VpqTyCBMsSOIkLCMDXPLcwpHY5eUYfyAG
FCzrikIrLJEntb46Oub0lTGWs5ew0Dcl87ItcfcrOYXsTDXbfsAhueetnexMEDhLJ7sp6jpDgTS8
jL3oQ1M1A+mpkUVIZR0FbSQ5//Ia75EKCUHU9AE8t+JgQTQIkjYbT5U+EfRrXWdJZkETIharaBzv
nCYlNMKeeVPu+tDMkl0xEryIXZXY68bnoUgomOBDkAwUPYI6lUEhzU2kCWuDXgcjWrsNPCLDoBUs
1daV2MNVfHclat2AwZoR1lrVhKkYN/CLJNsJggMIlCPiPvTiKk9eJp+4GAr8ne7xiNHbPc41emBS
SmAGpeV5ctJlgx05JLqZ0hBuG2zn2G04E4v6WNfi3odcskeT+qWohkdYNRheOOquL+lTzN6G1Q8P
EmFwv2nEQlBjY7dXWjuPyEQ084mhG/GLRVk+zj1Zk2CZHHULSW6ZQRirVcMNSRioBmZWg6yV6rGU
DYwoeFphWkfp17w1NsbsEoQNeXM7F06w6LjaOrMXPbpGcZHJIK5b4ffhIKvvFL9INpJua2SqDhMt
N3mlI1THLsFNbigfW5GRgSiGeCdF5W8FFpwU3Z4dLFpWXGHCsdqK5uUOnyN57XjRZ71rMUcl3Gif
TPl8JxeokH7nGOFSuFQ9RuPf6E12Xc3LcG3qdVjWxMWqrl0xE325NnFr0MgqwDK9thDoj1BDfHe6
MPX9WtNvoFr/ZHrqNW6cvWt0w4U2d+Fh5DBr1DHy8nELK21fJN81T2LK73T6xeiy5iDz9pb0JIwB
ErbHRHoh3AF91zS0t5DprD0eMHuztg3QquyMdoADNNNPeu49opvA0S1Vr7M7fImG+HNd53w/tXU3
9FduHT3WoyKSfK7iF01DuDmgCEKaosLYci/K9569pt60vl/vcw7HABsMzFAQ/JCJqBsXIZq7bKI6
07pMD/uBiOkgRzZ7nUf1RHmm3aLRHr0gL2fFkZBF3C4ngYQU0yS7xcN+vuULflna5JuFOJ/kz2kJ
Esvs2mASOC+g0Co/FXWGr3CaGiXe+SamnXNtFRR4detu8Lup7iZolQSOzBI/dSffZ6kWt2FjIloN
65yhrzkZ0PQAP2lyGvk4DV4B0JmMR6rq/OgT1L0XfiV2zaLi86QPzq6thoelRYWP6+ON7w3ZbZVq
xnc77YazSlLnhLVEezCLJT8NmBns7Em0D6JacH1szVd6+OwqrwQNfqzfKBWPKI3q+GKB2IX/w96Z
7caNrFv6VQ76ngUGZwLdfZHMOZWarcE3hCzLHIJTBGc+fX/p2lW77DrwPhs4Nw0coAoooyylxGQy
/mGtb/Uo2M+MjGEOLMCv7Ro/dE6Y7HaAXLPt2GqsNebe2K7QfFW2s07QDa5K4lEJgO4uQZtAUFDU
AZgh98RrcntjpUV84yEThiU3f4HwEa5Ky0e0W3DFKGrPVQ8yVefzAZg0ssVxuEZ+R1nRpghRZfgZ
JlW2VoGP7rNMEeU2bkUZpJf1KPn2bTgyTqTJIkCV27UEyWDhBobfFrFDybcpZJIDdePBLyuU2kU5
bC8sug1Pc8KAS7faFJihcxjRNFPBfZ8bzo5WmImLPeWvgwyJdo0dU545qjmFRrqF67kNT6Ayg1UD
yHttxb5L8HoZGYy8V7Ww1MmfWxO/bZHtW0kSstYknKMkNE+dVN2xre1vagHDggpqdektrCW7Fjzd
NxOO3dtc8zbWEkNpKEEoFcUYGajKVl6ddWuJnvs0OvltZiFulHV5Tjz/qQ7Cdkd9rYDLcvu307St
hLkjxW0gZ9WllwFTfSEX8K0QbiJ87D6WukFJ2J1n5vcrPcdMuG00wYQYs8+oohL33GrsUn49/Hm4
8iK0xTyVXTPep0B0N5gnXYqW+TjySY36C83A7Dueka7QcFeGL4Off8HrQzKDusWpPB2ydrbWtJAn
HtFPcB4rwCDThlaLO5kpf9QN7bji02BeExdl7YJpZIyycOgy80W1Le7n3DgEeb9ZBk9GQAuqkEZn
qZ6VYzA2Gccx2FrMmHl23ltzMvMbDd1Gfg+iD8Yo0bSDnWHC+8OQyURgLeJsPKa4bsgarr5UXR3e
5YnBGxm4OzWqdI3icPmEouKWuBwQPo2wsNyaWwJw/JVDojOMyhrTj4dfF9SYnz+WcfoRCHXdLtZJ
Bt6bLSym4m+dKHd9F3zTA74/M8jmDSknedSW4VrlVSTyJl8vavjWdODdC0N+TpWRbtRl9N82RiQt
MriLJWBWsuRhsq4qZgGpWChb8hgqa36rUx7QUdtrb0Lm6/g3+BWto0FN3yCrJfVnHGjKBzVr/hIn
OYJ3sBFmozZVO1V6nXY+e33v1ACwweUXefnE7maSRb9lioMCp+gJp16ErzihZ9VfsVHWOwfWTLjC
IqEPWaFYgPBU61bsDrVbUhqrFE0vFXn3aDhe2W7LALXnVhty1JHNiq0+efQIM48Pq8+2uRMKZa2w
SoN/aJg54HI2r3osMF9aOfmyA4MWtkwsfl83/3fP63cf9fVb+dH+78s3fqe44DmXdv/3xz+2v/85
+agv0+8f/rCpuqyb7/oPPd9/tH3Bl/KN/vE3/6v/8z8+vn+XfzmJZ7/760l822b8Ayb+x1n896/7
YxaP/chEkiFYFWM++sG0hP0IYzg3L9qKP8iK/Oc/hu62+RuuJIR9oYWe0PPd4N8Zuv+8MQ/dy6wd
nxNIWFStP+Oke7ML0m5IE/aH1XI2L8ARG6R8tnKKkG25maT6feoH9d4IKHF/uSy3v+/l/4o7ZLnw
47wfladLIpnAOmjbIcqpyz7gL/N+RtHKlQT1HMocBJufYOzHtc3ncikR27kdVudOuSAF8epwCArc
zc5quED6avrYTwu4IYphbPNM7CXhJqtQzCw1ZYz0iQkiRLjZQGjRSL1YkGyyfjnFmT/3fC4bC3N6
B/fNB1zBT8kDdk7JAbj+znKDJMOWXJFtutWpHeL0QR5yjy3EB46EhTcYR5aRFxDBd2Scj7LmWLsT
182r8KLzY+LCJJiyeSNgc9kiDsWtCxjlMCNW5rBJHer5fTE3Sa8fRLz0xjGgwhPUp7xLX4fETrzt
GPpU1uYQJ9mm7JNJc8ylhvuamuFcYzui5E9PdWez+F+N1NPjrbJ8sMF+EozJ9RIaabCtCXlK7gk/
9tCXyFI5pF+UJk/ylpnZ2khN2z0I5/I3E8gG/sukZVPtGJuipoFjArV6TnlqxqLFziLGYLGDCBCa
IA9wVXqx6eOVqpIv5TInN4M/15saUz/TaX9WzYpZVfCy9FNn8EQepw3rbkBf3rLu+NNl84/bOFfD
tU/J2kbSTOx9gb6CHsCq12McDy+aDKAgLHalLi90pIA1crht9BDkkLo9zjoqEuWo5pZ4c4sbpvEh
+PRZHRlzGN8N3jx94iCVL2ZKEIdfVGlkY7uJuky6H0Y15fcoeKYVpm21rkIj3KZAHQiBD+1XQEcc
emxI15mvq0MWVt3RiYs9UpfiPi1yeTdMyPBRgBMjWY0K7uDoUXxUhymcH2EhkH1jhGH7xb0ADEqg
JOuJDv0gE8JTzbErT+j1WviIDgPYJSuoxiEnKEOku2Sqw3cPOFdBQ6rz2wErz1sycPRTgMzmdTgH
HE5dLowj2A++ajYr805fEEIjWLkn2yoec6OxXj08tEkELec9szzx5AV8qJzRdraUE84hoa1mQD5B
MbHHjzhug7eFyeUmbAhbB2mYdG+MFzf5wjpbpKOzks14GpzUvSlkW2ztYbFp0JK43msW4QfMP94Z
Zpl4naw+uBZ+BULNGrtDmEswDs4c0mHU7WOLu+/GHt16L+3SPsE6nK5xzbBTSxqX7I1UXAOFyV9U
leavvKPFbpp6+9TXS7Hvq6q5lmDi35uk8+Io1ol/zLS93Cq3G2iqEHfijhHDKm4Cn4qmY9FtGIzs
DZiaZxLP7btwMT1oa3wk9sWkY1YHQZYdKxrfm56ByNWg7ewZCQc+fnsezXMjh+zcpVI99rIfH+BL
N0ccWtXGgAv6yjQ1f9KD1506twY/zaA8J/jeX6ytKNPyFr10fAA0P+66xUzQBIXBVqvB/eYOWu0Q
NM3PUw4IgkHooZJNCbMmPmN7grjTp+Zq/L4+q5KDFTan2TVnRqo2hbHTf+2rEYmCJAjPRGm3qly6
NSFaHNdZ5W+t1IQzP3nqC/7w/mSqMdsWzpxFXuWMd3lN25uSWLOvdW/fIQmeX/o6W95xLw53XJD4
ZkKF8swGQESDM5ZrPifdui6nHCack+8aJ/cU2IZafiIspUAXJPi0GJeUEF82X+FhdbsFBFXLwsC0
N5M3OVBTdHcLirSymIzOFwLokIINca1vi5WywjHxanIr00gx8HgEgzKc07i8bZhTXlu1lbxAHi52
ixuqLQQn5A/AG8yzl0nzHHYyvDbY3N3N09BzUBDGeFXXotiFxXRTqL4BCcYHFWl64qwXBsxlFI8d
RTMSoGNT09JgBMgiLkZ17hWjIt/mUcO0Fd8nggdLOeLBm1muRWZnxFGrvPkd391Er2oEOqPgzfN9
O7fqC5tKlnq5PHKWIHQm3fFzTst+KFoXZSlxRI9C5+194nf+NbovBmmwnxBFzVJ9aqs+ZNTsL+eB
wvStqXtWxEKM90VWM03k0+NfVeM4fwVplM8RAiV3X1XueDSSctjFrRiuh07bRzhHF6+PUk+j67a3
k0v/MUOW29nZlN5xsjWvXtjXX4Ku8r/NCI1YtHQtJssw+cr0I7/ANZjjdQ2xREF/mqfWXfvC7Bg0
8nNGodHSKQiZjyuzLYa3pmRGhqsSTyv8BAN9SOqoJ2Keuk3t48si/iCLI9fL5bfKQftEgIJ6DpLK
8zZOnZRf7CQJdpWa4nMv4uA0BJUBXmrRhzQMGIlLYCmzxfnGNK8rrjvHDG/yoGzPUszdpifgjAxN
ozvHHRqX3JHMygufTnao+mdiCFAtNcyVWR0Cl1219tjfNUkbXC1GOH+Ydl/0q7DPOK5DrvGpGDvj
MU1d71Vl5BJOkuUONTcRxZeHNpl9yxKTxmMGNSSWyr4maYTs5Aq2hgyKWazy2A12fseAjntizOzI
Cg08wII0van2gzeJNH1rZvYb5pP6bCSV+xAwCEfiM9lXYxc6PAZn6xbhnBnBlzhf3kBMN7bYLV0f
DXOVXUC71rkPuvyQWLW90mlV39aJZX/yg27YTL7BCFnV7s7wcoaYKIM36BAtrGIZUcu13WADNts7
+J3Oe5fqogNJ2SzrfhzCB+EiSKhUa21NtEyPbpynDr1q49zKWMEXsYYpvCsScJ1IRutoNO2rINYj
b3vpmKgoGM863nQMOyvYoDVTH2mfWR2EMMbQcaf8PYuvJmqLdo6qeG5vm6VoiKFs1B4en7WfIIFG
sESMaByXcNnFQvvP1ALW42SH+YyLE2xcUBr9awlpehvL5sVVhb8x8vDOtmBx8fuZHXXHSC6HxSMv
WeVdngJu0cbBQ3aBuZqRbcyhrZb3rNGlYg8cj0ern9ZuzfFGilfCrenQTuXSvY2pTbeC4LdTD7gn
Z6ut/Xxtk0acs+Rz+msb+gVNt34CXl/e4Md1mihmVbXjvKu2g9ODTexoy4xM+HsLts2NL/yJU8HP
XinQPKbNOcN0Ncf7vsljNtgS+KsvAPge3CIREXc2psC6QaOgnSl3sUTVlK9Di1uRVu/e0zpdjYs9
HjxzxssIG4bPCSJlbo7QZ6y6pEw/pbWTJo8VhDcU0xOVagUNzRwfBrNIPpmyLj45FjWgg1jBiVhz
qZtGduFpkZeo98SND0BU0bAkQAjQWdScYIyr40PWD0yKsFLmx7xD3sEqT2Q9JWZY7+k7k/bDLnO/
DfFgoqRHpgBN4yoe4JSgENNHt2BzjFXePjOgna9DxRA4lFkSdYmajmk1LpuEwv9lYcKeO95j4gHt
663sGl+B4Ld0jqX0xWfw6BYzFiJXVIyUYuWXOFuWwTrMhBCvhjG116oHztPYy5tOAeH6xl3QMEwM
Qf+sC0zxjNHZDNVdNe5MMiIiCT97okU4ZYUoNwUhcbwt9hY8uhPRJfdru6C4MYoM4FRmn1vXeRUt
C9Fp6GCbSlmspQyYQ5YFF6Yc2UOUjCbQZjUr1ILVkY25ze4v2KZJNR9ZeNyks2M92Rq7ahRMdRmZ
XqW3Ap9VtBgTTnrZ2+ulnun/nRLD0zSuliy3X2fDmhh6Iogow2AXxq5/M3mpjBqvQmvJ7fdmkNyD
dz9+hEPg7Rsjno8Mz81zWhbZekhGJ1oCzTHXptkha3xsl223RKjq3Wh2+nHV1F1yXeGh34Yyn29c
k18uD4pNtnQlfUKjOwaRKDx+3Rr+vS31LAQf7AzhZvw9XSqNGV1kfZAd8rKlrTMmiNV6CXhKu/AQ
HxyzoiOllqo4sgEh/frFf7Iw0JVeQlIs6+LLIuPuZyQQKjK2MEuTHcQEo3zJiX0DSZPeBDKU979+
qZ8MDJeXgu/Iv5fu9+++wAwVlgeggZdqLNCkfEZm/OBzUn/8+nX+Fs1xeSGE+JewFYAo3s+QHlnP
MyoYPzn0DTNrDETOweu/88Kz7lZpiU1jCFM28rNTvjV+Qkc9LuDGiFe+NNfs9KrN9x/pv3sydM7e
dd3W37ofZ0Hf5zv/HBT9/zU/+ldKzpZRj/55eHT5oj+GR+FvZohzEKMstyq37z+SOUL3NwhWIG24
k/4cHTnmbx5aAm5oGEfc05fv88coyfsNi61Fky6IKMBK4/w7oyQO2x/HOdguOD+4kdnm4ql1f/Zm
auHlqlcJVA3XZEtZFKBuu5UDsIEBrucMr2ZS+kAw3Po+a+bq+qK4XKkAmERUhX2+EX5mPuSdXOaN
tiZ5k1LkyJVn4PIPfb2bwsw+dlUvkKlljVq7Ad4u7s3QYYkAvGQ7p256GoqxvjITpKar2iquGsYX
t35tB7vSDNNd7Mf+zpFUklFSGoCqeJzslizVB6Sl3rlvL6P6pU2NyO7xTgB9BIlKfsP4WcLh5dwC
uRDZkHh3uXHZPEEFvyfhzxnhjIzToTe/SLnUb8hKgvMi7Zj6bAo6jmBcCSNS0q2MJ+9mjKcAP4MX
kjx4Ycke0E04e6kt433kcP3mN1l4Y+dVcKjjUn8kkxUrCKSNuM3Spr+Q8vS90zrjMZe+iYGBJzOp
Grn1kZs1CgcXBgZqNZs9PGiR68SsklPbLMY7Xa6m3mtqJPiLqg5zpl4Ghh8QuC64jTQYPqVN1z2E
YQd/kpQO/eXCMXlhqixp3112lswU8h4pVIiFLqgwOWJVWVlmRrXuhtJn8yv0m8Kj0TN4GJ950rKV
6KviS5F13T5csm4r6ILeF7MvrjJT3xhL4h6l7pqjjpflRF4EMVmu3259siCstWZvndLq9Zbm/Uzk
C6oJBFlcpZ7vRpwaoyy7OM3CjyNdlx6/6BSypBFxfyUy19jnrpnuJhUXjziU02fZZZyPTOZsVsDE
V2xKGjyBkAR/GporWwKu4N5D8uj0594Jlxb6pmnL1SwgDKXLxe6fIPKMxrZKKR5sCiqoLuO3DIEZ
R/50MfFVBUaIJk+r2wwey8phnXyV6HpZw3PtV5YOynPTGfmVZdiCPq4c0TUxSWDPQRWaPMWMDzy6
ksT5oqbRaZi8uOyNCzbpNZiRS1gbngmWhuzxgkpcQ6MI75J4TqMxMDZgyhGGzMPa0+51VoTDO3xa
eTA18qMxR/S5HtqePIgqnU7LgloQr0FXfQrrPH4h/SExjig7Vb4JK198RUfW9qvUHPv7AW5ivBlm
KV47xqUsBSvV34m+Up819poobEbxJhELsfKcu/mSUFMEe0jHIxkxARVhZs0tNG2bWUDcwZlc9bGw
n+zBTE8KxtEXFsbknzKNnJPI14x7mqQKPue+6Z+lO80mkzUicBdUbmi/ECtfCKnFUKxp52pSEary
DTNJ+InB7xfDHJu112j7LHpv/nAbjUS6FaKuNnEQVy95wooqKjShK7xZlX7tfCQCK3TPzSGI647M
joF6t2N+fXUB+K/ZHd0xfwwZY2R8ntnikG/NKboJcDpFrFzpDIe+RXLUZGsHBeVmGTvIe7Xwj67Z
whGy0zzgOjA8qfueJxpSGj8iN8HcDVBk763BcHd1ZsppbYRd7GwcX5uvFpGSqKl5mA6W2RCQUJVZ
Tn/ZFIdkJp0CMRWOKrK9unsdZA4X1i/zZ6jyitgJgVKSh1ncH+IE1jvkzbH5zJAWboSDdXGvTEgL
+DLn9sZptfFeuz5i0VbkA/3nbPBwWYDd1nRXGg2tM5Bun6rP3jiPH6pIx9fZqcTZpoEqN93YBjNg
2FnHURjbino2jOUaAGiJwGUkFNkyRisSZvOQyLZZU0qNCAU1CYsgTNZe5R+dZiZWhwDTuxCCO6Vp
Fh9yyWOzFo7aTWb5SLPc71pN5Z2x0UD7oqGUQMKZK0Svg7cBP7B8XaDUlJtBEMlQ2z2j1jodYFCZ
QX4zmaIY+pNTKI8IbUePTfa8GAn78ZmiXJovwSzplBH6sBnoQDnObX4TT4wIrTD3bkQOJWgRhb73
CJC594Sf3PJYnCjH5XKglH5iz1ndKxyr971oY2tlZnn8NEIKARCPaHxVMRM9XkICnoLKu2ySSfm7
D7KmujX7qbyFw8ZwJCmhnmbSwSCIGBeNBhI69Nk8tjntoqmcs+veCnvEbL6iF23L8joPTX5cTxIC
3BYs8Vu8f3zUWSCthG69KyBU3g3ybuvsulWMCmDp4gcn0N4hz+T4yC4wwCc2sF21F2O+qYykL3ed
oWrsfXN8HYLnf0Cx7B8SfvF3hJ3LYZy1u4NrB545VstnmuOpjhZlLPtEFDPrxhlJDrr/jeqIH5Ho
h4Z1n4nlZHWLf0gz5iHlmN+qogccpCz7Jq4R/vOQlRBCl/iierXOeqqTGqawQzZL0Ne3CWyo3eV6
Pup6ElfwbplMO4a/y0H13kg5DAgirBFrRrikX+MOhFY2sd1faTWB03NhGR9nZpp3ltTjLpzD8DCI
vn3ScQ29WrjDns+TN2MqqDUCJx8dajvCe8WFNptrzB8pagg7VHejbZYsOXKbjBpWdSQTZEB5VeHc
oFSIz4sfToeWgxEzGEF34FzfzToL30VrW/WKMHL1QqZR+tkcY0mKjdHs8CwbMF8HHjXcfimHtFPY
bkSgjL/NhlzeoqQdP4OvHdeyE96rVWfBjTVXfPLSy0MTloiV7ZZxdJeN1pZVP1Rz+AI5DHrTkJLR
DaVH9SIyq8BKGb+O4WtmxPIBA2+rbj3NQnNv+3DPVovnSbIXcqHMK8tDD4T4UFSmAu8GBfPi9+DK
19YyP2iVrKfQhmttp56/bULPj1JQU3GUJ+PdIiw09J0u2hLGr5G+uI3tZm+Wx0c8AhJmuhs94oxA
1klQ1eKdhZhon3d1IjOzP3LLWhpV8VAxH3hT8fJK2Ts9I/uv3vNhsp5CPCWPQiXNEQzbo6r8eQN+
tDz4qm0ivx+wW9bTvVcsrzwAvwF3fcs779Xvx/4LtBwqCIfgnFXr9q8+kfF7zw+KWyWKzeiUxhVv
DnZGDSW/wlT6zV7cgYFJoyRDbtSc0JX6rNhr+vE72x3lHCEFTdWq0YhaHwOv15tysZa7lCEWDKp6
dEvj9wb5f7qnf7l99wMgnr/ghdYVkcc/ueC+f80/mifW7r9h0PbQIV3gP7jg/+yf6JJIPUTxBBFU
mEyNaJX+6YIzTZP/BUIBWSoziT+7KMf5zYaxw0rAovXxICT9O12UY/+EGjAhlZIjzT82vKWAEciP
S/EGdRKJWzN0alR+FClGiQgMbIAbucqT894HblghN0qAMl8AfWfS5IyoQFDxtY3xX7D/LS0422aq
JtKdFEojFgfe+6It3EdVFjhIcZv5qkZbWDxni6Ou6nYxv+Z2MpER0supX5nA3C7BZTxRd5nh1Z9w
6PjWoVXhMByRAuvxrJkxbVI8ypRNqOFwX3nk5DDoiEQfdyv0XldmPzfZCiIkYUF5tVhrFDKfByp5
ntIpuqdhYqE154H4ACSBBOZ7JG0YMHLYsDtHWOV4aXYmE3o8MKb394bu9WGoyxwBS1ZNd4Mydlbe
W+vaCp9Hcj12qVF0yGaT+vJToY1/nlweB0ic0e2DCkxDwTLzIlAXAoGbiLt1Xxc5aypYDS5HbMWw
gzGtbhm7xShyVrzzXGVz6Wm9rMw9QrFvb4mKyr3TKHz3nStCzEAb5rF+XDxClAH7tYZz8nUyyU2u
CUl0RiJsdjpoUpKmJms8w+smp6i4KPboy6st9opyENHopGln73N2NPAiMLE0Q++fWJ+DMVsiQfVq
sUJPZZ9zxBPQC0ntIEqsJgNbizDHZMSJC5Tju5Xd95t1YzGXHGxL3LctlFDEwcb0laq+yb+FaMS/
EaHLzubaqlq3FA8+iustD/wLcwC3u//SjPDf2NqFwxURTvLoYVbgQmkZEw1c9PkhQzlpb3Qh7yis
9cbMqB7jVI437YxZwsyynNsS6eh6biR52mzOj0Eua3KnzGVL8I/cSXIRRdZM953XOwSTGIW1zkI2
GlGhuuQYBJTlkWNztSMrD+I9e240Z4U9uweSufWW52v7VltN8W51StiMKFsPpae6rMeDOEDgTLQB
Dq02FMfWxmDg2EnBRBZh/d6p+s9p7gxdtNSOe2twBV2asCb5nGjHPCW5U26xeRq7wXawCfJyZ8QJ
zU4sYrqrCJi7KIWpKh0R+4isgrFfScuUp4tDB6EdAguqXK86DIRhXGddnFMQdYVzBVZhOVKFoZTL
TdZGPSeTtnEfmlhO+iK59lKGEuve8a4AbcE1nWT8mZog3MIuHegqbWcjlayOvfCbT+AerolPc+8u
d/YNMg1zzUQAS6ES5yWnoeTQ7qLAblwWguhiuQKN+a0Ws3lTuzJ5SZoMUJ5yYCsOsti3BZK2OfOS
XZ4PcgdoKybWqGm/WiMoi8bT4UPiGKhCIPteASN/WizzprJzDJtYMa7kMrjMShVdd96Oz64ia2GV
y2nEmGNbr2T8sanuobAyXSxM+96znH4jICx+M/wA8XzH1djKJe8OfVe8A7MJcbQiTFgb/azClRw8
56GxxynF8zHU704wJ49I+xMT+Y92v6BVJ14CIybfozEOqApAQcITXqmemIXRxMIiJ8yUQZ7n5DMC
hrCrJNhPrkcCB2FCwar3ELV2biK40fsuO4kw7R/ZkqEb5Po8tpO647bG3mHNpEMyJXJlHO4NCPUB
433lHwNtwFWEJB58nbwqvQ2LINsPcV19ZbYVrguT0mfVYJT3NnPtkLxmCtKL8vuu1MEBX/O0ltzd
D4JIrJI91myxALXjaOxQSprMKebJxTvp+yq7zgEdrVgR25/rIiEsPu2xSo/CydeA5txXNxjDtS2a
5b5mcBbRTo7PSOaZoNt5fbaKhknH4E/vpIrh4LLs7luCDJvVhyIrrkhbsB+W/WJhVbxZBOOogbij
27ly660ocEtbyG5PsTGaD2yrFhmxBJNqW9dtsmlrZb4Bg9BrZ+rre5Ix6g6zVoq5GUbFymGl8w0t
rrmvhsp/tekIjPXCrbVZeOREaTcP3oqoi3Fd1Tz5g5Gxhx8M3tlSSxLxibTZUwnrE5Sh5hSMbnqs
Q91QvCHH7eBtcWXDdP7IZt09uPjX8khZMYmh5lzQ5QjcCfEEnFYAyT8sep77CEzGBxmx9oaBf0gX
a9VnDH95ZNhKX0HbHe8K39iw+g7ParDcbIUxMo0JozDkOTWFWgvmJZ+LdiCtoy2as98EGGdH0bLd
J/D03gknRoUBeoN6ijP2ybFDjAMBLDd6aORzyeb5OQkqfYtYO35qZJyd+gn4Z4re6pPQzrxJzTrf
zYg3N/HcKaQSFeBUh9+WtTKLvO5QFcuAK9LvPznkOc+rzGmrtcFaO/Jch2QVMzVvFRoue+Mz3zhW
o8EEtJTjfHKZHcoo0yRaBLVjcx278cWZUF27A5ZQLJDsHnE1LkeRCe/d4vsbUR1X2S0EvhEtqxk+
z4uLD9FZOOgDwpkvwURttkWa4V356CQfyQnVhFbBaJI4WRlUrINxuupVrbcIoECQ/s9q4b8kTb2Q
j35VHF9/jP+xfysblnmaDdLvetfD1//zv74zk/7cL/jfVwasiUBE/GW94Fu/uchFLYSiF1rh90zw
P8pj9zeIXwKdJCzN7+LVf5bH1oWmz1+HPCGoaP+95O+fF2ZIVPlGPPkJmAsCeBU/FsdI0SdEhaS4
AAlHzLfw5La85OkvF+U/EaayLPkBI/X9RSBXIU/l9/wbQbCrB6OBLUcchQSgM/ntAoR48CN0V93m
1y9F7/K3l3K4LL7rmL7p2nQcf1XA1iXPojyxl/00ZECKi4wCwsLoIC7P/wKg2b7EQEWGn+sQBYW+
8tcv/7fLifweCCQzCiFQHP9MA8MQHLijZ6G/qMZHq/SfA0Qiv36JnzW+weUlXJotmIUeiKyf6HNa
G3NvxkLtXTE+Tq79RDFWRz3sUspqxV36Z6/3n7xz4P1+vqAYBlhx0qI5iNdD89Jd/UVSbCcKBQol
wB6hI0k1shQNyVhGeZRuXB4LbPZOPCpGx4nqTM5CDEZA2kL41aXUpV63uNFWvpUIeFZEkR/wH4bw
7OshxP7BRqtetVT71cpSAppxyYBUM2g74I2xv1j5uEuGtkPmdMkF0J1pPc2EOFzUqH25ZnZhX6eq
51hOpb3uzXl6mmkcrqi3xmRlW77moa7C8tFD+/FMMlvNuBzJYpwQ0el2ZEN5Lr3g4OAfBPadIJQk
tScpoWaj01IMuFy1HfplOSBjOWO2GbZ2WX5z/OK+zpx3+oy7jh0JnUZQHhtz+pyg7eMlcm/Dsxli
BbyUtWwWtZPKRQ1XibXb5uMHxac6+ETMNDM4liyk2HcsUhrHevSuJ5y1SMK8+Ggl9pNP/PYxT7Mu
4rS5WLsHEFhG+DgB3FrPIs/RJavksfNgXPSBjMxwSCCAM4cmEHsgJq2INznM6DNNSdSnuF5i6K4n
FwGz3FAJdDNpo3MSItLNASRktR8+Kh+QaBogj7UC8FQNuQIQZBpBP1NNWnufnMo3nlM56BvSxPg+
Afi3x1pIGied9XvTJqUt0xoaGdTX9BSXSp9r0m5J8SN6m2EZt0ipmFbWBEflYyXYgvTWdsgK88mp
ySudBxo2I82s/rXPTPAWkTmLK1D2yWOWUk9VWS1WMSKpdaq8i644u2CsDR1fkauo75qFs7/U7VUM
fOUVdVH36OCd3WNTEWcx2d6+rLgXmJJl276rpl1V2q8pFS9dd4bHMfftae+0WXhnsp3bkb+pz0ti
1Ld9Ma8tlj1nJMWNYkNTmFs9EhtRe26SrJCyEjY7uWT/hU5/QglFHNuSercZ67c4toEPxp0v0CAm
iBhlylTWfZ6G5OiUscKwM94RE/uJVpKzfciNnYMx94TMREJbH6gue+aAZACInWUzH2X4X+xnjI8H
t2nVaa7NC6Mrceubcubc4I5m9kJmQGLe2bGa31rEXJcggepqSHLj1CWetbOnEN9QYbgVdjWIWcjS
/LUyFa+WSBsfT4jaFxc0pNO4SYFQGkH8GsiuiuIgCXdJHI+nieqf4WBP7YJEftcOJiGskgmd5ZiI
LON+ioh4pQ70ivG4WKm4ukw5t3FOGEWNe5iyiehBz0/fWO8+h4JtddJ15n3Gimpv/T/2zmtJbmPb
tr9yfwAKuIR5rULZtuxutuELoimS8C6BTJivPwNNSptmH+ko7qse9lYoxGJVoYDMlWvNOaZ2PsCu
uTSCMrkvGpMOvM+VxoZ5HtwGBV9cSJL2AE3ExLxhvAPT7y35ldF3+CmZUkYg4T5Bzgf0Aq953gRx
ok8xHfmdZZjvsJ/uB7rix9xA5towcjssRGMhFfS699DHfDrW/WhEbSebvUIe+NprCPhN2nq7ftp3
beI8CNGG29oqULXXvu5vldE69GXN4JRVo4NdOUX8pOnBpCm+s41w2+U6LosBtXHczu8bKygvWZAW
5DEh+iBbvMiGEZ8dBsZmpLjcQidn5muml9S0h5QNgHk95/ZNsiYdlpVVX/dVcCq1/b6o0DjbscUs
ETmYKwMOAjReorgwgqskLj7HzHIZK/Q7X9nuqzLJDs2Vo29aF3fXRpQ8eywJ3k0259Ml+N3y5FW2
PNKiLaJmXMbnZoJ4RjW00tiREM7b0uMBwsI6rU0Qo3yyAK5Sny7uOxiEHsIuWm5WWeX9phGlw9A1
HXYeejueE2/6VFUzg4aupsIllL5ADfgoUsEAKUQtuu1kuSKryDkHbit2ZQBMVi2+e0mA6dgxUVj0
TdUHxhEvjofFzv/dtxwmOzrkd+9ikeO/C/yHsp+sA8S6ChUEoei+nkFEFi5uRS9Mj7gbmotmUuIo
GE/eeJlVHFMjST4EYlcRHXMo55TLr9PpvcXKFeEiCvZcpPLBIUtiK0wLMbQxFPa923k7DwTk04Bf
5cOkvfTaI+j7qa+diCAauEp5K+W1stoBC37Oncd89Ih4QpJ4x03G5vmlLnqbDoEkIjeJ+xP743jS
ucOa0aF39S7w5tEdjOyyV1/rin874H/XAXeAqX5XFf1CgluL/PNn2X+ef6zw3172rQnuO7+FtLJ9
xra0md/IbX+IiHxBlc+C5qMLMn8wobkWjW6cYoRBUc75jks1+YeSKPgt5K8zTf4LtjYTZPUfDrxv
VRvmva+OvP9Wxf2sJKJuQwIrSO4KAuIGeBx+rOLsTrLFYaU8kv2OiLqWzrBDFSeLC7KWxAXNuE7f
J6LHdWVmqTrprB7epS1h8ocCC2WBKVhDAUFNi+Q3Vg64HtxTdjsl2wSUUvYORbiJp7cm8yKkQ7Aw
JrxOCgupKFKc+GGya/HMY/9aos9I+KseNM/n/VA0y7tehg+oNLA71xwINg3BlyTLWmggaeMtV2pc
vV88yLRdgQEwNhrM55DAFfJwjMy+q+uxOPeSPmZTBfgxVvHk6NFfAD4zXVdTg3PWsKy7eLENYGFG
+KW3JQyGtnFQfeoKXTw5OLRaMRhgL9NQWJaxD7eLS0T824V6Y5xLP/3I75/B9ux59WhpeRLIgYMD
9XrYbPNKnRYM1lt4c7ywFyNiG7te7cpeFVbhk86XLtnWZWA++xVGOa/V4VbYhK5WzNmPTPzpxRuK
d7dww21g0Mz7PhtCAoYYvG9SYjJgVGQZ/a6x54Aj84Aa2G4T40UpB9n7QDzPxlOOdSmDPjQPo7DK
x7koccHrRFnPslqL6GJCo8+ukU43QVsaX5Z0DLeT08VnMsDTTwaL5XWLIO3w9vn69VNxZ0sYR/z/
ycafXW/ekm99j+n73pSqPjDZ12BMyGTNGi4y0oVhR/bXap0bMpttC9FIulEDOcSXkETTlFwfq1iO
Xo+7Yp8KYpQOzrKWG3kMbKM2muK8uM1JS5ddEqQZS2WW2M8tZj5vb7VzAIWkIKVZDRX3Ahicc676
PuLdAcD0vchQe0D2o8FbPkryte5TBCvPXZv2lwH8l4ccYPgeNoL0IgpR54wQIrmIO+RM+QyBDKum
uODImm0DTBZMVAeqdw3oZ5svwtiJxe7rA04kLFyiowsOS85bkVbMRutxPhDYHR7K0na+jB5sLVxV
VdWQEEN2RJTYSAT2YW4O6XVRNvxdoSrbvdfAXrFpzaN/JnZGNn5OQmbR38UEvZPUPhZbhy0kWgYz
vqo8Au+IvRuDgzWE1l6WqfNYUv0fqgAGLAPgFf4yDVkVHArL7O+Hxn0mvxtKhjCf6mCaiZHX3dpK
Bh9Dig45O1VCXvi2R+m6J38abJvPyAspMNrqOEAOjnhYgl8om9veW6p3veHgp5xnDFmZa51VUjPp
gtCzq/BXr3CeYWeH7nLGuFKU9PFHZzuWwnnPQIVDYjWj0ScWjgcVXdvGJZpkW9tkKYD0jYt9PWiS
zZphjY+Mc/jFY2+ApHH6K8QCyE4CcutrYxS3NJbBLqUav43pk+rN0a2M801ghJQIEGlVNE6m/6wR
mV3FlpX8Pss8p4lDqtrMT7+0q4sUBvUIVaUBajTn4IW3Jq95XQjDoxbKJWArQkq7+w7/eY7k0Ep3
KtUAA42iXt5jBTJ3S96l15pDAtEPbUNQmJgPduebOGIxFoEZTFoTxyZpcYS8lgMMBtJ14ATViO5H
Fgpro8rRjLTnzRdj3DbvUuKenkK+vwO8dpnyU1s1fh95S0JoMR4Szr/eir0dqcQ31cri3ZidwuWb
+g2s6LqVW1na6YOHF3fhlE273ZZVfqGRf5LUKzMEgLkNQcrx2n4rQz0dUjOpt+NcvUJj7nYym22k
kp1/3czKeECAz+KvbBKVw3HKAbLU5YB2IVjkLVRpZAX0+qkPWczRI7Aq9Z6KX95Wlq4Y4i/hVBXn
suEJJevPQlC5PkWtx6I1of95lGNFJoiB1BJVFkwT2sHsMLLx6sOUsDy3NagSHofRvkNTwhsxQJgi
7Cd8klITvjuaBL3R3TXC+prdfr6GI9PMUdMsxMkpfNgkB4uLtxrg33Lp78ultan2ZxPpv5ZLV5+n
7Pfmp3JpfdmfmgFnVUp7wgnXYAPaov/RDJiIsbEJUPVQFq3xo39qBhyfF9H1DAOaWT/VS5RSNobY
AOU/DxbRDP+kXhI/tfHMMOTtBU0vITgD0Er8sVwifLxcxqTOLyWsh/nVZaBJDoLrD+7OxFrJYueM
nPvnY4b2pTJOjZ22Qm5p29ZHEPLmAZHN/EniZgLPYbZiO+WzXi6m2vM/c6jxo4y8Fbl0x5pTODPW
TVGOs3uPaWQJFJk1Cnhd/6nE9cyTPYNGFTti9vI0vDEzY/Df6UZpWL2tNwDyvHdqeK9bb9SD+QJD
uszm9USM61+mjVlX5wyh4nYKfE7kmpEhoXLJIoopvUQ71LXBfWr7JJPnWyTtrFkWABO6d3jdqv6h
BzVg7QLc+qX5lHX+QMB03erArra9WQEWzmDzo800u99To5d7v2vnW2GXNQLNecx5qTcby4e2xqB1
9e8D+H8bSlgeTdi/fgBfKN1/evzWF/1xWrF+o3tnBzR0QV98dTd8szz44W8+1gbXQ2H7Jsyhwf6f
mYS5PhTMUjlGB8SK/XlcwRPx/wGu/mVc8Oatwa5Ef5Wpwc8dbkt7nTbNhPoP5nq2LepE3DioS6+X
cvyHkVEuwTEOoFYgEGiNIWf8NP/g1IJwP7Dqk78mQi56JkGGKuNx5gpcYv7/uwyPn41YvB8xGjZS
KeRQnAp/WlkoRm2mmSbvV60Bp6PZ0kmBgE061UTGUT3E+EudKbAeAMzZD9/dB//lHPhLL1+g+6EA
4xSI/m5dJH/o5XeG2XMcok+1SACJVVmx8pSWDi5na4FQGi/hY2ybf/eVfxlY8K5cLcf1iM35FYky
9GhGxsAHi1BZ021BA+gTobVkcIRrakFi/tOcFChnFjcpb0dYFb3mn4cwuWnAleJUSRsnbi78ldIw
c3zaVYFDwm6svZe/vqw/J1K7rL9vsxjGdVxcNGY/Xte5t8wliSd9VM3UFYgeYhIiloXZ+UpfJRJo
Rqp7HZS1e/KR+9/BK6gf65b4GzjUxVIzZ+79O8jdttpILRSE3fWoQj9wega7+zd3gfB/uQ98gbiJ
Z5/JDm2Lte/w/UynxtuY5NWgjsIneffBqAA1X/RJiVw6aVbkQ5dY45mSeC6RdA7CeuAZnO/WuNWj
bYLIOGdsDCc8mOI1cXrpbYj5415Co036zRJY1xMAx/SsTZsMWdAd1nUFV7OCg7pGQym7Bz5jyAzQ
02yTTNmKybo2pE+6lMKPe9Ea83QHg226jTNaeZtF6kZ8DCixZ0wYy6R3QdHZ+YV0xHTrsUp4URYA
PzuS9mE8gW8O47tOUvICQs87BwdrPxtMmki+tazP3KUTTmYL4cmEvzrU7rupnsfL2kwJVMK9QleA
Pg9hWutCIJnmY/HVRL0YEA5uw6KTAUmwXfuichsYjjSd09eslEnr9iUg1vXWxJFWbcMOFukWeEG4
g9ooXgNJ6vfXaI9KxwQAp8N0Z4AoeRCDCqJsyYgwCYVNH3kOpxevGdjDkUciIHsL9FWu5Jty8GVO
VvaEs4R1Fj8CPSRiRiHceC0V1/Et1yOWrvWgCFO9W4IufBw7IrY9Zr13WdKHuw5ciLOHeUPGRjgZ
xHn1Op7uvt6rKeNTsofpsKqrrJgoQ/KGvoEr+LL2rNv+0I9Erm4NORfpOfTjrDqtKeLVsPHoWavd
gPX5KdVj+Bi0rKcRIiQS+Cr8kt4G+bH72vQBuTFJy8OPGu4ynGX42NIiZlhQZ9wZ9GEgmTNiAe61
ZqI7bTPd0mMgQUV7NpeUp7t9md7iiJOG7gwzurdMawDNJ4WKs0V9tH7X0Q1LlC/kAr1df3cakICr
wN2lhe9H9NfTftvVoXn99meGGA9ORQAP68aSHg2+67vUH3Q0JmG4V13PDYySkKMKeantse/zOL4A
EGK2IAlHBexuCkKoxeh36FJRSykAnoiMrgdmVNDngqqwp3tUnibajRjlit6XKNZWPvGqqQMja55G
a/BJpcdKR3BL38NSP8ymyseoSwgUuWvbWpSbtGHksKlTNcSX9hLOwCcAt+rZ6DQuhX7Jbkd8zONT
z+VnHkPUzKHnyInFGWc68GON3oToSvQjWnCd+4fWidPdtPrC4jqc9yHciW4VuzLxheQY5M61CNZZ
ix6PTNQmRkfN9OBBK3nLfuNnN+ZrVxQeuUWp9dybdhcxLPI24DgsoKfpcDemHUOtgV7jh8Et0LSm
Tk9PAGT3dKF9Qx/dAHLFRpmIRTdms1wHUiWfup5lk2aHf66z1LtuzTokenpx50urHiv4GhO9OGR/
CSq1dhk+hQwHyeI0VJJF3NwhgKFhqglj0T3tCd+PH526H2r6ge57OH4GKp3utbZ8YOZMJ91jhw+B
xHp/DZGW5ho0OBckP6QW/7JhXZ7u2Oa4l23iqLOjZ8Ts0gtJk1i8SVSlF/O4Qp7zFRhFXIvQerp7
ywtdSVTXrWu1LzNwuBKu+Pg6NUHymAuPBbOxC/hCZv6UY9Jatm/R8rHZk2Dpk5IdtKGZghKJ64ht
tGGWTfh3BmGl52ske4KHA4Hzf0E2tPSt9aGShrGcltRVwcmpJCiDLaFuSPOkhQHAsx3nI6RB4e1k
zaE8bOPL0WiTW2gP6SkJwgc/TbvHcpCvczWtq39mPTIbUlEOieea8RHrvGit7IyLxf6gjJi5H+Yl
uD7h6N8zcSw43ejxJBwFytoZOwj6qeVfuHEjg31Im+dmUvak9gsG/SoN2qiZetgBukKghsulw4FU
ukIzPI/rawbN7sfScvjzLTuWfC/S0I4/hsGYkQXXtXGzX0hGKKGpFgrOQF8YlxjxFZeuAsu30CF6
nv0Ar5xbw4pIHZNUjIGIUwtSNbaJuH9ppoBapB1EcOmMoDIKS/OzdiHZ6RkWGhYLt0zkNT3VGUFh
Hlwb08y2UCF0iIzS6z+R6BBeirfAvMJbuGloxUx3fWIGK290vZVoj9H5SxvrmkMsa2nn2azpOYaZ
R23zabwhDS/7kZ8G5GfIOliRpgg+cc1hzUADJTTe13TkyUlCoMRtRqi0XbDeSy2Pc6qh72jCpEF1
Cy+4ZCptbPOg4Z1zNhOMrPANbluHt/fEyAjNn9nHG8kbO/Hivi60vdT2bQn0mVDKHQiu9dYfTUIs
h7EOyBZrR/dyVIoWfynIbJeD0X+qnYKdw3Ikd4S9dOIVDul022eCdbp6y4eaO4SPK9LTp2KYHcs7
fP1Y1luAVZfmVBKxsSak+ViTLrqSAD+UANPtoKl9KwSXO2spITrQG0Whh9KVQIwrC7i/szVl2LyM
BH+kN7ZYowKzquW7jnrhLWsaWP6d27UliBJOyS6T9zJN1l7kGJja97fJ5BKsW/QobWHmzfeEDooX
L7VYWGeJkxTEyUSzHFn2mqVuJQ8jZ2RY3Sbh5u7iBD3rom/dl41hnluVGl8G2YWHVI3htOEzU+Vk
hh8+2hP2KiLm6SNsu3CwHhxJRO0moa1Y7KXvkmmVTNl6RTtwUfBKUSNuVRsQ8oJ+Yajv4/UXzdEo
vy5qTbIre35Gw+o4NQz2YkoTRUkL4bkMRGw+WsbsImxiq/THe8/JDHWPRxoN8jYb0yQN7hjwhh5b
VRsusDOCpJuz/VwA+bXe5wHVcnKYxgEoiiWmO6hZYpeZLhx2EnKyaBhh+o3ebB8qGqwjoh4SUwtX
ptdONehtZqTzjv8hZMDccS7zpUX0kXZ3TcDKUujUeJ6MMDsbA+IU3adsPXNQHREpQOmDsrMv1fg2
4/Wi2oSNY/rhhTv38barnHdJwJLuQNncW2ZCWNxiVRjBp+7UaJK1kqG07mqXJQZdCSbznBYn+X1U
JINXFV8IY0OtrZsYg3NTYSDqdBPxBI4AwOsvNf5wglVuwskdT9zXFAaqM2/CoTVv6FTrSJvV1uvn
6siMuNtRG8f3k6fw5LGJRrR+CZ1x3RvXHNwrSG31O35t9uV6Ks/sfBUijgK9LbD1bVB5uyQsr1Th
Eh/ApboxARa+J0pMMfK3netGw23cOolJATl1hzIs0UXoW6ey7qj86h2eT/ML4mpxdr4OCiqMlLjV
ap/UpOBo5MtnLC38IK7iEd6jxhvTqFJm2VBoGxrdFDtwv5nhZ7GCpKtehP2K1XDImwvV2UB9HDiD
V31RcpNWKatN5knuyEWvwNx4QsZ8OxdjzjSEsjv662PUeur4PmyS4FGfA4egscAU4BdhG4CZPGTH
a4+teCv6cbOAoYm5E//6fX45/fBGa24yfD8zcDm4/Xj6IdtwUHkzgIvEC4dpGpTnQ4dft2QCaK2U
1/Xo8rYc/vX7/nL0X78gE12PTEvX5aT44/tyJC9Rik/tccpL73UwCFCq+qmc9qOfsn41VT3feV66
cjL1WuX+9bv/Iozk3ddZMj4tjw/BQPmHMx/WW7onltccSZIAIQykxn4I1lUXnhCr/ZDgKdmYreRY
slbetovJcfP2Ef5tmf9tyxzfxXe/1q8tczbb9P9Fr8XPcXPO2wu/de1C7zc6Kd76263pcbbFT/yt
a/fmwVt/WpMo8J+UxLTT6djR0OaZWlUA3JbfRAau+G2NhaOhbtpfUSb/pGnu+j/eYqvqdaUL0cCy
aRO61s/aW9pObe9Nvn25UEwnyyHrk3lASmmbm2rurwzO2ru2okrY6ABO6QZY0fJi2KWH0DCzjr1u
jcuYz76bO6PaJ1QPyMqW/qpJ6iMecnUOutGPAOl6F42qjXtCR9Gi1glatixYjWGVd6+DdmIrA8Cw
UYQXHay2azbVus17mLY2/H3W3sbhCp5Oxw5G5xCDPa/ZpCI5Fll65VEzn5ldMk/q4nfj0t1MfROh
0jZXl5917HoGxAFlLpms3tlyEVepIowoLj4pFLmRyhmpVVrmW+nU8xVETUAloGEnbdIiZ+bWlb2x
i/Pc2s/mshzESiKsE/tg1KJ+Cmed7/p2nfSW7g6e5o0sZnfHag481B6cfelXwbaFv3B0Kqonq8JZ
w5Vyo6EOwuPcq+yONK0mqixrObaFjXygmVc3TquPmLdu5ByaSEmLhY0MLLfCBbxxzdbBESGcKMnw
Io2VmoACl/25yPyr1OLMxSHjLjSrcTdAewkrdcSEh7QRLOJmRr3K3DoxQa+bBwMn2BZ6+yP4UCaN
+LN2GGOGaMB0E5WzSrZSGB7VivpY9eh2pwnhLIzYi5aKbetgyGsWf29kjMQFQJUImgz5JnS4Np3w
jiG5VQM6x21Q2Ghhl9h4nJ2s2XDUFrhk8Aw5Cpi87ZKagnRlPtlMdR9gUCyn3gp0hN0bIMBkCRgn
xhz1k+mCqYVoKAIKH+XhzsOfuAut/ANJWu5FB4ifJGHiN4TTRQpUAqk/yYEl2kePBTGnLI1dkXcP
Te89BtNymdujv0lwVe2NOjN3tAXTg99WrwuZ5Hk3uIe8iSVn9BH6IWq5c2eHn10Ij9GgQxFxT6xa
tY03cksEMnkHQgTVYcLM1iakED7lsNWBtWzdvjShDIoTTTDrw+wuFtK5/mIyio/L7E67iWPVLs+Y
T4k6qbbLAvwfKyDRIHXeRX7SEg274BRzYcVuOb50UWHJZ6Mf0FT7Uww+ogfPTtrwAW2iu2tgTe89
JDL72MnfS/wBV/TKqr0TfEzC3iSZ3O+2ovWMB6JqYSwg9nAjv8yyu0oTFFf3zPzzIp0PUHjkg1mT
0sBYorhbmE9Efb9cIQMp91gZR07WqbdfCkbIAjnVrp6gwQy2YcJ9kcvOXIpqBzUkBZ0DgRF3J5pN
P/dOlg0nI0sCfbTtBOSrti96w1SRwVzuPZRDrmJAJo1NZOzWS8KR7B9QhaZoSG4UufkeWhCcY8Py
eHK7ZT+krb8NFXZVnFj1fUEuFehCZZ6toR/FJmSXJljcKNKd1xKCNw3kRxILUTDvh2/IR1WXPtp0
/qBxWXM6PQDTvjbc4mOGJpAQ24DMjM5PAP5oI/IXrme79OLog0HGgGx+meI0wHpGpD2R0/QhveEe
DP8JLKZ3DmA2rF77O4/W5m40nYZwiIlg37H0IpcWF5rr8HfsfncZHtXYUrcl4FDm/Zl1mDPjc+Uu
876UmBQH/zIb+fO9Xx8o68E0gNvY+0Tbbzl7tNG81oopOeQby81euwZPXBIs9z1q4KO/NkfKgpHi
GKhhS6E172zkN5GEO7o1E09ezba/V5X9GnbrSQO4HpiEXtzHdppsKz/cKbI3TB41fHHdZ92XHCgW
4BhC5mhmS7yt+E2LfV7aegfRkqp1KNoIAWZw5BR/05T2B8/rL/PEJeVQTI/B2OPjw7S7LWfHAxyV
1Q9hqJ9KeJoRrfbPYFMwicUo6cekfLAtdeG7g7xuA/ucNYj1RdOUVyXcGfpzt2VKuyV20mALu/GL
lCQsZSFAQrGo5uC6Cm+tmPNdNw7l5UxWD0mQMsD9gHmxxMzQO+kHqNLhw+yCBC5r62Lx0Htqe+72
Q1DqaAp4x3pZHjoEP7fk6xEyxSZEu2BC1oFkFo5uuZdKiI1ZifsWYS9txy67mLv+lEjYrTjJDQ4+
xGMwUDGjtOq8l7KYnsdYqaM/E5OjbDJfkjLdK3sYD1M9GXuC0cTWr3R4M5R0qROfjCnXXT84aXod
Z62BLi9RUXcNOUA7JlD7qctoh+MuOFmp8aRCokE6XM8O3lfWQqVOgV5IRc4yuUPn5x1Zf7MzKU0Y
NwxWOfhJ2A7gM3EGtrG+L47YJ/7okHzRAl9xW+uQ+PnTqDOBfj94mIf+oqfDTnZe8sUxWv9c1mW8
N/xy2bitZ+1F44NCdSvzHLQcDxpysmgANvEe+A2M82BenPojXZl6eO9iEsYbQA458ejHCQg/MFEQ
K0EzPnIOqkipy+nM5uWm4+6rAvKzZAjt00/tYn3IaPCI3jl2dgOFc+u3KNfeO2qsHfT48yx7iGOi
b1i9C5wE7ZgVBNHG4s5x0UDJl4ZIvKU+S0f3frjNm/Xwg6iv5JgMkbCVi5T/DsS/Gur+rrzGN8sY
9X8fiN/Azv1hGP71Bd/K6sD8TVgrpIINRaz4Cubk38rqwP0tsLBy4bZzvBAS33+0KGh3Q1/YHgW0
7/GPlXrxH+2ugwiF3HKH3oW/zpR/0ur+lXbX+nka7pPogEJYrDN3hnY/Dxfj0UiIUBDixHm4jSM7
Xwp4+W18FiCktpibkYo5OcEJknAFcgDic4A464WNeXovaiYtrpf3T3jY+6eEE/XfGN5+PtTy6WxO
F4IPaDuet8IQvx8lhsgCCa8P3VOu3eZVpO50ize2XjNh10ZnVs4HkFxUE22Dtve7X/G/jLMdm4v8
Y8tgZXqQWc2pCF+h6/w00AZsQVqcyjqAXPFz1cVEQo0qC6+KEPVY5LXCv8TbVpPuPHv+xeSGhDvn
MvswLfXyyVd9p6N2mZ1zUpKdWHiqPAylVMWObpz3zqeKmrcA6MUpHqvh0mqddk+tTEghAXsM7SvW
aUYL1U1qzwyBQLEDBAo6UGGgLPxIqaXCb0JzsNs4DDM3OvfsFzwc+Edotm+WPmA6Te97J5tS3aEJ
rPfN7NagtgcnKPYJPegU+leab53MNZ8MnB8MPv0HBcu73LpLxx7se21NjtuU0HozRvqIjaOPs1HF
28JYnE0O5Ro1kD9qEq1jio82JbOhsqf5uYb5LTYG7sFLMeYUfXIengISo/BumegRNxhXVmY/EaVH
FJfznkBDD2YkElvDtcce07Td3YXKyN8xq8isKE869EeN6UUEEJuSaN8p3I3Kkdleo2jAQ82jhMog
SBB/dp3HXNdNhwdLNemuHvxRndZoCvKC7Hq4mzJFmWc5I8CEzLPMPXKJONjU8VBQTgivtRB4J8sa
5CZNCpMks0fSPEK1YYhCrF9LMtaROtA2oJx7YOWFePbzOQAt5dW3RS0nyGCdLWFgp2wtEhjVJjEn
a4/ZTe7lgLp0Lm3jsNgBc6jU1vvCzPZg0XTEkxoSlehXdwvzUEZ9jcrPSx7kUSAG/5WRYXskY3nZ
hWU7HOcMTuF+sIeEhn5uw+lny58o5Dm9HtBsW5j+AxDfgcV0KrdJCh5TNqHSF+lndzT1jUXcpNhk
tV99Rtq/BsctncNxKCMSGyNZR2apXoSz8XyCYiOevXsmW4zsyM9SdLMJHvfGe/JXs6nddH7d6G2M
HSzZ5lOM2TFoh+JTnadxFmwGmR9ssxk/Qf6q1vRbwIfppkXvZV71XSizVxx6JamqtXbtm74nwGZR
iwOz0sn18zpUDy9nzP6vC91ORbKCmiRPRWcMv9exystIhkOHPQs5crYbiEEzdg1uxCuGxPWMnswf
rJ3SxpLdzw583SMaZdrmRlzT7G5qWSWRVIyNP5Cyiy4OI9sKmZ9FLbEwFuYReX3KVjDUlzIdszbq
qI1f+8Zf02fnklt9MpvTzIjoDtDMuhgSTkJKVFbf5IsiPEA1XQhVJeTd5Prd5hSHAgxNa9x1OCOo
hbXbPw2Zl7vgcjSfnoPPcuwa1PtZM7YvDOkZSWibeJtQaOKs05EHedcDozMYbU7qo5lTSRI3KgWp
I/FIq6+12+ZV9iXHv9Yo0deuSzldAK6TC4lnN9CWZw5hDBpNhb08lr1jQIovRoeI+8MUk3cGBdN1
rflVKCXN9hyQZ8g/CobWNDFA4lAhbxprGfVznUxl1mObEPUrNFZa4QTz9ReNXLzrrrf4xPhyG2M/
gurIN64h20MX2OXNXKcMpUl0IyUSnOH0TqHGv3Gbhgcro0y/kaIEA1InXiMi8t/1Ca/SAK9PD2l1
WaHsALjEJ+DerVr3VKPD0oSoSxLaKAhjFdW99D8QMDBiM8gkaNQyIa8TE643mxuVAoakG+OPLw0c
j+vUm7FhocxvNnFgkrtiw10uxr752FvDe0wd3kmHYS5Wcfz4TnmlU0ZG4cb6EKQBgT1WkBHUYjd0
flyRx3sLmftV6ugYvKsx15cp9fyDXajJoxRU4ndYZQScaDLA9s0Ig8hujGVbMiG5dJFGXMSpTgn+
WiR5nR0nu6kLWoElVloXDvSkU2jbiw+kLkZHzT6z8JXDOXJDYkIJYKp8G8lJjztRNTYIw3nw6/lQ
jw7wUYRwucTlDKWDYG0XMiALfl85/dO/fdn/i5ISfZhNRfe/F47vh9f0+8Lx2wv+FDGvSmWoCZgL
LaqfVUb1Rz/WgolGvzVkxEDb03SZQfyhorR/M3GOWZT7/6kYV2Ez0uaVAkatifD5n1SMbxXhd4MU
hhogHUyHctVBY4h/4cearGGUmDYzCytRWQYomWBs53nPNoA+oUJkWEwTc0edJO0FpP3+kzXP2WHK
kFvNXS2Pshvp/6+am5zo5V2VWdNdOs/ilvZnbwKILice+gIJtKk07qXKgwBwZ/jzVDO7DDVCy/cp
RtOqPXL+x/6UUH0wzytj4yasXF2dG5lLHFY2mKvgi9NCf1HHEenipE+JryxApbFPUifiogBbWqu5
yPdG3fj2riWB2t0l+UgDg2vpOkDkYxoOvG26Sdo1ZauyE2oduhzDnaxccgERRF/HVZUeOt9e8KFA
VHyoK+wRy9A4R75UA3ZYGR/HtMoekDpLUsWrNH9HrAOiTNmdSNBISOaM1StCUjAEfYXJJCuArXom
bY2w0YTaIqRafLs+5/AtBb2dpRhZlkZ28O4CfXVVW2vjZ7pOk0IbJ5o7I6yqwkjme2O21GISDVfk
yT52W2H7BxtomTro2GyGDqN3EltoHKqCYPiVwQgd+qqlLV3zK5ChY1f69O+K8H9ZEexVk/tXK8JN
Ub6mTfX6/arw7UV/TGnc30AQcu/ZWBFWL+h3q4K5uh48j2fcfvMo8J++rQpv1gYeV5+jDE//n0dJ
B9a8gP/OHMheX/ePjpKYF348L1kmzlR49iEnWtsiKOGn85KkHVtPntWd3cGYIodw9AH3FFCLIXgn
OBk0JxEmBmhOjAhYDqSnjPfpIHKsCG+SlYmSYEEkV4VZfDDI35MPgMTKC1gAWX47kLHxgdG7/yIW
rz6ntLAuhjG3o3CVeHQA7KozJAGszUUIWkrn9WXedkbzUqdtQxWo2uVQzXSExkVvkyW1232lRxm+
aMQjwREAY4LypJu9Zz1OKridbeHDushS+u64xXYOfgbQxQl5W696RaSqN1pqI5si2bcrmf5yAF4+
JHujrEx3tbdl6bSp/oe9M9mO20i77avcF0AtAIF2mkC2ZCZbkZQmWBQlou+bCODp7wZtLVsql/3X
vGpil+1UkpkA4mvO2UemnpAXQpZQL+/wmC/NBa8SCp1EUZdgdpozKzoMvSM6ZBnAuKCfVHhH4OFB
wvJNG+gccqOLZ4JGlaxF+DyJbpnLUbZBZPs6W6FpcvHBJ5Ghv0lZ9CSx5Elq02XlgDmwW1TMsPKg
HAn/hgk/VohWQcuS7qrIMGJPn3gLmVkheULWEuTOFBNfjq/MTNwcbyxhbtm3JZrn3s6DgcQjG8sn
iBI0GtYU781cRd0F16l21EmHv9Vh/22IyyHmEPbJJuuT6pho2rSP7cZk3E1LvRG9jigLnd2dUUh7
5/jN/ArpEGhIMRbBnM8Jdsse6SWyxmsgbWJf91ZJ8Pkw7vNqIvOrrWrk5VOxzggVCFki28uyqkPh
JPGNbfoVyK5ChY4V56E10MFkTlwf+oWgwa6U5XNUaQOo9ogc4wXxwk2ROZ+IEI7vYNL0tzKZ3Dt2
S9PnBNcjeW9wUromUXfr4bebpzqlVlbRbWHWM5y2RjMDBEw0P64ZhcT2uhffz6OnBMD8QSWOdqOp
aB2Gd6QWTm4nriMnKvZapqUL2wq2cE/NmnfuRoXzqXWM6gEEZE5yQpTEKmCbKVSQlp2rgnqGF1Ox
JYE4P/TlFjj5cJS07HtZ5PETYlZx5S8Q7jZGY8tHyzfYS3oNSmW2XV3xbkiL1li4C6D7uK6qbW7W
y2amaCCCE9ZzJ+3HDEpHn42WAD+o3GsDGQnRTClaKWyV43QzxrF5Bf+3PiBEQIaazXzXY9F3d/Tw
1VNHii6Hi9t8lUh1jRbCPEpV78Q3XW4xwFrB3DfkLcyFuoucPjmRv909xjhYX0axlMS8c7a9ZXWn
X2lLRXHftsI9yUL5OytrvoP2iQ5I9NstrEVsikQNP/i5N74QFFg8z7Rcz0IO6cpf9fLnFjsV7FDu
MEcbuj3yWXPru3LYpY1zJWtQldi6iz1MR0jafmWfpCJFm1CXHGwpr9UAiTN7XWz8UQwG9PS2ijIF
qaSh+4R+LLiKERUnpFsUmxSBT2hp7byt5QjTO8IEy+cyQAAskiDWdHarvcQE71chozXzyUK5czNo
3ad06R6yRnO/KRueLJuLSc83thSuHZjNwpaxy6yrEr3yNUKgZsPMLQrdND76Vu+eZ0kZUddj/7AA
UQztTq/fnFEnklsu9S1bg+UrRVfXbgytUACEZAMvM7Y+xYlFunGL/XENJCUievHjM8qA8fNAkHMF
p5Ako1IPlpx1Lx099tC0iV9ZP6TfC0nz3E/ttTlGcms7UoXJNIoXk17/IDTXJO5YyvnaVGuKZe4w
0RlYtXHHWYl+MVrWBR39FtJT3avv8qwn7qAZDH/7oTKf+rQCPhKlyBITyOPqYK5q9lpavceiUoqH
aYi8r7ks0dWM6Yhiz4OquoXPM99bWuTBx6zsV5AE9ZXv4AWm8zF4zoFfVLexUSHeZAAEBUUShOYS
2vc4G1p/cWOfeVY8AuI3hA04o0+h6JT0vJuGsJ9rDUr2Bfg2FmsSMYNBV28tZ969wYLrGGtRH/CH
wizIYGvYqOD2Q2upa21YfeP4RN6surPfa836ljateW24wKeCuWWMhyxz23YAWNMSSCHETO/sizy/
BiRIc5gtbwmq5027Sq0spT7VevcAhZtNtdElZLMxU0hZi+5Shs17PV38u9bo6q3mmFAcLVz2h1hL
LkU+xaSMpxFrtM7Ab2ezMY5tfcf9/paxxb1vTVRrCa3jY+ziJjaSrjnJjK1oh1CqONs1qCS7r6Zz
XenxgQSVmQTd0hn2eJ/qO67cEnGdL2/Tue6+tYolKRAHo6Dssbyn2ImsEz8hjCPonUFtozNgyWeX
t2Wk2bvCnOujUQ1kNjJbDudeT6+1DnqmU1X1fhjVGFqjGj5DskT06dVEhbn5l6E3vmZtk+MWNpfr
Cdn2uHF6mdxaHtSwqq/JgCkTM5iF6t8NMeXb0ZjHhwzk5pY1ErqomFko8nAP/Z8WPbCL6S+Mg4e9
9FnKzz2YVnhGwiBY1UdYD0jLw5uQaEc5XhFdkQR2Jb92ulV8Iftj3OGaz7+VaDe3xPbxvXrel8Qr
vnek+R0R4ruB7uZwhGz+jvQvfzPbCA9gyelHPSuscErJSEeza1xDRM3e/MwjXaBItD1cBFCcfVTc
ZUMhTpiT010zZO0RF0azHUGiHQSBkzsaGxVq7Hb3uZlMV2lZo6wrFGKCwdC0UJ+x4aumnrbC7au3
wZZpwM/+CJbKCMY5cQ5yEmhW7fNiYUKoUBei2vLNXW3Yb63e3I2kyGwqFv3Mj5Y9j2gNDLT2YqRk
zSQJG72UOKANPYSzzfX64jbdnaujHO5bcPclpGoglusU8d6DaXMiRjreVRCnN/jfzY2TViYhIVgT
lmLtVYqzKDXt3u/JYy2c0T+Q3hqH5Nje4Y6/nTGa7yA0wPuvNcCZxQwmZDTCPM2LPZL5OhyWpgqt
uGYDmYwweiaBHlZzxY02KMLVfc19xE2SHgiOr3HXGt8JpIO/MMOYS0vyRMy0sTnI8oTzQIx3Es3U
W1rOLRJmLj9iJg+Omqo7RwNF6w9QjCd7hfb7zXhUJQaxDPHQJk4X71SShl6k9hfieT79r5f6v/VS
9t/7VG8IWqqrnzupj5f8mK9Aj8fBR7AUyYoCXRndyo/5immhhROMXuyP8YqDFO3HfMX5l4nPiNe5
uqv/xtv5oXdjZ8fQE+c4uyIXPZz/34xZWOb93E0hYlvFqqy+dJMtCPvDn+cseT/S5I9+epvljG39
AI0YQowuzp0bP2os685y2q7fQ74jezCKfJaPFNypQ546CHZ1QWzEM9wFPr3aLPJB3PMkogB4ttGF
5HrgAFDcNFOVH5iG6vJ2KFr9W6k34A5wtAGeDzoj8XiCj0YdE+HE3tqb9rVvgeFI2uxUZpXxLvAe
gHHrW++rtqpKlePFJze32k1dx8AhBmCGoI2jfbyQpyT8Qif4I2VLwJ57HGlwOp4wxIp2NoNLS/vk
6tpXj0xEJP6gE4GpuAC2yeNN8adfq9xKjy432Re5Dq9ZliEv6yonue9cL4cZXKv5FqBi5IcEeZTd
VjT8xuzIloE5eVs0IV4X0ovoERmjrLmV0vmaYmz/1KOcyS62qbSwTxv3JuWJLiFrK5Q4hTPzEMa3
gn/JVz55LfqQzg+uPeD14ZuYX6KZx4FGzUYgsoriB4SMkb9B4UTPNfPjH1MnSq4WqdQL/BWOaMdS
+jGuxLT18efDBDEyaOLuQOuCyEQ0z3NHdRkDQ6aicBlpaX2l462ywTSjn1g85lLSHZFIrFlDRH4z
B3NVAvg0Y9jbgdxz58+s5lrYgB1XVmCyclGhXyQqTPVRsDSgJCKoIHl3OyRYSZzmhz61xp2MhRPa
K9uEvZl71y7s/vCC5XFozgN1moN8ca6Rquhla9xpti9JNy3xWVgugpuus51vkhiEkPHReGFKsCB0
nOsyQSgxs4TatZXWXEMAz+azXo2625xMDIdew+O36j20F1mJjILFUNXcWnnLyGCpUsPa6CKd44o+
FfnTZix7/CJRjrJvw5bFY07VGJawwhJhhbgb+5jvajEm9wHTBhmkrqb85gk7iwt0s4a5PicUhZtO
ZxYTIBJc4Sekn9acR1GHBaYhm6FsSV4KssLNXU7xmZSRiTldD5hQUQJqXno9VUNy5USVfDXLxKGw
7SXaUlwi81HFZNshcTMrUuULR08OM0qj+oCMtjA2A0HI5AeAfBwOele6uypO09tUYZOm+JogxdRd
VHJnR54bYU+c0yHsspWA2ETNNF0vS0qMralZoBMTvs2wmdZAAr3SumWT0bPEt7gAU9ArHGLuWS0l
44fe1vdd7o5ISUU8c8VZGrwhl+K80NyUNO66mHZTFBV0OYbudGFZePLFTHtqLwRgQCT1HrvZkC13
LGXftMWvuKfImlABatuZWWYtejaRbVIOu3ic6xdFUp618eaRUSjVGcKmqOmqPf8QxxGUC/LleBLN
DyBUVX00bQRIAQtA09kXemJKCKaROIq66d6hX3+yR5wqIrX75WHKzak5yDwxIO1Eswq9RmMb0vf6
eYHbf2dVkvsxsvys3GYxTzN7xMWQz222X5TwTplGchRIa02pa2UwjXZFXy0h75TvPS/qt4URR5Ti
fFf1Lqb7Cs3FEndaM+sQWsekCB0/M68AyPhb4WWav9VSRrqhlSjjsVlIRtBFYfI951acfe1aN3sF
yKR9El0xfaa2nTpW8pbFvWapCQjQIralQXd6RMxrBYXAFLQlVSDurvgPrJGujd3dBrVIM8cbx1vw
D1i9ZgPJmOFQNagf54KdNApTQPuoIUm4c7oYzydLwoPWdmj4oqGUkAtruxwtivdmhH9fkbFnzLF4
muTybHEJAzTuFTsgv9LNg+NJ986xWbzHQzSHg5nAlCWNQge9NZhbmJ4kK9ZKqvsq6q1LUZr4yplQ
lMZZdnV9XgY0aXuvrcVLO6iXWKnJ3wxOinWJCXzhYffUBzxXYP3Hc9mU0BFmo7/HoZLRV3N+xXeG
wniFPtEq5mU+lMIdXJu6E+RodGqJU/Qulpcbu//VU/+neorJ8N/Opm+/V9WaBPJapT/Pp3974e9V
lWuBDzeRNTHMXGmA3p/kTqsSilbap4BaFU2rmOdHVWVSVUFvQCX1+1j7jxk1xBDWXzBBPAPr/CpQ
+i/kTuYH3eNP2ytgCitD0TXgEiC9cn7VOxXsN5ey0dEuu1U+h9Q2XOJ2IQlWiYgT2PpongUjaBik
Ozk4rb8x+6470iGiEllasDxBUuiaj8p9KOwwQd+tbbC4jMgP3hqmEjfSAbTFoFkPrRTH/GbBQcsk
T+t7fPqzFS5OgbxcExhst2hSGyS1DG7NbZcly36dMDBAmzllV+wXKjCdbmNZPkWmBhXMKtxk2/kr
K4yzqyWdbyWI6R80MUOtYLEPxlj+wRur2d3JtX3LcWmhux6T6pC6S/odXmH8JhewZYrXvNhznY1M
0cGaETPN8gk4Iu5yV/g9E5MVglavODSoDsXVtCLS0joZztOKTTNWgFqk06pt6hWrRqWHqNaNs4k5
Adg1RU8MisHpQQKWeBfxA0PhWlFtXsfHDAEXzyTkL/1E1ilB6S54N3MFvZk+n7y1wt+Ili9vhxUI
N6xoOH2FxGXowm6SD3Icc7LqxD6Cs3oFy+UycXcmorIhWGM7ycSM9e3sOgziOlDZGVml+jPyqeF6
rK2X3o6HBwM2rLdHaAbVztSyGGvaCrurulE8qSI3d4AaiKMFIQkVb4miMwxp4NhCZ6BeQ/+y7am/
dx18iFvnwzy32ug4GautVRr37nRbrka7XhKLSOFza40gYdfaQFwYOY2f1+nqp46YzZupz+zAx8Wn
9d4Q2B/GvgSLn1jNfsAxIry3WXVHLp51hi/7DIDACYEW5yG8tnlXrdbBecRE6Gh2eZD4CvXaGII8
z7L7aDUdkqruhtFqRERKAXkT9UhpIVtORr0Oow/zor/6GDOSyXfj6m30pXwzIl/bcV5hf0xWJyQX
OTqB1R3ZL/gkl8IniQMuPVEopoW4376rudoCNPhXMKOTTem1TggL4WUpiexZVi9msroy7dWfKVen
Zjzi2TTYzAJ8T7QXWqz42KzeTrtomjOeU//ken0bZqsHtONYCIoPX+jUct18mEXV6httkNRsRrzz
YfZhK0W7h1Ji9ZrOq+uUiEoLB6pjlTN+VC9iz7xDniZXwZexWPhWs99crARArZ7WWQM38WDihJYP
Nscqzle7peh4Mkgdyra6naVXTqe7d4OXRMmzshYcoaORFWTF+yvToiALl/ef0gtRACYyygYEXQEr
Ygo6xN9Q2Y1as1/AVVfZUa6Qr03BpkXCetQXq9p3tdZND1OaWhKU6YfcKv7QXuVCn7LPeT50SxUS
sFq5CwPonilX4/hLOPUI8EIuszj+XBppXARZYlAG51pd4u3EsaNv1bwYNHVGqlb5vJzdOERZTgGO
HXbI48M8eNbnsa7k8ObmvpE7AAhgSU6bYhzqEyoo2CjI5egq+YtDLiJRxjarPerRgf13PjrUmC1N
b2AOHSsRUzPUb9rQ//n9/kmQ7IK0+7st8n1Sf/v+/4598Vp9+2n+8dsLf5zUxr+MdU/MIeA75m/x
IL/PP1wAXiBosEf8wHf9cU7zCshOzh9pI39MPwwLGvXHwf5fCUxIxfx58mExeIFfYuH7wfWHgfAX
1W+LEbsrfSKINeYQVLdJzYKHqegWgES5TU37RZbTdCY2Feb12LwUsb2uHhHZ1WPBU3lJ8rBhXcg8
sKwwqOhPuNdjZvhFm/Ekg/KFIEMcO8NF5zpr7i6bYfV6vXtpAD5uTGXcZjjrX31Rnh3JFFKT+2hA
HT10NrnaEmFrMVFCs4x+H/UxvWA4QXjpNrgCq7rd6Jq3bJSNZDTVl6va128do8ev08nXtWLeAPbd
Yt3IWTen732RcT7Tk23d2ru4Qu1l6jYBYcrvfl6dpTHdR8omADMdd5aZn8njurWy+Qp7BTvaTNsw
o3iliqjDul3ebKaqxWS8AfN+aed+x/i3oA9MxDP82UPaec5G6jB66p5g2UrzLsYgXvKpeHV1rIt6
LO/1Lj+vn8DAKcjipnjPmkoLetx9O1HM7FdLvHnj6u2Y5PQYC3m/Lv0DD9/WsSv8NyoAf28k1iGO
idobTTr4AvCRJns+GF1HFJeezGQ0A5VDeWFdIxvrJRH5CfXga9dmIELtCygNBhSO1W8tfiFppe/1
MN9atKq7WQw7oqRQ01krxheptEIGiDmCLZxZ80GZSYeZ3O6GDWVAsk1zfwiAhdRXQ8PzONbWzzIp
X9kDUBytuMKBJyIgpB75D/+B1i63stdvB1PuxwQdkIfHTZv0q8YlyBrV6rsAgbi1jfSc5+qKqtE+
eDWDqCzlN6yt+WmJBmbug1Ng6hFamPe80ZQi4E1g1l53dnZiifvUWW3EU1s9lrodqrmSQZV05AzU
6Ws1scoqTPXm1cvVZMYpD/AuveSt+5Iq/avXihufTAqYjLg8ibVf7LE7tGp6XFr7kKYNhshOHGIs
KEylPJx9Azh/9OJXTj0niIb4PjEeCARQXAlqGVimm6XYNL3+VMXGm8/6dFMqArYH4vfYUj223fho
qeK9ZG4TkMtGDmOpHkVkJJs8HRp2N1TOi6MhKoR7FXx87kblsAO3Xuq2ynYEcoJ9tlzm9byO3xPx
A14oKZyX1O1m5uhcjhwRl4YV4Zcsor4mwGQOWclMd8LhsitUHLErY2E5I5M+MJ2ZTm1tT8e+dLyj
mjRA/wDFtnhlSiKRm3kHb2s6MansA1MrxNtg9F/mqXOuDS9v1gCTOsXX2rG7z0IfSnPo5ot8jdya
AASUD4jRM6utnvIqeioVmoVwsXo/3ZTs8lQSXUig/sLOeAog7uCI5LhbRBo2w9xt2fklQCQw6qPj
Uh3BiPWATs1tL4WW3FY1AV9MNJ5qjW1ajwdrO432K4yw7q2qQLRVjOW2hYOB2YXu3Sy+sytZRzCA
q6NbYyD3EnUGjrzMfKvJHdr0bcmQbWKgq0xjJ1xmH/wUK8mIy7BFEhIqfB8QJNxxr0wuujl3X1zN
IZe6lcdo6t412V1ZTn7606HzF/6JX+bXPMV9UoSYhXProy36FQmQZo4FWipHJMC4GetsO6zDs0tq
t4xpDOcf3BqomH72avBuPgeasC3gqt5H3/enICGIIWPlzABSY271kLyMk1mIhORDHuh//3utKqaf
Osg1GwsfPG+GBBPkAv/+T+8kXVeJDI7ywRzyV2TW+WZ9HGeGxGGMgJklppz136YS/xGx/7P3ncin
9T1h67OUALLPX39+z1hUfuL1EckVg53gC5se4QoVgSasg9TsYs0HORUFrsuep9vf/7ri31ww63v7
K9qRRhyo3y+qLsANcsHaUB36shNhxjr8dsbrsT4urpjW5AfdV2+yV3gYJHGz2dRz3xI1uumS+S1h
zhpXy9UYA/RAjX3w/RJ8EJHLpievJCBn3O40bwg0Nm2dnSun25X2dK/K+Em3E+LolXUZmeIHqq79
vW3XzeeYnWkAQGIO//43/YtLiCB6GAcQUHV0jb98sWaR+sCyLGgAZr+zajAp/nILwL/9h090NW/9
2xUEwIARCSADLqVfPlFfGqw4vPVa9QvrSCt1O7NA3eoMJyim/Szsvfw8xEZ5V0zzrTvo5R1OS0Ih
l/i9nXgur6UKrO0cKLq6ijVMLL4cHzXfuYhu2icej3sbjBMbBCIBW2Uyf7PNeV/GZrOC2Mgr1Lv+
vsrVk4J1g4MztU5ADko8mUN9BSbvPUrxrVd5wbeovHqPXPY9qpcnD0TOMtBpqEYcktk+JEmVBnG5
rHNqdYVjtwjMcbl1Z0wkKNONHRi8L52Nx9w1qLH+/gv7iycMmsY1Dg3AqsmO7Oe7YmEN21qaqA6L
ND7KCcWTDY0Z0Q1SHP7+vaiw/+07s3XOKZyUrm+vxI0/3/WdOaduYc3Vwc6ne8KbTiUpAv/wFn/x
ZHHxuFnoNA1mFL/OpsDL5UOh60Ce/akhnUGB7I+Wt/VJj7V13g/YRnLTOviaeZGRn2wBpZ8Qlj33
WfbVQ564Qavb4YXNxGHKOMQTn6dTM5dnBj7viyOJk4zY9BTCYVFgC4keZumvi9TZArb45DFgQTzh
xUdrBpcALUpuIN2QDea3zc7szGQj/Nbcj4qZlW6m7zYqKUx4+XlSOYFtrBWwTVCgGrSwNkFuFb14
wJj3vq7MZAuO4zdI+n98Klp/ccfyXfikC/Ictizb/PlLqcyGdKW5rA5GQaMwobAO0mGkgtdyfmf8
MeSE2RlkCO9SYuoKor4jx9cob1hjPHkskJDIVCy9okUym0apPSb6i8waEXo6PTUBtpdodHHfR/Yl
YTKItIonUQOKPsTt9UQe89vS65vUTR+UoDr0W37hTlP7PNGfZgqxTRMlzV4UEpuivI9tZzWQcX1a
DQ++3pkkixASYMuo8PemvTz5TTf95tv9jx/SX9wknBnr/5if0r398hnJuAWJIqfqIL0qpMRRG1fy
41hM+KIm/odvhBzCf79PPE5hHmsGCOh/uydbS8yMgcbq0JFisTUc6CZelJ0iTirf4PsBBc7Cd6ZB
mkweU1lGBRgXZyenABzryMGKRQIfFpqW3eiCEGOVz1Wz97XPjWuEFjeFDwMi8an2VVWLUDT9W5kt
96pg6OquhzGXWSzy10iuVSqpF9min9uRBDJVmwHl6pacAm838JV+tJdsOEWIVtYM/BVgiFgryBo5
7ZpoHDbFMiRHBd/uowmKKoUJnFSZUzXKx3SgkfSY/AZLS6tnL/KxG2Iygi0ShcWEx8e4bbUUmBbV
msHmLV0HzuvfaCX/BFAwF2QzTjvD6vrtehv1yr7Urnx0WLkAa8s17idYpUVLtURUxRn6rxciqem3
HXOjNrO5xYaovfZt9QZyOZQjHzAe8HMq6Fl8RSluFdZLlkz3EvMJGR/2ATbyifS301K2q5iAG3gY
ihNN8b6MOFnSeOLC5O5w5HDGhfQl6WV1yg37MpGQLcxuDtbGCL1pupekll15VPaETryYXfpP57Hz
F7c3tQ7xRlCtuKL0X85JSAtZa1rMMnt3fgMaco+J70J9wYdnc1uv9ddHq10PxJQMPpXexz1fJcNu
lr3ctBkvY6AV5kOVbX04Ot7UCRdkYNwGBKdWW1+N86Eweo0GLYfZEWMdJC4sfmu1wj83HfF1C7TN
LeIeH9ZGQZXvsinQeMZkw/w0CcotvRMNVo10DFQ85CyLqaxjGkPOw0SAAMG4ui4zx8dh4gkKZue+
AyAEAKQ4T+N4b9kg0urCUVusaSJs5XIFq/IRYyWkZENb2FjPb06/NLuuGe5dugNAQs5l4hChyRwf
BcaatZof3B/n6/8mbP8wYSMT16CW+M/OrYd6hKgVvOKcTquftmG/v/THjM37l80fxdzNgQf3Yb34
fcTmiX+h7qGg+MOU8cOrYf8LkBaIK3icjoXHgKv+9xmbwNzFWWdzS/ywhP0XuzCyvn55VoMY0G3c
Y/yZDv3+r53MSNhT1WVpfVDYB+TWJ+aUKUSVQpokuWHnVDzIsV1m3p2fCiiSZlqlF6bjdTgVieeF
QLMMLtRUPKPinm9rx6wept6JvsDCBwm6CCSErlzsQ9MJJKqkv9pX6dqekeSFbkAq5CThoCnS+xKc
JeKaOp/cIqbi3EaWLU7j0hbttvVTfI1Ef1PlMVhGw7Jg7njvS9TIG9efrV2u9dZNgnX0Nk8iK9Bq
5gFbvdXECX0ARmZ8MVUWaiIxk+OkevAm9eycTRI9Gx5nyAzGUgg2TZ448tTUq60q2umzzsrZD2Fh
Dt95FwP3u1XhyY/GimGe17Tk3LioDrcfRF3szk6HdWKo823KuuyQ6hSuW7Ho5XvKF34A4QpNvLJl
DHU0jb4tjs0TODdk/9wsGvaNiJ/sGX9W/1xJPb/3cx3ADqTzGzlG1WODnf9m6MkUv1Ktim3EsEy3
NlHCZoTlWmFEaDpaFgxL0nh3Kufnajk8eE4ZUVRu0M/AfrEy5d4t6dJ8MWLPu40KKpkNz3LdCCPw
a8iZClnvXK8kIQ0vgGrK5iY3Wv/WJqIaH4zl24eez283YWa+Zr+BqjNJ5HUyIhFVH6RYMszrB8No
vTuNPoIuJeEkmj2bYGTOJM4Y4zGC1XBM8QyctCK1jiAQ6pu8ayftYWE3s3XczEDgwF6qLaDucjab
dn9YtHLgdzbETlRp+1Vyfn3uMLU+s8tFCOMz+nJWHyt+Q630thDxCM1iseHfKeQ8EFUs/4EzKr5T
YgFn4CucGIFN/CcDvL6nZkZQEQ6JJl+9BapU3hv+ddMIN96Ns476RWVVeojcdliOsMJpptJo1K7N
SJtkIHHrb4WuvCqBzeNnwzGx2RptYtmM99j5bYTcRKHeNp5miI3BZOhTxSb4nCCQlnGAiguhtJeh
hkWOb3SL2MeEkwJG07JMNvNG44OAxGuntfcZuOhKcPDx/pASKiK+nxXMgGdzbOUWep+3iztjwekP
EVkbToMDWepYgI1In82m94cThjAbRxCXz4sbxdoD7gFGZHl0dssSxfA09M9JW14iX8TXBRWF/5ah
xZvMjSnK2tJOcam7Veiahf7JFlAL0gWyt47eYxt1c77THf7vIPTi2C6xfEoRv4ean9RnoBTttucM
y0YDd0+x9mkgCwwPsEIin9idxgB+nER7rGIRoS0GYsP6WZQN2AujCdMM8LeTK/xVA4j/b3bFz3CY
9VSNa6TNGM6DUlcaSPRjPTJTnf3qvl686wGvBPwQo0eDX6uTTLNx66q0YLSMTAx//Z5pnPYNINy2
BecUtNGyJyEjg2dlwo5tBveCGedhWHqij2O5UhXsJ6NbM+tGJIzLPNY3YH/vDSFMVgK0wlAvADJb
YNamAqeB1ziomas+YL9bXelV03/PZveiL2b0mShOCTyoLR4qh+I2m+oe9xPAaqvop1tjjMSurVH/
yBTAmeUsl7T15n1hsd9Okr7YzQYuIVLZ+sBgHgBxvKubMPeWz3WEdQTj6M3SdOdB5lHQIAgPSN3t
9m2EYjRzNP2Mrl/eOD0eKIReXzGNt3vkdt42jeZoB1aSfXlk90FN+NphqSlmimnSThmm3au5mCfo
pvGX1bcfxgadT+7OVWj6Y01hUnfPJBfLg17GwyfmPQMXhtT2cafex84p9nOSzduhk8bjZJjRF5Hb
WrmBTGYdASCU5DfQZRxHh24BFKFlX1WAjXdQs9mrNnjP9g2Y25MXMW9QmubejU3iw3/iaMpK0OaD
bSE2n5zFvcx9W9EbYgvKtl6bDsjJ2+jJb+GcC7uMAPuNCSnXXvu1qvOa3kSl+UvjFiXOfZrpKDW9
XdkP/r5epuZzIyP9GSOAth2mERODrJYLTroacpYEuCpK707wL869o7QbWuknlxACPTD8Fm9ADwiB
ZaihNhgZcuNkqyy+9vPS85mR2W1QDOnoBrlJ1QjEG2eYJfGG2PClg8k0xEVgb0FOkihUhQgb9y4K
wb3buPkJowT8iwbzQ4tv8gm4cI/Bra/aMB1x++iiW4Fu9R3Dfv0isrwKvYFPeiy4DCxiFpXZB2pd
2pig7sAnWxrKOjf7LtiifR/LjjlcIkpc3UMkbc5BZz5VjElEkM2tHa4ysU91Mk73CUasb4qQqW3j
t951G5lfNH98T9MqfkEVRJLvXOlBb9mfKsvWztxTZMeJHPw9sYvcSm30Ke6sPQPWL5Ezvnlma++X
2ho2S4RpEw3oyzzNfjgUsOBct3ttS+KSJ6EfSZeEq2OYzfc4cqdNnmkwmD2RHSaYyXVgLmAuFycy
bgkS6bZ5L/O7ynAuVQzPgxHfuC0HE7+GiS4YglvSyWbbG+VyWRGjUEX7b2OWPLKGoJSivmAaQ7ae
mIqDa5DBznYRd46/Plxzu12LmdYLBrq6jeKU2yZVlL6aef6omQ77M9nqXxLTTQ916rnfwebfj5Px
Too5UMaU1A3N/VwVTO1bG4S6ynX35M/Rct3oI4ZLQRh4TC/ALv4kqzzi2dk0W4K2EDTGkzhkai6P
YmqOJAeuaD/jUyrn/Lrgmse2AeHMwBq/N7MBVo+e7bupaE71oB7+P3vnsRw5kmbrV7l29yhzaGBx
N0BoMqiTTOYGxlTQDod24OnnQ1Z1T9X0nenpfe/KKo0qIuD+i3O+46xZfzDXTLLZ3JLci/X7AJIg
HuyxeWZsD4AbUwZQztpemKfICcsX2YOL7OuDHuGfd0bwLUmtzyYqlHfRuvY92u0Kc52LF2ngc+V+
q63aRMg9smjLcnWjJDs5sNA//HomxNL8ztSzzfCyVio2ZT+fAoUWqXeUs8+BuUN19bIjFYv/BIc8
3cHRKA7IKvW9Jf3koUuaS8eb3lTdMcdhli29E7s+GLiCDR6KXw090Cxg5Kviky6Vx1YVDzxgNRep
kyWbpzEjcaKgFfQnj7+OQBeHK/3WaHtvRyrl61Dkx63YbE15D38kjZ053EAGP9EFg3GrcdEa4j6Z
+/u1QvyRDQhwgQYWqv7CXhSOXK9f5n58UOaA5U9eqdbgQ3ork7Yh0fGyjJDQJximS8Fjjv03AwaE
4pVVle+4twCVgluvbiWhPl1kLT6ZcYy51gerk+W/0wf/V6y3rXuj3fpnjd8/opT/+MI/2j5QyigX
TM9lc+K6+Lr5nn+zlggHdIdDXBVjS9/Cj/+fIkh4yTDdwoBtC2sBn2nI37QV1m8kibFF82xCCLdO
8l/SQG74uj/PsgllQlEp4IR4iDE3Kshfx6ah6BkbJa1xA9hnesQEQ+SH07nnulrLva/GfifWyXqy
Kw+oTQNBzOTQPQdmQFVTNvPLQt+G3hoBstkOAeMIMbkRzGEZy8YsYt+T2b4c0qeUJYHD8hkt9kYU
c+TrPJYPs8V5Xs4pPjo8apHpoatDQszQrN6C2p0SAXPrVNbzIOF6KGUR9sc8686Zp/4FRwg1tk/K
6YL9/rswsFwE9if2UD9thS2e9OjHJQTOUTSee2xn15GRXYz1Uw6F6QLDt71ZfKAEkW7r8oghDLFY
JfXtQqbzuU41inGgZhcHNeBh6EdODzKkPfIwhLjrPMPS0ewsyW7S9EaRr1tWjIuQy2kVndgDb6PM
clv3VnTBCSn7kxKmD50tNK91ad7IRNeMIbFMpwEa6jIrF7zNQXIYhKpjPjDNPpAmySNpiXSECh97
cRfzZtU3K7k2B981fGw3eJaThp5udHx10FaKAlRL28Tw3NPZlNX63Lrc/POSvdK2Wp/Qq3hn7fjT
uzQbK8qAbWEEtJvkTnWLJfZVk+UdglYjM8XNJBN7fZYd7tNxn89NYHwrK20yDYciZ6zIAvuCslw2
/RoLt3FoRpwBOz4Yh+WJMKzgLkxD8mhnVAqapn1qmSwioT0x6NNHv5YUYxg6/Htdw2EzWG5xi+RG
nQ1RsPb2hOYgd2/9siPH1aQU2xvlShcLwZgDFk96eWcsOGQMhqia+NYjqv21667NH+jL8ncSJt+o
h4upfqdk+okcPJiZGz+zWznySy7rJt/Qmh2FajE/wn2rj7JtAj+9xxtPFNEBMp4Y16ND/bzVjLR8
3ieQNL14NqYFl9PeCIuqBjOTIq61DoLFEU0F6cgNpJnrnMtFtQegp3KMzUqYbwRY68cZ125NELBs
sXnmJnEMMFrw5JhkEsTG2KPHyJfJeM1KNy+xHfjUf4RM6CtBy/i5ZdjSp6QtZgXQEE8SZ6gif8Vt
AbGVKntNXFnWd0axWGZcY1e4X6fZIwfKIPg4HnHTSLjOUqItNrNTI8FLY/m30xjK7vLcMUtICY7o
9FuZVyH289azv7SZY+2qtE7vW8I37r02Dyh9FRPPDHrDkV8A14Xo3X2dtsgKZQWtbMG84xEE+Ipx
hObMb82toVkK5MQIxIn5LorknAVeQvqQbzA67wcfg9Cg3R1Z6sMKG1D6vOXwmLc11bBE5pRZ+0z0
A7WSLx/aQKVHv3WizJzc+7CY0pekYt6qaCpdSuB0ff91yv97EvrPJqE26/D/6UJ8wRXwo+9//Piz
0BA81PZVf9yGgfmbB0Id1eDvl9ofN2EofuNMsiG74BZA27A5Bf42AvV+Q2AoEOdbaDl+3Xd/uwpt
5zcuyM1+GbJc2i7Kf+UqdPx/WMWDq+EWdATreHJ5/+sq3l86klJmV56NiZGPOk6MRIppnxjzTDR8
zeCBC8q35tvBWpa47qEkmL22jz5txqmtnZxVRAKGgzmuede3jvdCxV7uPYaIuzT1ejeeO+w9qac/
c161OMpt1/4IU2meLSUqgFYuc64sddjM+t9HqYbzZPfpEf5iuiMGoI1N/Mcw1uGeLJMQzDvxeUNX
0f3BZUwTV1CaOBjxWzkQRD5k19fnkYPxIHLvMPaAQsWANmgq8vTe7IhxkUtevcAFgGlAn4eUG5Fu
8zkzx/ZoQUe89FO1TS8sz/uK/0xlka7RTWLtSdNrA8TzU1kMwa1mq/Y0zp21k5X/iO06vAKrandB
naZfyHGB60Bbd1r9ccKQTfORFKI7dpzEpzknSQvp1GOjGngj8DgPnsFNuNIG3Us/vKSy3LmNLh8M
+ntudIu9zjIHeyiqTTSWrfvcwZvdz60jYoTSzm1Y6P489qtxSoyV2WGZGRcWwgq2SYulDocVOBPR
XFsvwz7RBgbW0hnBhEn61d6CZnSbJrV7dJRZH6zWdvmu/fqoJqu/+rlBjzVaL56u9beF8fO+nyGB
JH7ZP64lDcq8eNXBI5pzBxIE+ERe+F9H6nklly+izvujqWhDx4kMBoq/5HUK8ubAAeh9x8tYLqzL
reKaovZnc6R0hmViqPdBDcU7Z8Z+ol3tDiR64TgQmEQI1bW26oHYr6ULvwadnH+mTDkP6wa+Z3ZV
yz3PDeZgNmDAwwv1Cet78QnX4vJhoHtBYbK64mo05XQTGBvjGstvFuVhpvYqZZYMhzrYZcxAL4nw
5L1tTs2VaJdPmTbYZ6M4ak/B2JTwy1rjEuBhvbfqjiylFsIbClsH+1bOCNY/jQbh1oeOMIgpCrm4
YTSMer4w1zgU0sINturOPmSOCkC1AddkFGfVp2UMGDqtoZtGbB+EjCsLXL8Ns8kiDSkFTMMWOdLW
Wj8AmjyFSPKjbJTttfOsj6Zq/eS2tSud3cCdePPyzn+qgSEAQTWNc5+PTmIdK8D+uDqncJbhN+L+
WoTFybJyWer+oR+toP6GfImW25Go8YJh/OSC8SGKfswYFIClf3GSnn1iN5r7tJLhZW58C1pq0lfL
TmWeelLaqAvyn5YpPSmHYuaTVc1OqXcubpWBADHPb0gd7N2gN3A6F5ag6vB43etJrYfEK9glQKZI
BCn37TzEAl75Xbv4tf9GnWG13b53F/NRUkom34sEiaML9CPihONGdAykRHTtfHJd6E3kaaAyILCz
jPW0BS+JISy++kayGKdATkBL3aaajagJxrHcTb+iLrfW2LnOab1FDpLCWkIc5JMioH0Cah/EFMl2
1g9gdZ3vTN+H8sgUHU8msh9Gw5ORUz3AW0nCvXRLfiQ4hw6/sRbmi40RvGa8XrHAF7PKj5x9eA6H
EutpZIU9Pso6BefPQjaUzT0hdVbjkXDbZvZwU8KKErummZBo+tpPiUuX3r2ePH1wHRYrQlRTEXUu
rzGD9GR5IdHZuqFu77uoBIADyqYOZ4SdtneVodOeyzzkuddusnNhlAxol2z/OJpWdpT+FBybrCsf
pFXdrgCg/Kgz3eZWZ252kyjlg+scnIxFVeBvXkuQLrtRjtg+C8+6BH53xA9RbM8qZaaZevm+Sxvb
OBBVLp79CgeXZ2Ggie3ZNSLPkBLR89g8BZPPLtdj/QQ81GIiZYc34MnsqGo72BbaSZEBMTeL1nUk
pqPu1+Vbu7RfuaO6O7aN3mH2N/MqmNYgskQrntPVTA7ExAafXNI4Hx0MlFwOsjpX5ALfN0NANpqx
iMtELtq3lZYVeZ+563303BydyanmW30ufTPf9ST7vk+wexqyNi11KtxW3/irv16R5gRR2mp09/NS
MN6ymW62DRjWVB8YdjiItAXuq8HOYBIUk+3sC4ZaD4jdcLIhGO8rqT6tfjOcF28aj2Ynya4hTh53
u8kmaO1xK880Kvc+O6hi12kruMltjvgQeMKO/aKMULroZx06bmSZrOZSwj4ecMySyoAfYO8UId4f
/gBQbejdIzhYGUfj6ny27ZY8t8kN1QfJ88OVXsf8wUKhObgD1tzSTMyT17f2m6H5eVbYpDtIlemB
IFi17+RQ3ZVibl9HnsMrc+7uAXBeeIt+VMbM04pbRpP5kUZxuisbd42Jr/dO1Tp9aQMnv13Anbwl
7CvuksQM+Sa9RyVQr7jiApJomtoWd73GUx3nPPkPbuHrIwbL7gP5IBZEr9zZzHQf0X3qOnLqwDvX
zCHx6W/KdXrXrzMc6kjpWhBz0YhzJtI3dB4eEzbG0hVD3I1Ka2OqKLuAupsUPZmIvQP87ermuQAy
229syC4leM+w1c5hSoz0xhw+GdY4BMTWpKzPHGJLQ7AzJP1qj1YSMWnMTB08ENlDCMjqAE1rJErP
TPluYg5WO+Ch7qZh1yA1/LA0wy3tMHaMfFFwEnRgehH1TyyT/Ge7KwJC+IBv5mn20nuLyh//Xd//
b1y/NoOrf1Lf64/+r7X9r6/426TL/s0VPGLARTwf8smfIbWCKt62LJ8amaEWBf6f63sC6vgny8Nl
5CCi/vuoy3J/C7aZWeDQz/4eNfYvSBxM5md/nXUhQnMd3E2QCGkoNmDtX2ddDIiNqW345M+t1b1N
huNHXNPfAm1Vd6tpAJEzTOb0qDmf/Dm49r2aPntT0T6rhggw0fWXEYRH1AbbKdeMxnlJbC85Tk2R
PVB2GB8E/AFA8RrRnpwgwXJBhZb2D9J3F5vDNi8pDQwG+v55NbvAusMDIppPfdVaRPky3GjsIxFW
+BwDhZmwiAV2fE1MSzgNtRMlSVk4h3VNBVsNNXdd+6kK5ID5zpcs/S+E83gW9o0kHPZ+Jpz+kFWO
pS6Dw4PGAkCWmK4pl5aFyQI6OfPiNwvcuSXtKZxWDASwTZxEY4C1/MU94011BRUvatfihRLBGLfE
YsiwO2Khm49CJsH31Cuow1YLJUC777JGTNh/+u1aQ0pQKLboldMfS+R2N4Gw1y2xKeTKLExWODMe
/v4wgcGf9muDrHwXNMWpTpF1a5kP5KhKezgVhg72swjc92VyYUjYaXbK+/w5hQ/PmzUW15aJ/amw
5teigQ1ZwAGNzDokY21OAe63dZq95TqnJFiAxxBQe22c7iYD0fjWp7UkTql/sGsNbkVOIXKQ1Ps2
6GQmS3d+X2GoxKQc4eywz6kuX/VE3NtCltAlCJyvKXE+ezspx+c1GHuqaaM+UsO/okNuIhYO85GY
akCfljzSez5Na/6K4fsnSqLhZu0barEyvaOs8+N6HN6bur/UUyNP5QBTHnrJDlyHFfU4OW8U08ND
hx0pS+smKq3yVQkj342sOfZlPf0Al+Vda29NHuYQFiZkCYNCexOWkoZWsk44OpPDdnilRMcWvpsm
QJkpGDw2F0DFk7HqrsEwW3tIx+IM6TQ/SL260WikdJwb0gew3nSsAZ98DbJWXzQanL1qXYPJ7uIA
FU1/APtv7l1jeGZZpZ9hn1RHZpkc+7nKT7KEUjnmYJMB7lPlSHc8DIybz5wL2aHrrPCQ1i5rmswI
j5M3/2jcsj6j3MCNzNkRoa3MZYwG5mtD0xtPrqz3aQqFjbC4njLQriOGo0vsrgYha2Kq9jiq8yiw
9IvpShF1VflqVMmZhDIy7XtEl+5gvLkLHnS71MUla7HzGbi+ftqj230ZV5+ZI5rUklqdm6wlsQ3x
R3lLzth443kDTzxhQ+3OJlQNQ5qHx2EiDNQlJSwQxAcUE8sccq2Nk1WK8QnJ0Ow/V07JNExYtcSM
g4tLYZc5sOEN9gktP3t7QoC507jhB2Gu6TEvGgt9adqB97AHfhofLDCXyFm/jVVLMnEyTQ/4akwI
Gnws0nACKRNovXxvFYfqPvWd5TIOucSfMi9zeBz4aOnYWDyh45bfdssHmYefZtvOORKVBKGXHsfs
J/O5kGdtDluGdaJV8x363v69p7JG/JE5GfkvUy1uMhnWeBRh9mStYR3JVOcvK5E4LoV39LOGU0Kj
pm0ES3KXZTjOgHXL/mztPSTK6siCMI+sYP2syc159XOl76rC+OCRerPWXBBVXzbEByJdMVrnrhBW
uesqq7iRRv496YNul1sqf627AhgiGSz51WLKDGBhXO3dSmLhA4qtT0AtS6BsoY2Kx6maixnCIfbt
6XZCNPaE9dR4Lp3e/7CIkmapERJCW4ddgbEx4zGGP2rtk0bqAyoHcfUAPJFNOCBzGIYBlk7W4NnK
yVMxxMJQg6cW/4r3WK+TfUha0pVR7GSEWU8kfaEozZf+NJtAbaJko8S1wRpEWGjkIxz+dzmiygVb
Hn7rrP7Rpwia4UkQs2IHw2dv2Vh0gnm6ZU9ngDQBMGCEJnRXasCRQX54YQzGDbb/7BBs9DspVmIw
G9KlF1KNgeiZnAfBcpfPQXm/GmK6LnkIWWsZCVKX2op0zxR68q1xDwuP9MHQ0RRoVhBTmo+RMrvj
YqSYCuzhGo6cWhgRFpyV7P7FoOUZyI0beTP8rtScn8aAQLkyQAPXbOhA/rbw1Gp9NJY2PHdiSpCS
aIZYXlh/WzYMoSDLIx43NCFlOQ7/X7xCHFD9C8hnEhwDJNMsg8JdP7RnEBUgmg31U7f+pzr3m/2K
7+UgekVe3hKuJMewQsmkJpQMg+LFKNvvCD+u7FdHeLUVkTDzJrOwfHmPC0MAJ+WNlWIpDvOGYFzR
XZ4MFyxjq4jRAfecx0HKeA1g0MLkiSwvqy4571rvy7rhHSVVPu3L8MVqyvLGVQkYg4UlVmITNaGY
st/yGeiPkLWyeC7Ln6RFhAet1i+p4ruWv4iSsJOSa9KYCeKhgqO/DNOvUONnkhPpJZLSSuJsg1LO
TjBxuYMOgfBDVIX7E4nFD2fIq0PlUjBM2nmru5H4nbJvX6uAb7V2DlFnox5+dqODrL3HaexwiIJ3
g5DZuFXxGFqNOotf7MwSh+8MUnOsE3DxE08Xp9T0FiwNF8ZgP+e5B1M5ZaBfaGzEo5dXX62N11lv
5M6ReNRDMflLDFdRHpCQ17eYEcj0XFYnnuzla58lC6J/z4/mkN9hzspyL1CJvPbCWh9KG14at2mI
7yjzRy15wRS//jSUxTuPfTmgYpLBS+u7fK0t2FeMydmr9Bwj1U4fR0LWHtwhKd5JbHx2PW+O4dfe
OVbTn+wxSImDywqFdS7hhUbM6HxCljfH2mWZvoCHc9bEs+io/JR3eoKev25c1tybUHymjYXaTEs0
ZbzPkQXT/34yV+hd0CxOvnaDL3PZi/cRHmyhkuF+FbZR7Kcpm06FGmyCvr0J1WehJSerYiFKhiku
2YldJkp2PhGifmqD0H3COdiLmFPToMSwlBW7hHH+7Ds7oIPui5T3FENiEy1+5x2VMl0eGYnm9ISq
Yx1jOLjeDqTTM07nMWa3dku6RPG5J7/3q0zbSzVnCYy4hozENrW/E2TnojvLrW8gjA2SPOEllpEB
teas5o0XnJcZZBjtLvqb2MjC6hdjeIY2nHB4XoF1VMdQeg/w2G8SNBE+aeZWo0/I1gs+zt7kf09S
v44zq/eJPHfzN6Jlnas55u4OCHe1d1nl4adRK+qlFhFlM9jNU2c7hB8svBR3urQCxIVJAxp7UCPw
zy4gRpRBHbTmjducml1xSHx4ztuIaq/4vZiPeMaxYHxSH/G+5G+cZuUbV9z4uZq1eGZ+nZxE4edn
4c5UvEnrXVo5MRPOcdIRvofl/zW1yDe9mYyFud6adRcsVzwQmSChRbEcuzCDm+Ks1mYZaUcqctTh
zLAH6x4HIGlvIljH7y42klPQN3BQimK4d9Ks+9TYblfy/DXFsLPhopS1C/aD6grvTzfUTUH70M/A
sDlhY/qkMdytobJxDFVqmfZ5wfNww1akZka8scLnJFi9z2m5ccSnQHOzBqMT8iB20MaXzmMh7JSO
x2SozN4nfwZW1Pjjc7XKhRlPJo0r2+/8nfG3PLAdqDeGnq6QuEqxI3MqDSLHKY0g6jdkukh08shQ
hn1zzfEKo+GZ5DLyKGU7fpUbfN3IfMzew5redL/w7L9I7UM91S84M7CPCd86zhvSvdjg7kvNLLRJ
2ypWxlqhOe6Ue5g3KDzq767buStb7gJnxn4qzPG2lusYOVYhT6Ov0wdL2cnyFPhF19zrNGN5GKZa
tB6JJCydKBZqNIHLFn0zWihfv1Nu5ijTotJvZ+e5GVLQixxjC0vfrod5k9VhNBekXd1U2jFi9tzm
Hli/7HZ2n3GOYrjVlE6efRoyz32zyPnBFD6nyj+BFlLm19ALkp1gZJbe5tOUt4iORVfsifia4QuO
Ey5XFrGcPkPX3E6DQYAJ/Jkn3Q70AuRYHVcX8OU0LCT3zp06d3wmd+Ng57eqcPM4sUb/Zw057puQ
m0K0y9FnHtnOvPRlmOTvpolavya9Clmdt3lE1xVpHlDFH6ye05M31pTgJhLnuGUs/gpoRuxzj9N5
D+epPPRMIz8EhfXNzMg3quiPG1+JY8O3vaxWOzwqlavPmXbqp3k23cuq8jm2wDXu3MyEImNmtb1P
S+xaYH+oDtotQaoETNgBL7xznJYxPr/jp54qco9UN4wJYSr2KXcdxTnMdG11w36s/DPixmnX0Lg/
IQYID10prA8XFN6pLjsVJSUnU4WUI/IBUR3z1J52XeNudMDa4+3ts/lrFRI3ANf83tZZ+B1A6v3E
b8K2X1joYK3l1JoVscTjmN5i8A80e2lnU0977UGF2t23aHAx4q9bEHKRZ/s5qTMC17jGE2KQvyBS
UVET+vXJyBMb3jI3iZw9cpAJR+xjQxgLfGTbPjSJwxQr9I37wV6XJzVnpxFt/lWXiEddCKAdFbhR
7asly34o5TnXJMlzDto2Rb9NBl3Zc/CPqkDKm1Xx2lWwuFHUcOnMyyOT+PBu0impUWj7TqWXu3tk
2RyYfQOkR5gPQUAWVd/3uonHjdzuY4OQDVm3FHZtcFdCB4yZDZZ7s0qcqADl9P5r0m3PvUStn2f1
u6H6d/j7bFkYiDuuNkXUqOm70FysAXyT81ITl2bSeG5D1GHElgdxaAEGFQECIyZxrT7c0M72E+9W
ZEn9WQU0EWmwW9aWbLjqc18gH2LNI5r9OEgi6LRt74HFkT2bh8kFrgYbCMIWojoVXkzNbIrYkLqo
9h0M+jGFgXoLJl3yaen9oylKP7Y6ZqtVmpYPzB+E2I2OHoP9pMR01w/U24VgndRu4x8d9Ooctm21
J8JsPWF2ET9mSYtWDMV0qp1h3M1Gaz0WA3qSUnXfhkwPF78mwUwEpX9BwrXLskUhZfDIJ8J5esEN
MLEbzNJDmrdf6dcoxRaJPc5Zi/osRzWVcYpL/g01LTmH03y1sce8Ukq95Ebbxn43+DeZhxen1SuF
Y5ORELluutLR6HZyGr+EZgsYZrGjrLBepcGRV0wAJZXXBfHs2sEbJMo6Yq6No0MEE2uNxH1Zm9LF
1lFaN3LJbnNDvg/K7wl1z547D5IvJ+lhXqiOZKpI+Wusd4b1FWJS6XzvgeETIYT/Xxn1qybQ9KdS
NXKgVAYe8QYEDcSGViPyZK9+CpYBDVeTFuZuUEHyZRIjEl89TaA1wmV+aokTQCMeJMiXGUDMB7fH
cUzxjz7UqTTs8tEOnyQHFgZa22X/UxAnMaKPzQaDJ6Hee6LsLug+o3nNU02rk+x4q5R/LTFF3k8e
8+vIhHdFmmFJDr1nkV2xnwKcfvtRZOrOggx45j/4p1IGP63UenKKhsMjyLMLiaLlZXG5XE17/paU
itV4aZTpXnubBNcviA+v9GXN/ZJH3XztuJLiyiRNZLS2WaCSaDhDQtx900PZ7A5UeSh8NoOvE6e9
xZHg6W6aTzBdT/7UfiH3+gIQgHl8rpAyp8Y1CTEbrBUsN9j8F2WSojPbpb/3S6+6KJfxH8D0PpaU
+gDo8YknTnvbpdNjWPTf2TrziU8WF5eLfGwdIOgMZvyzdEiW8I0hO9K7MEBca+MeMd4bcqz+ZkgM
8q87Dzd/ZctjJlS6z5vaPOmC5qxzx/4scbcyuRgaBvnud5Tw4eNoCMZwCRT5rFm+lCkmC2tY7AMr
T9BMg/01cSfzeQ7ccudpjCaQH5r5h9v70zNnH8R3zyXDUbTjpWsZRsFBRu9gONeqCwzmLHkOFlGU
5Sn05NUZKvC7q+2AQsnnEBMHhAT0tSIrL+RVorFfm0OZL+qjN5vmfUMvEDgPO/EbMkMW8uZSGh8N
AON7X1TGqeDC6whC8fUpKIsOyRktEqqTItsRNYmWGM61XS/LV+osHq1U1R85UuL7ZrYT6KbZ+M3I
vZ94bRYVhZnRX1rG0I+rRgLo5v4sY5WLmb27Oz5YVuasdx0gBRXNft0cmYLWKCQG9ilkbniHDULp
423J9U5hsmODDheShBLkkY5IjDsTGztERS6DU55ML0vqfqJCcJ/bJIVQ2y7DiecA51TXI0sPg9c5
IESaLFbrORWoqfuMIDOzTz5qDfqnqJMAOp+FpKCiSTduZoui5pYFXB+1w5TdUEMM+kDIegNfKvfG
iyM5fyJvADt5TBMc5AyJ4ATPzMKoaWpYfpLmhvJubhQB4F7TvXbKaW/QNgbkdzR+SMwizMzjogog
PpwL73CDQ/sO8bV4AR9terugHde3Ef5BxGOcMDRiQM0STy791R7VeOvz6WlZhM8kM7QyJx9BqW7H
hQVVthtTKiYgf5FpDUD4umGrhDhl3uvS87/ACgx4tMdiOKkAWjkJ4y1Fa+AQZZAa1QRLxNbP7qgG
hk8CaTiaDhHwThjha/XLaZQRl7KTaYJUj5na8rSUEA9imwdtv7ZbCIbf03hriyuaErRWu8lWP0Eb
yj0rgsfFoKxfe09cVOkNO1eNxJfnSfuo08l6Kzb96Q4bKSjFzjUf+rYBa43/MHjq3Y77lLOseajI
KHoznHy82LDXx6hmu3btFmN4K5Uh7kQ9L0dLAQKgee3tR5QF/lPIjh9hPvzGG8PIrK9LlZeXoQ8m
oIabJ11bI08pMW8dkEY3IHsh6DOcWS4Kz9ifgWHtRra5fWR32O3vmPBvwPOwsytoN9biAuScXd7p
uoAv3KXFTpf9w5r27AdZ0VnQ1xv9IlY/vRRoIGLUisvPCtLve2L2FGqrx/qQSUcHWgGHZ5QWefs2
em5zmA1u3bRxuMz4SO1odvK9SPviqAyMVhGj0Zsu0f55msWwVyxBb5UJvJbK3hS3DYSBT+TtDkSK
6rzeYelzYq9zEo6TwXhUZavuIFsEp5oEsX0/reoI7suJbVXyKTG6ebgGgFg+M701uMRm9SKo7267
pp0P40D1zzjTZ0pjZE94mKY4CFPYy+wy4lT19XUcwm/GZKIMMWsyhzJ32BmwFq8QPdzYLuBg5K19
bjIzeACbps/z4k4Xz/AhUJAIRVIVXcdIxRgzb+4uPZHDV2JDytvAC78S8GfupwS6UBEsH+lSw3t2
gO4nQcFY0UxqZmXd8kpaVnLwgffvlcUC2+CDfswm1ccTct9z2TfMbJpSLlYUBusus7W5QxiE4NKF
p2CItXvPIZ3EtArrCRA9UBDfxLcQ+A1zYDOsqp10ral60i6ozSXjsinczTmF0Ke8NXyUxy7rG2as
KJ6XJjuY+NGisFnv3HLl/4vksbf1cj8PkjnwVL6GvfXZTjmsEUzsc/gNOyYlH6FEMhKmLDxmsJy7
3qjETkJ8OVhm6Zxmp4amWjytAbGyjeMCToVlQlDzek86EWqJon1TfVs8gJVFFWadKKyG40R28xdD
swaxCC2xBUhfsVIhazgNRzVxUeNd+qjDon2cx/YRe2m1RKIJuNrNrRHMKuMeUeIC8hYncQsn+xa4
1XfH8MfrL9h7x/kP82uFpODAPhtmzCVprW8npTR0vPbf0ar/O58GmRgsev97n8brjw727vCXxfXv
X/PH4hrEJWJQsFa8yb/TqP9u0fBtIhYdX8Aa/t1swU/6G//SJV3VtSx2oX+Xs/6nR8MHQMbohTxF
U7iO/y8JU/+6tSbZFY1I6PMbopndduR/3VoHJikWuH0hCwb003WWBREYCTv602vy8Duz7P9QJj80
uRz6//d/2cD/2QcCxtMEeOWRcQIZhldi+/c/kcySkQRsG5nZaSwkYdWTCGlgwfZ/kcOkH2rPJ3yb
GPhu16yD+l1R/d9iabb36x9+OHlpoHt42Xxe7L/+8MyrKm2XQXhKnbDB29D1M3M9uAE1IrknLpjm
IyXklRwNyX4FmVP+QxuI16lyPHtX4XGOlhFL1kBZH9ut0V7GEn1QHxRbjVMl7LWXDhcfR8IVHWzy
VHvVvPufX8D/7x/hIyowN0YJH6T/8gqKzlGkMa4sOVbiWPV/sHdmy3Ebadq+lYk5hwMJJLaDOam9
yBLXIiXqBEGLEvYtsSaufh6U7H8s2i39fd7REW5ZFoUCKpH5Le/3vBIv9sIomG73Rv3U2CaGgCLz
2IMLSIHCnOoXAlcfdWu0eIokwUIEsKa7iioNieDMgFlAm21A0nvEaSSjpTOKc5H0AE3A7qMXKBj7
/Pk9IPf42/dAYSPAJsOHGfKeetZKu++1NwYHSrHjRsHXJlNTmuHS9NvPr/Q3EhHLjXqzjbrD8Z2/
aa3JBNqlsREcBjsyIdk1fHmu31ypzm7uTQc8wM+vt6ygH0B9XC8wPVTkLHEaUssK/MvytkRblvjD
cb0oUffsKIjmekzkf36Vf3h+qMel7ZD0wuyQ7yBkgWK7QD/pH5Q1JoxLpd9qO0gOWeuff36hRTDz
/n4cizkPjxcPpc37TSGN0NmMrMGDNZOXz17LSETAmtGaL04X2EtQgwO1jklm9oBwwj/VOQIxCQHi
AYksXBnHae6VdpmhdgfGB2vB5BajtzZ1j7wOr6occ/CEtfk0RNiSroFXSJSW6TirlYy4yFRLC9Y3
llmt5bYfR3dODj+/Sdt/N5wG6tBkMo3HaXnENIHzbjhtsZwHu6qmw4jrGiWfis5yhJ8epapsV2Ut
SaNdfZtyZSyaTUaRtJce8iLtdwM90R0lGnVTZwm97a4Ep+OW5keBM9GNw+zmZ28sio+077ZKjNaj
gPuJ1GzMqVESfJ0tMwt28ZyUG9Kg6SmOSuTtUaL3GLwKhkw+s51lB7dznNuot2ApJRVW1ohbDkUd
Eu8i8jxgv6LXlZMU2xhJ0r61K/+sQic9pgZ1g1I0DDrRAf8SM+XHPEEGbK1GoFHnYmxWw+zJE7z0
HNcxDOrqwSJ0lXj+uEzC5+tO4GCa4Tf73GEalAMqWpHYG7dIF/Wb1nrBWMQdNdjO3juhJHJP3djC
vrEGwO7N8t6JbfPMfF/x0Yvi7Fst4gqlkRkw2hAoxpRXY4VAvCrj6ZPno8L3CksdnCDIj6lOp9Pc
BO6tmwOh6vykDFZ2kYy3lOwYnU9z59Vs2i1OOxgkhNlXg67BB3RPxgYlEsNSnrrCyptP7YoGXX6w
IFvLmyqsw5U1gRknqqc6ZHgl+pH0tDxPRnlTppsACALVxD5SFPaLE+NoAF4V96SsKE44yugnI886
4tLCnG9Eb6Ad1MuwkMn5Qqo72nvYtP6xx8HlVeE2epfynGhb4+kNsbm1z5ncYRDMihgYb+4b236t
4FrtstgyNjAN/WK1RHZPJKI9UTNOdEM4MZY8VdFh1P0uju17Kyz6LXvbcGQwXa+0MXX+SsXWG8LF
AhCsqO+1yj8koRPDQR5QWUc5BksUslcoO/u1MkkNLVxxzEhShQ2m6BFtzQd4GJ9jQCCHuOvMh1DM
epsq9yPVW2QLZUm1pk3XRuoGz50T+jtbKfrNUz/iHpwFq2qYp3Vh2tGqTxuDaSpkXR5ZC1sUTkKi
uFj4VQswIwr2lFdLgPd+SLk31nyYKdzh9yXXIIGqCqekZmBxIWfZcAxluyTyXYBqY4IaKXKtvWpb
49oBEHHqDFSrio7ha0pWdd8nrcfYmka0DjEwrW9negNsU61gDlMLeaRZnx+EnZgHr+J1cQ1Eqkzn
NdTt+q2FfyzN4BjYbReHazTM5Rc1yOhTGor+zfVa/cke1HhVUGY4ZkPQIeSq5UmZRr1vUJSvGcwf
jj26s1tDU7Hvc01zdEXvrxVHMEfe3GxE4xbbwoyATxjz9CQHs9wx3hQfzQxjRaQjEsYBmqrABtMl
3KY8JVS+qRNQZ3BgG5/Sss+Ak7hTcykcbtyq13vDZZKiac1sF6aD/jZ0aqxuTA2kIaQGvZ4HjTqp
QtlSW2C+koiTQ8zhItju6y0VYWvLHasrz2VMdISqsrFiU18Db2g/InmQtxYv6o1OKJxtsrBDn2gi
pvgqUjWC8DFJ29JUfYnpku3cKvGeYzL3U8mI0tkwiS9onsTYsI1EJwMhH2475sqNGGfcYIrQNKte
mAQzpps95JFsPqWpnW0ycx43wJumO8OpIZBkwj6OssmojAX9c9W18F6oHLzNRmwe8lSy9yhusqkJ
v9y8Cq9mhI8Hre36xo7n8MprIcjp0QZ85NqUB1NciRipGLhzbLNvUXiNG6e3rW3TzVi9IV2/nb2a
ejmtL37GCvL2Y0T5cN0rm0+S9YG5H4aOW2LKhXkCpjgxeKMcvGVi2LkVbAz0m0CD1J010/5183Xg
9eEVsYqDr5YbIOXK1dXgsl6FTaWCGHh4TgbFvl5ZzVWKNQ6+yY606DAUzR77aOeaRp7xoLlAvMHm
i/ACQBAfG/Ovz2PoUIOGk9s9mF7NrxCzPSgThI3yYvEJbeM1RMN0T/232repRf5PvGhfO5O5Z56W
oVHV2zeYcVJ7RHt3LDK8FIY8jXeVHcbbqmR8ibwWQWWXAJQfnS0CTCgIJQZ1tB6GvaoHHe95/F72
RUm/iU+qLRo8vzRVdZQ7GN12hTI3ygb5cQroANfsrLpFEulbMr5BwzUV8/FyvP9njvJXc5QOLLe/
REKb1+71v76nujevxdf/+e/nREXQ035kyX3/oT8zVrhw0uW3EDRfjJUIZ/8PJof6Go5bABmOyNom
cvxzlDL4jYQU7bNp2q5L9Ij++Y+M1XZ/428jACOe9C2Lgb5/J2P1xN9GKbk85XL+Sj4F6u0lHP9L
uO0PblVVWKuQs6KBAnlf4SBpBg6vnW5OCfBZRgs+69J3luGGKH5irwOiYdrVdRJH/Y1duQmDSkjo
HC8U4VZBT76LdVQzwFPm56rUBCik5ccm7M4hp/AyQdC8mhTuVLKhGx49Ya9ePludC3yuGDlnBhBv
b05YVtdIXoKT1JPzWppNjjGlRVPRron6Vkv28Ny5lfE1m7zpiQOvmL4yfxp46VWCzdgNBeytAjrq
R1N6bTJo7e/dASQbTE1cESgh9yCqO0sIdunKOBvSYVCO0Y9hW6OgYPwZxUdbLLR5z7KnG6Em1C5Z
7H/Os5zxpJYMlsdSWdYBRHJ0SmtBVzNzKX+bpOfb0B9HZycazPTCNvtdFnN5zYGBa40/y42jZPZJ
pbBWHRFKwjy2xBz92bNlpXqZfWNkS7YLYhKY2x0CTNPbXzBL+NAZL2zbHOEQqJ8Yro6Z1MSEeNXM
Q+M9120ydBTzJ/ztZgVVDlua0Gx2YbCgqIkmO+u2AQvY7AxohWfFOMtrX6MSXZFn1y8ykuBKAiHO
Ew0TnjKbXUQvIBDnIKNUs9IWqW2UdBymeb2IYDo7JxtRVccgLSitRb/U0pKw65KGn0/2SH06Rjm2
NlRTZrsRceG1QBlqry+/zHHewYuKHqi7AvfKn9Nxwc84Nrz7U12Se1vBXMBZ6Gi2ptKncHoxFewG
SUKUx8xJbaLJCZ6RL9pwD7sweCagZEJW+Qt0bZmhOzMtym0U/QD+1KvgA0xdgEth3DmvNdDAdi87
KD4rNbXzdYDGhvssBElCJDIc1IEJtARhPBT0QzK97rI5j69QF/IBRuaqInpagAzwvwzrl5xcBXh6
OOCq7TCnnG78CQT1hjqsa92EQz6Gu7bD2OTY1UNC7RNN0RsQOYa/gF2h4QU+hD8m0Wy+zxEgNWts
kod2WAH+4j/Q/eCvn9zl5n1qC/NqtmBHrNU48TtzQ/FHupQyJqLtgfYFFSBqqcZaGjU3EfaWeecn
g3u6XNH1+mzaDYbLUZwzVrtqhsUNNh2j8HlEsOCvAaIwNCBHa5j3BKry1SQO99fMh1XXrqnqlwaz
0GGFeFYdmP9z5H2U9sE2sxcP0MROgN5ChLLtdWPhcLGK7Jzb0kR+pxgd1Efq5tp4vnxKPyfLP+Ra
oh1nAp0P69Quq8xgKO0mUDnKzjxrGRhr3ZHvGSV9Mz9CSKMIVeXLV2qht+WZpIsArdPB4iDfAvhS
Ff8e6ITBRWr+SIeMiuQ7q7AMA11CMcMbc3YoL23UQRam0LukqfNvqHBYkalrLGtKLCqyyDH8Yl+h
MsR6UhRTD8kvm9aTl3XjpgsITwCFjQ9MSU13Q6rrFzwdIJGYVQ8rL4/LQqwCGdSnzicjqR0fRJhl
NOg8LPARfQE9b60VhHjX9MLrNNDBM18myiKbYOsBVw0AC7lq6xe6ZC2NgtSaHgdW8T5FmbWDbIUD
+xA5xO5d+yU1AIfSque1yIN8evRddIKepVjYlhoVN8MDOLnUCbg7tLE2MyU4ua67UeX2xglKGtQ8
MpQVE6k+KujA+9LUKSUxUVa+vZUh8peV1UKEjKJUHoE78nw1DhvPyvPYQXqmCLlgMd6iOZJbyRw1
2WQHuxwrC9pdBSW4oz0xBFLlfhyvMR2IQHvV5UM+4NAJ+C1PK1yQY+uJFoS3w+tCf5VeYV+FuO8c
0sEXb7njgQOP+snbmWyBp4Y2+FcbP/dz7zj6WBfMHWhKimuYIU9Y7qhncvt2A3SLXnge+ASyAvmg
NRn5SZDM8ntTuTN9YJZlZM5fsa4FKWmPeXuNT5oHyir1mJ+Amm+/6Cyl+T4SOCII9QSJKv47hWM5
G2cclwhy6gj8knD2Tk7UwKBRxVfHCWJwZj4pK4SxBhZbN/k3FKEeRAGiBmsyATcGt+ZWnHK6Ms09
2S/kU5NhgIFZWWTqw4b5n/oDphlMlhh9eFcOit1Ee0xuGHX/QD+NnsyIQ0kXtEwlIHe3T3VGx+Mp
rO3qeYxz9chM813sDM2DthjhHaNWkKUK77H06KTkPVnwbQMwDdPBnKwmis1PkTVO1zL0z3NkuR97
qCr7anJAEjpjWQW8HxA8DmgXlxcfLmIdFOiWrLu2hcbloudztsibzNNYzUiMwqYz79HiVyjHPDA2
qRKgq201IVXqGGfPRxMVI95s4+eQCch8jZLNgRlWIA4/6CbP+7UhZL4lyK7W/mR2Z4txqZfEQlrB
UWhjmJdKWq2kk8fBtVnVI1y6ieP9esz7/qazzM9LD/xDTXWa3vM41e7aK8PuBNUr3QwUJR81fPdr
PaXiPhNu922Qk/qsg6hqXhmIzYd77IzDiDxizo5RniEaaNQnS8/hfRwLhnjAojMqIWggddgl5gBU
GA9WV31rG7dKdcAILJyjkAMXX4G8T6dmoRyGjkavlHTDC4SBcBNh7XoX1IFzS20gonVZxrDmTEaV
bpgCzz6YIcNUGzwAjXvJhOrGk/245XExIS/d6YqmZvmZCjRjOlX9FPa1eZWZ6rnjSNwiP3IWtMKL
sKJjOqbtydCO/DSOdPN457RCzdEKaBq4brcRKZxN8eFD7ykQApR8Ms/Co8CEcrnyqnqSpzHuJHfo
k9/F0s43Uc2MKYefceNKloqZxKdi9HFeycXHkKbyKspdOtwWSTolpEVjQnNS1Cj9Wgu0QzyR1kV2
gOaZPBY/C9rAOFJIUK0rJKH2vR9J985HePtYKYk0VIGk435iTBPnaWd43QDyAtUUyuMn12zoZyr6
kcKe6jXKBGcXdEXxyMAOzgsp4cfOwpEat50cA996mcaiX8wEMwqr+A4/JXuHcZ8+m0oN17q1zY/Y
+7FBQZr7wA40HJKpTdpNVwT3dmcO+7rsY/7VkvU16MXmIXaAQqwh7o1bjPmYcI7HSlz1Mu3vkeaT
yIXukWFz/1RlVHDNNgemj9/vc9zHFEwKqiGO8AkopiF6GpgdQLQwIUVvWvvKrYvpMJnIy2UQ+9As
XL6HDjASQ/sFLigoanuMWXQWO7wJRZet68lpdsgROB1zYPwrxNv5vmZG4Rn9JDT1elKPACe9XTs1
YUqBRcDzS9tk0yxkIZRfK3NS4iFmCqZd4XyKLSojidfYZ0kKNLHuryclUQJY1gQBlf0UOu0U+2uP
/eYtbXr3G6XOEXMv15kPcdDlX2rPaw6BCsJtvoRWMBsVLENN7QhpRbWmQuwCZm5qtJIDYx29338Y
a2FtQp13azBVcEo8z7rO0mK4mVu/tp8437BhKbERGtaYlxZ3aZfY6zZzYAUWU+Q+oDK1Geg2gmVM
ISUsKEf5eyYsM9ohWEKdNpjEggw9Z7cRh2w05NMJyVa7ZTYvmJjH8GmFEwZ8sPC5ZOfVdvQJ7SA6
6tmmeIuD9UuEQe3DHI4prqRRvGuyXp+c1nFumjJuFIWyxsCp3UEWUuXd9SQavffLZLoTTtee47FA
F9Nc1/48bZrAam6Ltmq/uOyW+6Fr1BX0pHCvIv+ZQG3cUZLZDJ6S95SsmJVxhizDzBUnnhwdwozX
WBLMs16NUqFHpVeAqqWw3Pmht8369ykr8ojlY+XMqTKaurKBZ4AHAaORMbHIuM9C1zACOBsG5X2Q
G3Xi9L/TWqcgrUt4HOo7naMw2NyO4eTuQT54DxUYj/oC9CgvcA+7NF+7Mag/TLCuVriqNf0xG1HT
YIilsy1SrhjlC64B5sek4FdqxPi1DO8q1AA7h+FzBTIWZf7HOWakUNrKj7y7yKqbO06/Y1dwgo6/
6Gm870PRg3JcSdLOaKNJnr70df6SGGcESxSeEco5FABJOhKmaKmx5UTufykZ3P26n3u5EB7JnAhI
lqz33UhfEcw3ORdCK4xktvaZEqA6T6zG1yBf28QnzYqqiXgU1MKvOrrLbfy13RbQy7V9cErMbiO7
WsiGf73N2tDCQ1fILEpaW2d3xB0jaRJNKJGrQzUZXNXtPOJBYyyI4H9+6wJa1N+uLi0TFzDh2RAQ
3j3kMXUMoHiqOkBx4m8fxgiCiZc11rlMWzIo+uDc/CA1PoBMX1FrV2W/jC5EXk4LehK/6Na9b3bi
W7nwqYRNf11I+f7zRAymadB86uApJY+jTfnBSWLrPGuvfQuU+GUb930fMjClLXzHQjBggtt474UD
LVTjN9BWhxIcz4kh2vql5TR+zYwOpgrOmF/wrZbyJhr83j4qmuihXrfCiIsPzMrkHHfs5lsK3FLd
FmoQN4XhzvWVssBSDHEXbIesYiXJuQyJ1QsXnWlk2gFVHNnNj5ZrhDjfTZk6JH1PbsHIwmvlDGP3
CEmdke+5E6Du16XLkP7nmSQS2Kk/kaVHoWOT4EUkoBnHxLnwbLrkuW7f2CfKb/48lI92gLZq1TWL
KJ0Odv1iFnKaThEJsbEcmCZZNRXe+xlD5XYXpGSLez+qYKbzB9WtrGrh7lUsMNlohV+9XAoghduI
m/+UN/+/MBKIaXkh/7Ue5+MrBgHAlKvyR0nO5cf+KHCCI/2N98WhaP+dm0rn948Cp7Dkb0thkY3N
Yt3/qcYJfjNNS8rlVWN/xVH+/9U2pYPxBllOQLaKfgas679T2/zx1aIDwJ4GmFCayOCoob7fwOdq
brDO7hnwHXIg2Jyv/b3Cl8hdQW5vP//lwfxyE79cDKumxVcwkC63+061EDnTYvLeyfvYIPUvZWWd
NfTLZ5yLlh10Wf3AIORrMKTqFwfVjzv4H5fGBsT0/YU1+34HT4xMTB3zPvfg5bh0gEXCdtAjbBfC
P3G2kR+CJjAVJbc2xD7+F3v4j1vmcnnPkpSo/YBThMrMuwPEspOopAll3+eFQfHIN4hR1mbXswsl
1XK5aSn3/PxpWz+eG39clKUimQ90OTrePe6yLsM+qgPr3rFKzgpIS0cLpkKzQ+0VPNcdKgqZ2Fy8
Fz27Stz13ZtLbXSfGy7PoaG/tq+p2k2HFgh7uJ1nTlrXtzjn0L6b4nqoQ0btknmh+LcQ5pCXw7iw
f6F1WVQR/3f4fr+NS+Gd9gAQN/lOheKPvk35IrbuqViyVnp8Bad8qcn5LUcbhrXV9ZTRnvv506N5
8PerYsBGA4EXg///8cinkOilk6PEfSoGcWZeCtCRV8bfzHRC9izm6cGRtbhhopqysI6pQv/8+n9/
MT3OPCZTIJuxbt6/K0MQlFmTTeLeNdzpIVleGAYvprto+HNr/5d6tXcBxuUJ24IIi4IFF4Tm+uO9
htrrStPsxb1EtvVAm5wa9JBA02Da227fpkzK18F0l7fTpMpceyMviwGv6Q4PFOMXX/c/3bgNGxOX
Nc+BW/Bu1VrSqILGDGmw0yts1tLDyuWE9t0cVkmZ/Uri9E8vySJ45L3kfx4xxo/3LurUTAx7sO5V
i2ab8SHqxJfKbe+Z1TUoBgp3AzXSpklY5UE+Ez0MyBhAmeNOwgjdXF0b7jA9RNR3QRSbFrYcNOy3
oqNXE8cDXdNSp7xlyNBhBAagd/Pdz9fKxW/23SviWXx/iLUc2PMX4dFfwvA0j8LeB+NyH8KibHYz
gdnhsm6mrqhflMKXNPfpXGBqGCDCwYI5SiC5r1sdNIdaF8SMSSbR5szjzDSUCM32zVfm9PDzz/kP
u+DCUSKIJlkgTXn3Jhuo8gcXbMO9g78lZfqlQC5qCuTCDMW5Qfj4PWj5lyt7OUF/eItdaj1kJwFS
WAdY0/srFl1kpWam2/uRyt417RHnNWQIkn/YlLZ7057ulO1S8A6TkCDPHFJsAkaAC49Jv9D97FJ3
b3aFNCA12QFMg5cgsWn/yGVNXB5Ry6nhrsCyBad28CimoxQ8GQbuPxZC9ZsZD5VfOBF+T6v++n1z
WBN/0pIU0kLY+L4fOftZ4JF/RPcVP7VGIjWrTeoZ6S18SCZmSqbzx3XqDUxiWw7te5h5RRjvgpj2
wwobTttcayqQayu14FQUnbcb5sjoDkjsekGpMmL+DsQixSUgR5RAzHg0nhiPi7qN6VWVoiCKEGBN
15QyjmmZvBlpO/ZbjgC3xqGCToD06/K+h1Z47bdFekILUt0MKbVgqEgKg0ZsqI1PQnvZrah0/sXM
WrGBI8S8BjXCuebzDfGbxiDOvep0XG6SjvP7ip5rYaMmSOu7xoyhLTIDiw2vrFpz43ixj87M84z6
uS/zdNzYoec9BjhXItZIo8ylnEYxhIGQSKHadwOKeKhQ/N9xxGO6sCzaLjvMMOegTvW9BOaMsxD5
OinpyYp6cqx6CK9MlH0YCw10Mj1K9ureGCGRAXPuSgfIggXStoijur7zoiJnBDWQcbjx0zF4juKe
YzdjjXhUSaKVW0GuanDEi7aEBsHWgw/Np6sc5xVcDWFC6bPbEAIu7d6aU6BNND9GlpXHm9BGC4xv
Mk3Nifqcd2JiM+s5mQXzFzWN6R5txhVq1FR/QFXYnJCv+WIX6aqIGaBKJv+Iei2+GfCQ/4IgzqXf
gRKHQmSqNoFdRNi5SLVT+IJXDQn1aJrzJ9H6yZXFMP7GJw74XXdVRc5Pa9ALrHDHREb1GUaf8wkY
JKxqt47fWCjT16gP06VtHJUbs+frQUXXlRRnagcbQG9Ys7Auai5MKCfwMVD7VviKv8mGmdgJC4r6
bDh+kgFw9+mmXJUlRplnbwgrM2AB5LryNoVX+AtLXUuklzhlAh23+H+BzgoryUwmBobuGHNpbNn8
TAT1JyOm8M3HzVKmH+g0FP7OMJfgZ3amB1gYPOkSQ7drM0Iay25vyNfGH+nuQOPA0KWIwvxpMlq+
MR3S12Wcji7Y4AVLy2zpniWaVbmKfcFhKoGiY+QlvPolgBqbQPCc+VIprxpr01T+ZgxGllcZ0bkH
4ciWnUi4Hx7Ny/WsXfka0jFZRYlJvNrl9M5Q/+GrHs7BM2XE9q2l4oPljcvGI9mHPFkE20LhD0/x
MqYVWRQ2fz1+Nnw4Mo7qmrAufO5djKszXVTXWZlZ5wZTav5QlZNidwP7M9sZxcxcBkW0EaLjdyJc
iFrwpQQ+3zuJKHDoLfoOD0dZnNSrLrf5E+Sj6Q3zYWwxFFP8U9QUwSnwqunBclwO9e9iq2WPJIbz
TyH6uutLczGs/PatCZZHeelJt/gU9AQcfFpaG7TPEA2hKSfstPDPSvRdc4lFspyx2FuadDRYI/L7
npQcG0kiQ7204gGaBNuLaKBPSDfsPLXw9kOcHnfToi9eokdt8ewFklP8iXh/U5RGQ/sGMm6ir8iv
0I2Tp9PClsjnBucVYXSwxV28fatzTtsmiJqXNCuIfqek1Q+XQGHOmlJfMc3tvloT8T2UeL7ahg8D
4zN9ow1AayxBEX0EOMykW8wr7VYhWEzwXtWJZcR3R8md4L1qOHha0v425BOZqUkQXuFUhzQiq1/g
nXGa6wxNyDa0AqL0dqYDTpcQfE3TKj45XDoiKPRwmlaKoag2XAIcppdpSM20178nP/ZyJus0QNyJ
SbIEjwNpKGUKmvngD6Oj6UkXjnyNPSTZe44dPiCKSgocvlGOKXZCIvwdp0MuXl5eIYE+mO75pJYw
iJOn26jx3pdj+5YHLd9RHfoEd/xrAL1NbbFOYm+rllQFdz2UgxpBAduAfXT5pm/K1vaO3E51DUbG
fYAEA7zIiHM+LV08daCtKG6gzRGXgyW8MUG/wCKSPX8z/J7pTtL57j/UY2TEzMiF5IDCLVm1qLJp
2FLl5MOEDgsYS4qlKiP84HkaEu+cZiiXt11jJntI16yRSxkyLkaeKXYZ3P9lE8BUfHrQSclTyeHv
nlxNAajBev26dpfLFyNygYuqIO9E/ZIyzHtNx0wdCPebQxPafKtYjvkbaGjLcxgJQYMyCZ+NWE93
k47cVyAxvK/4qQNmT4DDbSKHN16plk9yWYnY+QlAFwlbgCOI0bffhSQyaqL2LphCazz61fIFpY1k
a7KqsDkUikpYAt6FiVPS0RY/qY6gyPIXG0oLWPKjNil62WmKvIMOP76HKWmIxEsOqRBlZ0jri4sk
+3yASDkJFkFFzYve0Dm8u9whJxExcgtfER0M+shLwjuPRv0yU2g8DwjSzwlbt7kaSWnPqJXFmela
vpZuidJmfxE9fZdULMemnk1WVJ0bKFT8i4rDqbGxtVBUp72FMrnvyWSWp4ZYcAoQ9Ip83iCN56V3
uYssCeVrDYHEXpeLfooGJa/VrMELevZs72AuoUhw2ojtKMl4uSy5VJjjVjmgCVjy4LOzcHqIk9C1
t+NAg0YnDmoeB/Nb52FSI6PO9EyQxhjKdF7/UKwkCG/KiVIgHVp5zPC/q7ag+8ccUqLLTzMfYDWP
aFRHIvYQHfh6Xg4XfP2WvW+yUmNfRYJNnlAkWlJyJsfBwBesiXl5AN/3oiVxH1KLfWHZWFXkceJc
1i5TvhxrU1erw+Ql+ncmjcL7y/qUcBT2uBf2ewy3ZPbB632WiG/2CD6cbLiKIw1E9/uCgJfjf6s9
sCNrqqnqYKRlAOYDmDaqVXG+rAp3ypaqJ45w9DcZ7BFNKW5SZ6k2ZK2RVGuaSKJkLvOiZprxg/Ya
iyIEnuboe5Llhr7X0hkPz9dKjvw3TSCkNuSe4kZIboElJ87I5qtxI/KIN8sLG04YlGjQSWoWTZ9W
7PZ2Im4ZyZjvydRZ1KYhEGAh4lCHyw6Iiw81dDwFediQApbjG6w13gHwbCgGcQBByIxsPa6ZomRT
qCI1hLvGoLe6LZnSwm6+x6B4azea60KPnB4KLUkJalI1bELQqEQOs55McwxM+I6W7IxNKtUEs4VY
aH4chJ9Mh64fyvhWLDD/Y8k2eqPMgU/h+N2if0oY0d2YIpzVuXN6gpDIyIJnc4GMlwDcuV8vGO8k
kIbH3p+KW8t2vsRGaKwzqAkHJ28A0yl29jGL0m8RPLKVh8ZkZcPZzNZDZfMCT2jq4D5zIukE5EVH
yTMgQtHuc5ZqnnNS84VWDgTXvdGn9s4sfVwSowartHiYimNS1+kHW7ZCrDk1iyOZ/XRY1CqYgNV1
CQeO2ZZgyokXXGtiMyTIDFeqtSCUTVPbmVfNsvlfwRiiEInumJiqlxUZTA7Q26gsqjBU2XqsUxHW
PEapxdejipp/NoHgIdnOPN1RARwB+mFYyIAC+1IzEOMUS0jXxP70kEUYzyEEN9Z9g0TpkihntJWu
RzvgVQ3ihv6Vqfh4qFIoNoGQGzcIefik0+UwCWP27Rm70uxrRYzJ6YL8YIvoxz6ikwmfQxzhI2ge
y2ZnRmV9lTPpwZbXsadV7oRqiXoanRPUgqckiGif1IG4uWjzhNG1b9YMNxaiFX0IlpO9K12L8xNW
Aau1iNitZphm54Erry/7ZpBmbI7IZu2tbkreiXyJN+sw8E+FAuOEKJ/y1TjJ+gWvo3FVdex7CkHa
TZezeJIQqItROTt3Id8CXoddtSa3iw8WE9Bf5eCaLfC/njeuWxwVnAxzXON7hNFgcbeo4gowI/Lo
ecgvjyRsU7d4mtMgBSi6Rzzf73JpwVxk2pM5mmwWZ7iilOycgF2JOg+PxEsNjg3odWQSl9aFS8Pn
HFOxBlWHWK8GzXOj5ojD6HvI7OA87NJ3hoIJ63vHwIznb13dWTuuHJ/xMpieptidTzHwlSckDtmm
5Q1hdybbmXcoKxeEiVuATNKyNu6UAbQBAEdQ+ltb2dPBQsj2pa9t5y0N+vkruJ0BzO3UEm6P9IKJ
qywqF615EgRl+5ziyqcF0qyYfAnBRzRNmWK5WjE44SDgukm82t9EqZt8LOouenSJ8ad1X+CpkLWO
ucdDWN8Edh0+xQaS9qrR/E1QXpOWSLkMoru5NMhY6aqOYkHfAfNUweC+XKoz/xGw/0rATmOBiudP
Ojxf2+6//lHF/v0n/1Sxe795KM1d6vsMUttykar/qWK38AmCFE7X49JrsahT/dnpMUGJm4JZTo+J
bZoT1Dv/VLF7vzF07S5TkXRALQoS/06nx/V/LIYhrbddTzDEjWER+Fm6tz+WOiMtUXGmUXxsC6+/
rvySUKa06vba1sDx8Igg8AVPJB5onaLtjaDZA5re4PA1HrJYgX0Mw97bqS5Qj9QSAB7ZOWEjji2g
VQFK2BfNDKK3ZtdflDTTIqqhneKpXZ/24aInkehusD/KnZXMHLjNAQNAziLRaUISez+Dya00TNao
8KMnrDJxih4cFa4DN/0UjOOzuGh/MCnRTzMuWuCec8Sog2FuukUtFC26IVp1SIimRU3EgY6waDbC
5sHBDOXEj2C3rCCO74Gg3ydhnbabeErHg0Ip92EedQmMEv3SvCiZ0kXTxByevUN0Gt9h4eHihTov
d47Utt3STUkwOEMd5XoOeqd41MVjFIO9RAxfI4LhP3sm2irOpycceAHJ+uiufKmZfkaaYzRmtYlQ
m0UrOKrdY4Z69A5eqn0fXoRc1UXUVel+YST6xrzBEyVY+d6AtQ/b+spF6Qemj0dot4jYZIWvgGXg
exBONsCZrD5QlqQagL5M9PEtLCZMCSxtynzjDUxPSmcEBZdHs2S4jagGyYCLV507d5ihdgdMZLon
2TJwRb1oFltjsBTsN40ATrWlw/fh9KfZtw4dMjksrJ1NvyjnmNp6DktcN4JRPelMS0zSzfKzAkB4
JWLEQIXGbdHJNByRztnkaRQ9tLK0cVfxqvyDnxbNzf+yd6a9bSPZ3v8qjXlPg/sC3DvAI1nyothJ
nD1vCCV2uO87P/39FSV1ItlJulvGM8LFJWYaSOyQ0mHVqapz/ks8AfmcOPGtWZ5kJqTUykRIVXKF
DmP7yS1d9fVQZOHC8Mz+xTDmD/UEF0yH0Vy4RUDOBLN33bOulKGpzTUbpCGUYeoZCsDBJqWlrmj1
R3yXUKvDo+3Kn+CK3QRd7CcYI7ZQ1We5KzD5DVsaMUlurIRUwZvI1MNzyUgb8EpVYc7rNiFkXZ6U
N2DHP7PaNrdSrqJs3MkPepp8troOG2vUJYurVuAuY4HAxMFaqc6TcrA/QRlp3o6SMGlt3RikAkRh
VJsFmFOegJ2uiaUdnhZd9xkwfyafKwNHs0UlFRUsV4EOxexHXRgWBkscP1v5dStwpJFAlOYFleR5
rwwIXAI47Qzl01g5n+SygfxI2bG0kPVBhiqgWqPDSCwvEHADkShgrJAv33pu/iBzPMAUXIBdSwF7
NTDLtl8ihk/RCpDwPPRN9dIj59xxB3ghyEpiGRasbNPprnoMOdg3I4zOoudVnXpTTcBb2+1LD5Jb
/imZgLmlwOiWcrUMBWq3FfjdUiB5hwnTK9C9DTBfUHT+VTRBf9URQ6PLxlXwKrSbIVwBQgyjRVDB
q5j1cmbcVIbmLiwNmTlOvMqiyGu0aCxUv5TctD/oZTIYs3pcpbIlXXp15V9ENss7crnS0nDZ3jry
0C1TPaT01cfRxx7GxXkSFt3KDiyqeoj6ixYomx1kE2dRGRqvKUqjo2oiCmd2fjK3W5imYZHAsotQ
f8kAkFy0ehXMWyXxbrrW6IhAOI50P2TjyoBhcQNaV3rf4QLcxKsGquZ5Elc5xUIvY6MsackyzFfm
0H/El8g8z9hAX/VYSC8MfmsVG3J2o8RaQbtJl3r8NrNCpTSO17x1FVHvI1OVxWsNpaO3KBlgJWSy
M/ENJEznQz4OuEkhdjt34ijCLAA3T723uhUkLPQZyhZWjx2y22/8fkbjs1xSzZtE+G/j0Ru+UUVB
EosC/NI3PD1GwzJvIORUXxEQx97ewkF75pupcp7BBb1C0iemhOWWL4K4+czCgr1PHbeX6Vh0zFIk
Ikf0sroOKnkS1F/VlNVmYelW9UJPcDBtPeWNR2vkUpMQbqcyms/L1A4vYguzdVB4lxVajDOFBXaR
4guBKYzUXuInLF/JAyRL14n8K7PT+4VoAK/MGp4oK7a9rHKUbxpLcVZ9agUU6uI7VxgZW5VnXbBZ
R3QVqftvDbUnoVVsg3XPyb2d0saUzdWCcg/m2kiaIPktC2stJZtLWa8KKX99uPFzj+0g5svzKM4R
/Bsj59zALvMazQh32TXFCv3ZYoH6cnUPeBxTgyTvaA/EcCI0CM9jo/tX5eh8sQHoXnlGSbXUaxZN
1H1JEr1ZyFTMFuhVvsuU0r+yy8q7bDroCgij3baIJcCux2w9URFRbVrjNUpYybKUKszAw7tGrqTX
nR++6onrtdtjx1bK8S0qx+OyNyN8nlGPM+DTtpW5NEYglXqE3R9oyqbmiN4P7/SIelzXENe7ogk8
85rCIgW3oZK9bAFFSSlnatAjqEpNZ8AWTe+yQV4gLjrKC991OAyj7+dIH7sK+fLzAJbEKDS7BGsj
SvFp7SMljvETBHA1XKKP/8awSjM8H9uRrUyFzRXtDMpdiBTA7MCKE3qErMAqGJBmN2Z4nhYv1UyV
/PM8LMcPGvrhH5JM7q8tpKnw606ri2KQMCVrE6vHRwgtNNo9UUfqj1NiAFbscoCMT5+LjGlHkrke
UBLmbNGE11AQGm1moJB5h0JycJ0IIwdNg7zK0Xw5IJV7X6iNdFGhnPSqGuxiiY+sArUdQa9ZkpJe
I2pemHkNQBvwMvLe48aLb0YoVN9yiiYwcTRE8spRb8/lEfWlDtZMN2N1g2CbodayKvMGLddaLXN8
X9ShgQDNyiUvjYq1bWYPPv5zlYWY6Rhx0B4qBSPG0a7aBr1IYMmxH0loURQmGz8XXUtaBbrzUjEk
s55n9VgEy8ig4pzZDu1GX2uQeMYYFReF0FfO+1AOX9t+WdxRPO4q2mtDMM/AxyER73KCBWVxOSp+
Dyo76lt5Jg+lBbQN18UPseM4527lKC+S0E6EXmo/fBy1QF8i4n2hoXCPXDcukXSF0o7uH7W7eZVh
I+AFSA7MpKBCzrCXsFEexCGWHRCyywnmnFd6oMsfXNcXAmay68+9BtX9JQYfKZSiqJbnQVnXH0ne
40IjSCsofF/Qc0Mo2+KIOeONAr6NIyEp6UBrXHR1Ew6zsjHUeV0DIZzrpp+8TIsKWL8Z+fgMGP5N
bnT50umS+kXXWMaV6ds5yvGabbyu4rKJ8LdL4wtd2OA5vLRru6kAaMepPtz3ru1/dthzv8OR11q5
OhZwwmnPelHha22eu57iOTeJbGhzdbA+1olWfRhgX8NwN3SczqCFq70hX5W0UDFXxk35k5brtILB
fANeBGzBWqI6NzFCEQ+q5MKAKQJlTT4NroNOUigh6ObHFrvQARvLxHKXUhH4SGLIWB94UKqR6qm1
O3Db2sIwu3SW0b9d0FxzLsCQNwsDHVRqKm13C9e6u6uQysSmpwMObiDPmWHjux6Kri9mapbpSyXI
gJnlSg64Um3reSKcHTS3LhaS6ZtLtZWte4BL/QsgSeOtXYz5m7wDMzInn4d4lCgYKaRy/NFT5NiD
SRE613B03WsoOfK1nLvgnBivK7nwzNfaWHfzTs6zK5XC8UIahV60peeLIbUU9v6yuTAMF84Z9J6I
1Jyky87MjYswltKrXoZUkTtx9zaD+UWXsFzUeRG+DDy61aEA1YcCXk+SaM+ZgEwWCwneqiXzafB3
576A5kcCpD9MeP1IQPczAeKPJjg/mnaLOMFkyRNgf3/C/VsTBUCQAdo66+7xSYYhkAuyQDvxBjpB
Ifi/8/9fQniaE4DiF+f/oPqaoZ+wD/Dc/Kvt2d82zyaYGAd/5CdtJMf+PPs76hkFLRNIHRUBwBoC
+7c7+1tnMmB23QYSoqvwywEfbc/+unrGEd0CzwDmXcAG/5YZsDjZ/4gXEVpDBtIeOlR99H818fMf
8EEAE/0IGxVz02wqE6TIDIVq4TgMVD3rktbnDwWSV5tb/yi/9tQDKYaA8xS4G1M5QFVFfOtczRNj
pRmqfa60iICMAr1mxjbDnJXnN0Cf/dIG8C2+oKWbxAt4JRICB8giJzQ50gCXXVmZb65D0VqcmlWV
AZv511/tEEnKo3jVQAINJN7Aox98tRKxf6+JFH0ViR58gEb/JWaKlCZNmNC3NaK3760opF4pGrW/
fvQT35KRBIQYISlgtIcFnK4gc8hSqa8qFVhaasPxmXEMpcBN++x3EmPKIXyUL8oIxI2BTTxwjkOQ
UZ/F1In6QF91GWBeWsB0JHARkGmGtbXFQpsCw/Gv8X6m3TmUNMmpgWa0Lfs4ANbAhv03gNbHX59a
mG2aALnQdYAKsj+KQ8Wnz+25+sruOFTPJ2KyDJz24h8+Cz4nwGuGMAPnYEB5lH7QdB30lVZ14Al0
qbrnbN3fNaKt9uu3KgbM/uQ0we0JcUVLZmgdIj0DunGUnxt91br+tw3RWQWw9+uHPBU7khDKizyM
LHUwagG26VatxvpqRCR1FdotzUzb5ASi0Hv7HdpZEdE5/EoalF4VxgMhPASU2q6mtKOkaKtQDWiu
TQBKJF3ovk3sbLuI6IiaA5NUAE4Hv8aNrnW133CGnhjBsLNJe7KYqqLJsD9gXBV2kmtG+qq3a/Va
i1Iqd4VojeRSxQil8ZksokilVzeMDUjmafLCqg8uyCC/Q6A/9QZ0XYO+Lt40GPj9DxPFDj7b+P6s
KvQ97qY+1STuQCfTWfz9lw3ZxAZBy9KiHo6oPrdpsVuFtgoMwutMqhZS3JPqbUH3//XD9lM96Ru5
Pke2HJ2VhaPy4cNyLO3iosila8R76RBKEvWcVAPoMk4kf8TF7N+MZWU/BYtHIkhoCdUXRjPyhAfL
WR6N6CIq2KnLHMUvUHug0VeVVX9ndhJY6crlvU7dQA48oAo8tAMS0IMrS0pp58EcLi5H0SybMsgG
6jGMoClmro/JOhVdYBm/DhLqM3tTwmDhx74e9RhK+RpCN+bB60ffONR7DnDXVSwnSPOiVZUFprT0
lCpqZpmcDGCKaRaWGVz8MB/MhcLNXpeAKyaGPp1niK7kXtfw6vsRac77Xo0YupuutgqG0T+nMwQK
w1Bo8+LLDA5oanrGJrINcsg/KwWSxoLSXkIFVhG0UMPiUy1Qq9CFtesyJIAzaPvDKyw2wRJBW3He
4+smIXznuIVyqVQGt8YFEjWuxPFxZ4hLbEJmHhx68yJOC54hACpm5YPNKoRBp97qSJ1RrUT7xM8Y
IblOCxXMXj1eSLTczOsJm1vVXgIOr1RS/5rTaX0PirT4ZOU0KK4TRXDtqOC+ktRaQrEDklvwWRkc
Xpk1aiYHtg58yPsC9a9PaR2Z6wjTX5oD1KTXg+IAkJuYc2YLcCsBJvU1H131si2s4q406wSKPm1v
K/D0dqZWTmugNI+XGAUAAAYSjYEVmAYwvy4wBa3X+7sYuPD7QVeDiwkgP0HHpw41gl7Ex0Hz4A5i
//hebYGW5Y6AAyQmEFClL6v7KPFUIfUI8WysXMjv9lDij5wP/Ba65tqV46bcJRFt97EmbpjF05ad
Vjk8KewluuCxRofGL0PB70NYfrAs0aj2TR1kIjVw69oXG5MJoz+B72SkMO4i0LQ9MgMSsKEJIFUE
mPmdUzU11hYS/aCYwjCn/JEhczRHVc8yr6dWsgS+Ba83vQUirvaCAILIZYRfS826aGZ4ZTGCvcFb
JKOt3PoSwNfzwUiAZADoA7mAJATrzcYIXUk1xnJLy/d9BT8fNluNbCyFzf5VrtisRTXVeOFOyLqM
ziWdtnmOs/rNaFFknCsBEO42K4y1CZoWyk5aOjGHP6V842mjejniWmSdq56pf07bNn1rYx5wg+J8
fE6lPFNmYAIUm6OnXF4HcdaiTCCghFXc90jtjBieyJVrgs4Zg24mm+BiZ5YRDrc2BFHMA3xcDpLI
ceYUpSip086CtD4ObyMkdGGu+3mOgIBwhmZM4hfCof01kBG0+EO3SQAMlPU3Wx+xpVet5tYxDZxy
EFDAwKGJyEzzUaC6OKXCrK4hfHxEj7KslpUxmF97lOEwCkzTF0CdS28piBwdlqg5nH305TDtbbJb
hzYFbj1j5X/2BALXymqq5xymL8AhuitlqK3iwq4681MOwobDPHZ9Ji2za01PkFroO338DBU54iys
jvOKkmZ5bkP1mSOol34O6U7VeLQA+Y7k0roQm1EqOD2Y53NBMVgU7AFnLeirJZ7YtUhMoAARRbxr
qF5dQWfJr8LSr5aD0QwP2Dt0GBQH0mtkaJKPQdTq85jywixPgwhsGmanlA/WVq0zPwC6nbsqmvBN
WyrLhGN8WNoS+DMAy7Q9XXQcoxJLF4rM4E+ROBAtD2NWUtv1MvHm8+4FO137Ep2cwThPgxapTeyI
AArHjnuOPgK1UmjUcyyO/PMxG2jdJFnzDlMDbCDatFo29KtAislfYwzOPjpxoM4CR+mXlYRJUhPz
ORy3Tl6zKo14D5PeX5h60c1yT+aNWrAQXoA/SF9B+cpfQa9jUEsmO7L1BBuU1JApUQlo5yLLawxB
zV7ASOgigqEj29b3XimTkLLRUd4O8siQlWuQrKXVwDmxG4o+C6QF8eCrs0IGQw4Ud5wD/c8wJAAw
OyFerAGyck3rBSxGY2CnhokU6mFlLO6m9Dm+xhMPD6YEGzMMDl5JPeeoCmvF5Nykcfq2zXWmfuMb
+EH3OrywCXya5wxbUfMQ7WOwOp/UrPDYz/kN9BgEBjOh3VvlyWfqhHb+bchbXUCLa4oeyGAt0lDv
HuCkFB4uIJLxATw/fpq+U10iOEqNOO29gI6ZEvpfqrZeh8CqFoYeeN7cRSal+oh9RCO9CcY80y5t
1afMDVpmbmIIsfC7rsBw2RyXg53m72AyYKriWHr3jp5ycgdE8ZsaY9aKmu1LhFYBrpixFc9Vp2wW
OuIs917te/djEHRvvMbizTHjw0UBLssBimhhHNL6QTTMiriyrk0DKMh532EDMa+gDFNCa6iCXdZO
L6/0IhtuiorimTn2gTQrE7xOZyZvIaTnBsoU+ao+XeA9j4FWWeovUbmKXxaoutwlgV3My0yhjdJi
p0UhVvuSOWa7qs2cspzhqgEGybYWzOnR41zSjB3SQUVMunBcA+chW7+GrvDFxWHiTVd7ETy6Rr4p
KeV/jjoz8uYlMheslQh8zMCwedh4D8FNSa/rWnI6B8/K1qvWatDlKwjMziJF3GClmLIE76KukhLR
yCFAfChtMItQVNWdBbprUcOGC/jWxD7usk21Ed9G330hD834uvaxeXRar/vUxHVBz6Kq9OC6D/re
mNsZHBtENLB0vTV7AG4Xjt9UOJem0ovQGrN3coDZ3VyKEIMSlV45Ahdld7cdK/w3pS2qmybP2wu0
v4YV7PgEvzHHd+k+KhwvfJLbBXa2SgCkPAds7bVW+9pTW6rKaeiiElmR8j5Ffa2BQoiNF32gkkZB
ATj1vMjbtDtX8SF1acRm6k1tDThKw6BS7IUdWzoJUcHnWTUbd+lIBQZSOfguXS+Q2YxNlK8aK7ir
cMN71yhD9d5GxmvR9mM0xxICVCQy8jjiAHvD1Tq00OftLIx/3NHH9KhmHapldNZdqcVCTSdUr9qR
c0oaA65AvcYNXsIP69/JZSfdGEFNpyjQCm1pS1qJ+kaeGsuisgyMQ9XAqS4axu43gEr9h9zW6q+d
4Vr3nVmbwVIG6F3NAb+Cugyz2Cpnrg1ubxTl//PSh810adX5N8PHpbAKoRXMxqCqr7Wux30my1LM
1PugGGY6FLR5xOr8UorBhauy6daYGLJn98YBS1fIO8JPvkFTbhU1+M3iXt9+9MGrQ6vxxvAluDBL
nrl0cl+m+HLUIFV6CeKwxluDQa/gmJd3cd+875EQxeBt2q//Hxbqt1goqmQ/HG0eiXl+gB8E232P
6m5O/2ZbCVVk/YwGhApvFXQUJRTwTDuqu6LwI4HZRtkaLQdOyLtCqIH5hKwCf9Kp4iGxwYlvVwiV
z6jpWRDebOjbnGfVvwOC2q+1UIqUDWotKHgoqg67XhOH9B8KoW7TKYHhFt1tk9x7VYzryZcfovFE
4ZNg/VD5ePyAg6Np2Wtxkvc8wA5JnChsN846aG8DB5D2/a8fNZ2sv1dZeBaFFaorwJl1B0mAw4rC
gNR0bLBNRuQCK28ho4MOoGxiYW2rUWF8rsLes7/6mWvX8LpytZJGtG0M+AnXMAALL7mH2WVbHuAa
3Zcd68ItPQFGTJuHgA1vkLxoSr1C5EtmpbmKKyd0y7d2iFozYiyZ+3Yo6iUFHuO6on36KgSNgzN3
6BZpPadvAwpWK9HjVVtToh/YtZqD3lWcFH70BsEer4V8Rx/OYn+W2fQ4AzCViE836nXJYe3dAMd7
FbtFgy03mj3dMiHzacnKqo3w3MC559ZWIqP7jCi3icyblyBrSOdzjmCNrr3UJSsfV2GNe9mbDslD
PV1orec6cM8QTq57FwfzMqg2peH/NVlj+0XEpF5MnZHXzUM53D1UrLPVv/9rQ6sVP51cVd7iD14H
9fB3f+nXN9pKAz+Rh0gUD9MDr+7/+1/Md9CKDlWSvb7M9MGmD/TL+8RrPnhzj/gwfRSQmBpEHZ2S
Gpf2rz/iDGeDzY8lyz5TAIFQS6GHIC4yAk/8IVI/i8Wvv+YmqL/+nb2v8DVr0lq8DLD8e40mEtVf
C8LBHb7HQHPODJkDuZDPeSoGDmIjSA2YojY5XZsH/v+PwfqeteWc/UIZfK2fGg5/MRKH9/keCoYD
IDQLyMX2q5K/94YDwtFwVFBZolIuLn7+HxkOh1/hcGbY6FUcPTNMCsSqAbp4cx2EQjsTYtdobn2f
OacYCltIOhwZCu2M3YeMBfx2gjDO9kYF+uT0b+kxiv+K60RHhXN8KOQzm9o5NfZNqniUL7UzR6WC
zVbtVGNA4jhyOKhn2IFZoin3ZL60DMSckKpHe2EzGk40FLQUjw4FhnEqbUNS4sGUIDuwh6ZDugnB
f2zd/F2idPjgRw8HXjQiemyzp+twzbDPONPYYoHd/Pw/tYX4bSiOHw7qmcqaIYv/Txf5Zi9Rip2G
AgPG2kT95LYQNCuPHg4KGdDicOs4T2cHMqRjQfSB1jNdJxoK6EZHh4JECRgF7w7O63vjQMChbKBQ
Agd1ipsGa7uxOzjy/M2ThTh8c/revGb5cC6g06dqdMTR19tcpxoKXt6RGVI/Yw8JIA4O23QdZkhW
EQSYSRsCn8V1shnyOXbVIkNa+CVuvurhzGDdBCBInLTNz090grDzOXpUQHqUIeNztt7MEDZmB0mC
McEeC5zZdJ3oWQus3TOEQrX4mqhsHsRAF7qglgEZ/s8YnWK+BEZ0dAzEyIcea8L5mq7DmWGAeFVV
wETUfsR1ssPh+AOGIvKlBl5qOzMI7t7MEIcstlFUrTahONF8iVzk0aNCoKOFRe82Eo/Om/YZyRIY
qrmtQmyCf3obS2FZe/QqKrDZmqMcJgntjNSBBDY47ek62TXj+AOGfmYLNXmdreN0HVZi9DMcqZEf
d77PnJPMl9uN7zH7Sw0JaEH8352w2ZvsJQn9TAMETU139wvTADzBmbFJ5MeEgqot6gcKPcLNdThB
KOKjk6AKjsNu1JzkqFCPnyCasEpUOWX/ZFNFKATO1NyF6mTz5fGnDooREAEEx+TpUaGd0U9mz6Wd
9qmDDfDRSwcHLIvmtkkra3M9yhU6xuOKQe12uk51byWYBEeuoqRN5LpRXmSuHeRLUAc6XIBtjE51
FRXL/9ExQAkLw1KqD9N1ePISBWxRwRaG9OLaPPHUlg4B1Tg2FDjBgkWxaKJ+XyV/HBVMmDOTn7G3
Otk5cXQQ6HqKFy1WyOl1P9pkW2e2InwuIFTsjmYnuX4qz7F+yhy24apsj1aPpwa1XQEP2q6vmyee
2tQw4QEeOzV0up4wkcBV/WT9tM7g9YkksS1lbcbhCYbiWTaYIhQ0vB8tGoICaYON2Myck43B8dsp
+Uxg7xgPsCzF9bgoQQcMTB8s2+k62VAcv50iFEAYWX++o0B+XDQsII4QLIjVNl9uyiCnNzPU59hO
KdT16f9u8VGknb1Q2JSy4M9T6d2MilM9bwhu/ZG7KlZR/BbAiXxHgeyFgqqd4EI6u5+f6gRRN+/o
mAM5m2wdDBVKh0+fN8wzBSSvjrb7aecK/TkKmLx0Qer9DpPaGxUmZW2WFp2j6HSdbK54jlBQyxXK
kt8733uhsM5UmsWgrreL6WkeO3CuOD5XKGe6zB4T47fNBDisWFG8Az0j2OmbUXGqh1H1ObaZSI6a
aEVtd9SHoQByuVM4nWJxquewR8SIfwJGBlUGz+EwBHQBsfUEo7udGCc7Go7fZTIxWBqoTWzmxVO7
TDagLCvbn5/q+Ut9nl2mQ5Fmt4s8bIhSvwSfC7TsxM8e2vG7TBXpZEQFMTDbpMPHoRDlf2NX35dP
dZepH7+1UsEiawin2Nv9wmEozDN+KHCX24LWZkqe3tlDGPcdueFWpl0kXfAtrOgwFGy44XWgT7QN
xanmCkFnOzIUOi1gg07GbhfJIrm3tTLOwAuodMA28+dUEepQ/44OBWcPUoEocG+WCMbZXihIm+y4
DSw7N7E41f2E8No9clTAp6S6DUB7ezg/bBEDuUEHiK3FdlSc6r5C9GqODAVgM5TRWEu/v/W9UcGG
G1A/tc7tCnOyueL4DTeUN7CWICh+UtcFnIvUIDXu7QQ61WOY9ix1XU7eBrCaP3PB3qggFEwe3dw+
6gRX0eO3mQwHQCLogP0kBtYZ2wkaptuOwunFQIjvHZkdIJELygKmsweLhUgbKny/3R77VDPkIw/6
v3/4BHQIS1wThPy9OQB4mwVTQRp0s56eambUj8+MgGfoXjAKthvKx+slXVBMt3cQ1c3kO8EZcXxm
ZBdlCogpuOTpOtxbm0Cu8I3XKfNurmkOnmAoniNBou85Fev+/Kp7EwRIFc0gQfnbTJBTresbx+dJ
kQ4BVIGv3HzVw0IVgsVIG+qky831N9LlXxg6f2oQzP0gvp/UB4KH6in9gZ/9wo5w//jnP2gLCEb9
3i8KMYLNszc0a/Hnf++x6SZBgB9+uBMImJ6z/efbL/j40XvP2n2r3V9eBg/luvzqD9MPhu3HvF0n
iBf8v3j9ZZ2sD3URdn9+QkPhh4XyNzeuooP7ilX2+zf873/tff+/et8yGLN0/8aMpue4cbROq3W1
u9MkEYGKy+7P/zwU83UcfMvKNNj71JweySvHhgM1laxc32e7O4lPbU3q28ffOU0fvtbB16beuzlE
1N2f/3lIzh/idbcuH3Z3Eh9bnJx2fz7izltthz+yb38QnCb5sh92diHPMAqXRD2433ufiqipHf/5
Lx6y0tv/yAqIShaEY1/oJREPgt19puGtTVLxx9746n7t7w1Aqu+CzHP0fXGUTrNgf0ZC5nqG8XeV
3gfrgywiUEjP8KGzbn9YsJKxlTo2FqvHuQnk1DPMlxWfrPkaDbuPOI0Lkyjv/uKfT8UXWRNUj8Ls
qPYzjI2bdZDuZQ8QVM+xvNysUd1bp/e7by/CARzjOV7hzbqq1l+REnyo670xjXi4AAkcO0Rugq9+
4K33lX2oRbGBOv7WrAVVVu+NbFVBHvc57l1VAf/L873cpMI+eKa7Z015eOtn+eBZWh/kECFP7hwf
ktuHL+X6YPeEtDzmnEe/yduHdr2/blGiE7XRY4fI7UP3x+U6ySs/2F/Wub9gwj/H/a8fyuph2N1r
mpoUW5/p5jcPffB1bxmjif4cK7qIzKesjA4+t+DpHh2UrKz9P+brMmOl3J+cGkSN53rA+To6nPvo
yz/DluSlH+xHHLLZMyw8L6OYHcn+qQY8ttBpOTbiL8sH71A8DSbU8Td+9ZCm1RC364NjAq1H9Rk+
952f3T/8cVU9Wtvo3jzDi3yTNT8ZiBqrxDO80s0DHg9Ecftn2A++JfoPVfWwt6VAdkOw6Y4dMm8f
+v1TJVqBz3FgfVev/d2nE7lQIKefYa1//1AmrGx7d2Ypfoa1+El/a1Hr2T3rn281P6xZd1IP2+Xd
vaaICMLJ7i+OuPnvzLl/bgH2Z0/hV6WSD78y/zr23j8X0/3lnZ+qNP2pWfm4/rTTonzqn+0X18Rv
fI0f1uW//wcAAP//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5194E1C2-59CB-4BAE-B9E0-27F02963AB8C}">
          <cx:dataId val="0"/>
          <cx:layoutPr>
            <cx:geography cultureLanguage="en-US" cultureRegion="IN" attribution="Powered by Bing">
              <cx:geoCache provider="{E9337A44-BEBE-4D9F-B70C-5C5E7DAFC167}">
                <cx:binary>5H3pbtvI2uatBPk1AwzVrJ08OH2AQ8pbFmdxJ306fwjFcXPfd17Ndy1zZfOUJScWpTgyMJrBaNSL
YVNVfKueeve3qv55O/zjNrlbVS+GNMnqf9wOv78Mmqb4x2+/1bfBXbqqF2l4W+V1/nezuM3T3/K/
/w5v7377Vq36MPN/oybhv90Gq6q5G17+65/ozb/L3+S3qybMsw/tXTV+vKvbpKmfeLb30YvVtzTM
lmHdVOFtQ35/eX3Xv/grr+KX20/o7y/xmrusfuHmbdaML1/cZU3YjH+Mxd3vL7c6oS9f/DZ/1w5d
LxKQ3rTf0JibCyVspZQp7fuP9fJFkmf+5rGh2MIiitqWZZv3H/7w8utVivaH03VP1erbt+qurjG8
+5877bfGgvn465czcatnRCPgA4zfX37Kwubu24ubZtXc1S9fhHV+P2XV6OZ6uJ9u7ufnt20M//XP
2R8wY7O/PIJ5Pr2/erSN5ZMo/zv5usrGI6BMF1IARqE2KNs7KCshTFtyvkaZbaN8OF37UZ61PwDl
WYuTQtkNVm2zast2dRSkKZA29X/3HzJD2l4Ik0ibqRnEzyNqP8x7+jgA6j2tTgrufyfJnX8stmac
MWLZP9h2S3hbC0KITYSw1sJdzNn6cMr2I74ztgPw3mlzUmg7VZ4NR+Brc2FRSQS11mxtgn23oGYL
m5qMMUtuY3wwPfsB3m5+ALrbDU4K2nd1f+fnR8CWLTg0s8m42C+zJWQ2NLfJ6ZqN1TbEh9O1H+NZ
+wNAnrU4KZSxgPP07ggo04VpWwq+xIaF5xwsFjahgnPK1yjvMvKBdO1HeTauA1CetTgplP+8qxv4
fnVzVx0BarIwGVVU0o3e3WNuS8mofHg8g/qZxO3He18nB4C+r9lJIX+9qutVewTQ4UlzaSrTkmsp
PudvtpCMS2rKjWU+86QPp2s/3rP2B0A9a3FSKLurpllVq9ZvjxE0oQsIaU6A53eFvGWMWQuFiAkT
avN8Znc/k7j9eO/r5ADQ9zU7KeSvw5UP5I/A4GxBpGVJwjZiG1J7hrq0pQUZQNYCALG4dZxuHSp7
BmH7EZ93cADa8yYnhfR5tcriJMyOADVfWNyyLC42thpk9RbUfEFtwuBWbyz2WTDlOZTtx3qnhwPA
3mlzUmi7edKmX8NjMDbEOeJlilkb/2o3Bq4s/GPbbK9l/hzK9qO908MBaO+0OS20V2PrHwdrmwFr
Zf9EdcPXlhDxNiXfVftjIe4eTNdPkN5ufwjO2y1OC2Vk39rMP4IAh7Nt2Rblcs7LcmGZFoVcn/lc
7uGk/ATZWQeHQDtrclLYvrr7+++7qs6PoZ4R7FSUgYs36hmW1pZ61qEUHUuxNs+RBHnMxM8ibT/a
u10cgPduo5NCHCyUrbKjREjpQjBCKWOb6Pc8qyUWAusBnL2R2gi4PAb8OZTtx3unhwPg3mlzWmjD
8m6Owt18gSy1hKsFi0t/EO7e4m4dLicWUpzm+vncuz6csJ9gPevgEKhnTU4K6XdZnn2DU30ENc0W
JocpxpClXH9mUMsF4YpzIX/4YY/5+jmU7cd6p4cDwN5pc1Jovwk7FD3Vx2FtCuvLNKVJNzHQeYxU
odpIWIis/ahGeoz382jbj/iePg7AfE+rk0LdzasmWWXfjsDjqD0yCSWoQvgeFtsS5+Bxy0RSzBZr
ETDLbj6Hsv2I7/RwAN47bU4K7ZvbIEc9Y3icNKeUAnnOBxaea2++YMiDWt9F/kx7P4u0/XjvdnEA
4LuNTgrxdxnSIeExihcg0i3kORjZ2Oa7Ip3CD7eZ2BSQznyxZxC2H+15BwdgPW9yUkgv75JVv6qO
w9pUQUqbcu5+cfjbTAnF6HcR/1htP4ek/SDv9HAAyjttTgrmP1dVdXec2ApH4QJBDHRmi7OFIpQT
lIuvPzPBfThB+yGetT8A4FmLk4J32d6XpxwjeU20e80ogFwz6y7OCH5LG1Wl6+cznJ9D2X6kd3o4
AOudNieF9tmxTDGoZiC5AXqnZtRaIMTCFJGb8uFZwvpQqvajvNX6AIS3vn9S6L5Dnto/hj4mC24i
T0XIpuJoVy0zCGyTw+C+/8xSHofTtR/hWfsDMJ61OCmUz+r67hiF3yg1QKERA8o7+himGEJndFNu
MkP3YHr2g7vd/ABstxucFLTn2Nx3lEg3wp/Yd2fyB5NqXicKX1lxJDbMhy9spzUOp2s/xrP2B4A8
a3FSKH8Mb4MUke5NCOx//td/u99FmL24qnVk7L8/zP1Pd13+X9ky+K6pj7MpgS5Qq25SNhc78PVQ
uGx+9+dnYudwevavyVn7A9bkrMVJrcmLu+yuvjuG7UAXyLHZ5KFW0ZzDjK1jKGSmSmzCOrNq5WcQ
th/neQcHAD1vclJIv82zxscGj+o4239tIZSJPb4zG0IrGGJbku3f3f08ovYDvaePA7De0+qk4L6o
sJ//OHwNz16aqE5fe+9zvsZ+fskRwnvwCWbe/eF07Ud71v4ApGctTgrl1zqT+sOe0Buq4mTMfm1K
bJ9P8NQBDkwusNVIUSTJN3G5bRZHZn0h8Qxuwiyx9pi4J22b/UhvN58B7f579+CG7QYnhfPlKg2P
5iJwbClCyP0nFRJ8wQlhRGD37/1nBvJzKNuP804PM6j3ndGx0+a00L6r4hCa+gi5cjiEFHzM2K6i
ti0cziHEZhnMrO7LZ5D0E5jnPRwC87zNScH85q4PH4T3k/LxmSfuII9iSXysHzUuW/UQYsFtSrkJ
43wfRx9M1n6ct5sfAPJ2g5NC+O3qGw4IOk4SzUQylCM4u8Zwt0AZBRIC6bRNaH5mhT2DsP0ozzs4
AOd5k5NC+n3bZKv0CAIbIXhUKKIUfY3zTooFm37hRkNob57PgD6crv04z9ofAPOsxUmhDKexyo/h
VGHnp/afUbS0hnHuVKmFXG832GwgmwVLDqdrP8qz9gegPGtxUig/HJL3w696u8oCvd/7f6tjdX8y
HqM4LWtjcu0Wspkms7Dhf6PHkUd/XPQyI/Ph4d7o8X7Yd3o4APidNicF/bvsLvx2nDp0hLpNLu0f
ZzPMbDKqWVvgJMT15wHO9dbuw+naj/Ss/QE4z1qcFsoVDus8ymGXDOc2SM3SPylFRtAb9RBCbsS8
OSuIeHc4YT/BedbBIUDPmpwU0n+OOQ5APc7+T7WpjfjOsFsMDaQh2/WBS2uNPtPYzyBsP9LzDg5A
et7kpJD+iNNra1SmHiVqglQlVTh5Q9vZ+jPf8wsjHM60eEhlzdn6ebTtx3tPHwdAvqfVSaF+s8Ie
wRdvVn11l90ewzDnC2EL5DKQ0rj/zG00gSNbEEz5XrM62xd60yyeRd1+7Pf2cgD6e9udFP4f89v4
SLuKyP3OQBSpbjaJ7vK8jWNRqZCbtMjM8X4OZftR3+nhAMR32pwU2jc4dqnJj7VPFAJcb/pfq+t5
PA1ZTY4Ut0BJw4MceOyLPYey/Wjv9HAA2jttTgrtP/K0iMOjmOl0gVQHDlgTPznWWCJCjnAMf5D6
M8/7OZTtR3unhwPQ3mlzUmjfNHft16PsN6ELhgJHWOObw5XmKlwtcF4PUmJklvJ6BkX7QZ53cADG
8yanBfEtzu+4u21W345TgmQRThFj+RFB2XLIcKQLmN6Gyl5L8JlDhu2ZzyHuJ4jv6eQQ1Pc0OzXk
2zE5kmuGECnOn3+oM5xHznEck8K51+RBseP5luK+DQ6m7KeYb/dwGODbbU4K7T9X41Eqz1C7IPW+
MewRvf/MLXKJilOiCMeBH+vPNtQHk7Uf5+3mB4C83eCkEL7RovIYYXIUDcPqEtiPskZwrqvBzTjz
mkuGB1tsfDBB+8GdDegAdGctTgve9u+/8yQ+QjbbxD5uZEAUn5cf4QwP7AlmcKnX/tfcFjucop8A
POvgEIRnTU4M4iQJu9UxSlOw/VdwwdTchcapW/ChCXvYDDoLmNy0h1P0M4xnPRwE8qzNSaH8R3ic
aAldENw/IBnwvP/samI81Bv5N7ExPH8srQ8maz/O280PAHm7wUkh/Cmpj3XDhI0ztCScpbVA3rOJ
31aS2IiN339mIZLD6dqP8az9ASDPWpwUyn+u6gBpzGPtEaW4MQIq+YfZPHOccWCaxXAw/ZrZZymO
59G2H+09fRyA+J5WJ4X6X/qKySMYYdrWwv4dHC6/Zt25y6wWpoCWhi22/sxssYPJ2o/1dvMDYN5u
8P8Awk+TuFaE6yqtrW8+82JVpi9a1DeAILj5IIEf861tL0xiMXhSGyU9C3jNLjL9OVn7YZw13xrJ
/6FbUn++Hfr7fqblqlmd3V9l++gS1aef3g8X9+/Omm4MmL3VdZtnV99+f4nCHgYzF+7p91tydUdb
5s99YODBItpudLeqm99fGkpibzQiVhYsaWUJIsCCPe6S0o/UAqIYgOPsaWqhvOTliwxHKwa4aRdV
CCgTpmiE4zqEJSCo67zdPMIJiQL3iiAAqs9zsL9fM/w+T0Y/z77Pyeb3F1mbvs+RXK9/f8lgvhXr
r2lqceq10IWqGCXFRgNCJagrblcf9V40zMD/aL2JBVYxpldD1U/eGxmq7n3CBjnlTi5466KAwnMC
YZQXfdwGTtGknlNM8eRkQ5suQ7/x6KumDdrUKSw23A527qi64fSCFCRQgWMPSV6fGdVQOES1AXVr
1sbW17FoQ8cu42J6lZlRSm+TyipuvHqslypopz+y2P6qT4KN/2rTMigvOy+tB6fjcZQ4lWf37EPc
S/EuCvt2Os/7+EMRMTpc9lJl7x/f6rs1Zbd5MVahH2wuZ/7+67+QrsG/99f8/vijvtv5x28Xd7ku
76vnX9IL+/u3gMxmoeuFtPXLzsr+ydpd3x79k4fPWdjKwpr6+cJe36m7s7LvWz2sbL1IUTGh0+bI
uuAM5h8rGweRQOtgK+G9sYFtwz+WNs4ApDhuHYsbJ8DhRBKs+oeljVyeiXPDcLmGia3G0GvPWdoW
hOL20pYcMUYU6eHyFYVNy3jR46XtFVVSi2xilypNfFfgSLrwjGVVGjUOm/JqvGoULRunaQaxjKqq
dP0gCz8YLMs/yM73XkkjDNwoH6qrtij9ZYOdWOdtpdJlmYbnvRfZjklb+jbw279tWZcfclYOlwrT
0rlm02VuWMj+bSREv1SGQS9Hu8sdPkWFw1up3tRxfGlI23coyZVj5UpddF7jLw3Tapwhr4elCKNL
FdGzKCWJE0dN64AjJicv1J9RlIbLYIr9T4lvjMuQ8MntPZE6QdlErujDyYlkrJyS0thJsl65gd9J
J+TTVWhZ+VU42TWz3LR+Re2/ejst3snA9G9IlxvnbTOUryK7NM6Z78d/MDMZnVqa8X/IhAFMgR27
Q1iWThL4xlWV2MbZoJIrRiq69McquqiEGF/F3jRceFNaXKiiyM9VV48XmUFe27EZfi5EWn7NJqGW
/5+w6pbGfcxz2Kn7FJPOFPda72u5ft9uw6YSsXTFmBQKFoRNuL7MYq2AcMn3AtkUG7dfMCFw/QUY
eKOAFFkw6CuYHBvFtGFRYi1wHJzeWAg2JaixUM9hUQbP8hGL6jcSipvEkdCFIMGVOlo7PdI+CYmq
jPSxuLOI17T2GS14YSSuWXTh9FmItohX3KhEfZ6VYz3yZUMHEQyukXvmVz+reGa4OR1i9coOxNgu
Y9vIykus56R+m4i0MEYnjwdRfBVxEw350pAyiZjrK8XJnRrysf2YBFi9K8sShXfLUlbKa1+GZcGc
lIQ1SOGFqNJ3ATGbPlv6iajiwsl7kaZviBpLkOynKRlf05Rl0d9GDQZK3EeQbvTPYxUNe2NrjqDn
cSSqgNzAKbmYLi3mHs2RImnYBjKw7rw+z6Lyskl5wi8T3tWVupxqvwl7dwqLJPw7Mb2QeudPv54g
1rf9flx2pPenMYsBKRCz/f4pYhbYX4bfIhKzOHSbnAkGxW5To4zOq6H3q2ZZBY3PA8fgxlRk73vO
xpq6kEqyZ68aGWR17OR5ySpybQurxLOnidRWyg8rBpuecZkxh1PLJEFYEstym8YhCA0aVMz4Jo2q
MyGIJuWr8jyxeMNMJ6saKb/EwvSaq6ffO8NGvxdaTkGfmRSqbv7eoh1zlRvM+uaPWHPS6cwiqf8T
cI9mvtNHYRu+y7ygaRonCHJKpfP066FFZ8NWHJlyXEUFDxCVizPjzRddaJhDwL4ZKlElg+DHRsIV
GMlorvIpVMl1aJCcvGVxObY3cW2aU+AgPJFgUp5LCS69gr5F8tY24aaY2wDA0vOSaDSrb1z2YLnz
kciJxOei6tuan4WWx+WXqsUUlNAlSskvuTl2lX3WhblZ9L9ARSv2rdUgYHxYSCTDegY0bLYaGhma
0Rhn3q1nT5moLvKySL3xzIANaY8Xo1UNWCJPj18feDp7pz5f7Z5RYZrDgNmeAN+eImEXjfE1CGEi
GJdDE2iGSIc8qHO37SM+cTdM65EWzmBThokQoRm0N2kho9GFbqyyGzsN0ipbliKv6McUR+/XX58m
c9va5wq7/01dLoUbzCDDERjYprLtPasyy2n4OlRNhUVgtrEJfMyhZ8Jwhop1xk1B41IzTdPn+kdY
+O0v8NmZLBxCiOtPUYmLfepI6M/JsEpaN2Mt869ZIgzI8AjSa+qdbjSbUbxmnoDcr/22ildpJDJI
1KpIKyIuLSMyutgpA0hbLfnHAK2ycEq613yIizz9hVjRZuoWqtjOxSTu5lUWAqi462umnwbWZ4UN
E/Jr7VFppGdRUxdJ+76cmrDI3L4cSxBnqLTDs3ws03xcWvE0Gjd9UXhXtV0lke+m02SOr9OgzBrP
yXDcite4rTCN5KNMbX9KXVQ7DRCJ1IhGkr0yJztBr3Ho9bCynsZfnwO4NSBcC2+h7hG7TJk227Uz
uqVMUijILuuKL0rkIhJuYVoCS9HzWtuuXDIpA6LdG9fSM2k5nrX34qQgnoVHQ98wWZ63Pfs1D/G5
FEeiAcYInAlUeGjena3OeIjr1Avy4ktRgYvKM1bHFn9LScDG16xuR0yH7XXJ9DkNhnFUThtUfRm4
EPi9/OiXk2dcVimPps+V0dby2gqlNhAG3qWJfRG3QsOT18zGEho7JbqPRRXF0+cpkXEfO2aSaKUV
YvYBUJ7ZAf7I4DBOn610GIAdE9GIH/Vk+o21LETN6nOpWo1dPPghDIzy/vW2BaO8h00/ROgih/EA
ykMj07ZBA+M3Xg21zMri3O4q0t1wlk/Nm6qKvcpJkrSiqWv4Xjpc+hzK9a/Myjz+uTM7gkWmLB92
RldmOUyUp9fGXGpi9hE6VogzcSVxg9JsaTBvzHxiF8mXiaR15TsDNVVRO30e5TDv27KHoHj6jXNp
RHFbC84khd4m2E2388a6MuugT1n/F5tavRj7lmvxR2sVQ3nLrhTyixexCYuwp21T+29xPK3COn2a
DO1xbjEFU0hYYycXFdSkCI/PRj6xri0NW6afU56lDXOavBXGXY64A6RRENcZOas8lYfvu9ryIXGK
QOT+mW81FA6RpVSfdE5D/fJ14lnyZmBVYsFl6onsPjaWYYZuKaYhf41FZAZOZHIvhA/o4RQXMHtg
Yh3mXQDr4sqL4kZzfoeU7DsKfV+MDosrNnQXT494LtcsBgUFcwOj1lFF+ATbYiCWXpD1Za0+dW1m
wogVVUVhxHaTXrfwqjm/DEg/YNkOsc3ww2/uLVtDFnpJszbqqXfjDVIvaVqGU1pdhgVlWkSWU22S
8zLpijq8mMQYg+u8PtU2NRmtFNypSAk2enpIdCbZ9PWrFtQmpBoQJAhpbQ+pZFk65VFGP1lNwMBb
TeFrAhqDtZp17/kYx+KMoM0LBs3ikJVapFRFCUVjBARmPBmE/lNexnW8SuxI8cuwT/Q8lGOfy2uv
HPCtMGB6iKOfyvo8NlTFzgur6ljtjtAXGO4vhjazMjE0pNpxPgRYxRQ4QmA2tGaIiUrafPzE/E5L
qqYqsbSmZArz28a0Ypo5Y5OX02dFM60fUyMnAGSQiHuMZ1MqSeOf28xo+0+wUitMR68ihtXHugnS
JAsNG0uM90mhpVsLsXkZ0qKHWGtgkeCFYeOZ+A0+FsFUpD7HVDSNCozGFUkbgSUCm0b4bT0/WhTG
q6cnYcajuk4I1pXCZYxwO3HU4IxHST9xOcrS+KNLVQ7psDZvaWANXezCswz87FdiYaaO9Cs5g2GP
88/wH6ym7RVlRjms1mJQf9QtwQppxqbBgoLux/zwqOC5OPN6Ix9qRyZsxIQnnZfBZIHQwyz11ZA0
75WsLS869xpuQRiAIbuPFSL/0ACpAcZvhgyKagObX/YZpnJIrAy8Ai7ScPjxoIEwopDghz1GdvfR
zNMclIg4hm6KZaP91KdnG1dubMtEDF4rAQgJQnBm1I5HBXOwNnxzGP8IglEmntO0MStcrze96FrS
iVfjWRlUsrAcbKmyo8BBAC0sX5lJywbhFLB2jNeVnxr8rZcGirllnw/+rRkm5mXvtVwuY5XlyTce
JVP1Mc1lWq36iST9O94Rc5iWVpTZonBL2I91e973wuquqzLwhtyRqZmSN8ysiL3MssombjQ0beU5
+WCVU+QEWVfxwfWHuAMzdFPVj4kzGCLi0TlOs2/5jUyakfuuOZC2by8Kuw+IB/vN85urJlCwzFw1
Jf00wa3FUiyuhnj0Wqesi0ied7by2VKkxjD90cuchp9bnvjekvGGEneEf5qPjvSb2l7aIe1j1xeJ
f4nNKs2yzM1+eu3ZmWlekJ4E9Nw3aiswz4o4T/mnUXR+bHyyc3MY/hiagTVvjbrJjI/QGKr9Jiop
q0+T6vwsd4o8J0H9wR6mJL7wQkQ3zqecW2nu2HHOaOCqaqpL6ytJIyv7FtAi74YllspY3tlt0/em
Gyd9TaLLxstKYS3hB4hEXnipEctrRHuNOL7oZEHrJLgLrIw1mOUBl51X/O3E8g5LeiJVXQQfmDQb
aZ5lGS8KddXaXhgkbzIxxKV/FnV+03dveuH5YXju8bRvxUcvo6y8khEPfOsca0Wy2Cm6yYRaT2or
7G3HN7gsm2XgVVM0XvV+bQThRR+m0DZubPccArYrwlb8JzdaKeorLI7e8NyewWwh120Bq8t2mpFZ
g3yX4Dg8/GjWfzTCMMEz04ZXX7lTXvPy69SWNu1eRbIqfHpJBgNpG3eMRNyqiyGLSJo4gndaL5rC
CDEcnwkoldXgjcjMupEIbOG/G/uiL9T7yDOiPjlXMTNocRW3o21172TERGg7pW3rmISqGhHEn5Xv
ecb0mvOkxkwZYwmR/RZSuwzEa4N5lUrekLAMSfI+ivrI8s76CILAP8tDVN5VLkSWJmnsjMSkZ6Yf
jGG5NIs4qqxl1piGyP5DfZrhfWmU2Pan1rfK0q3gemNmqdWG0CAukYHuBPTDZHHK0tY2PQ9qjN4t
ApIxeR4FvZ4xljQxfuR10Bg3Waq0yOdd41vKtfsmxwKYMtgbF41dpfhesR5q0IgJ01dGuJxVQZfU
Ht6WBAROZkZCDQ8peEDFnyQZ9Dxn3I4QSzJaowIURhZbAb8rSzg05XkVhrC03N4ioyrd0ApEawBB
3pbt5ybK2jDDfBnBlF8gfcTJ8NaKlCY5BNLFdCOxsvAGhkflV88Y9AKTlaGRF6OBvyV2qqem6wi+
ChVrlT1o6LIar3U346kqxsqvCLgF+JsYilzexIJ7NnN5byMA5BQqwPH7Z5vV4021jS5VZOjBec14
PxktVk3lbmxcW0xC/8ZqEb9lZlgZN5upNtZff5jk9fcQKaDxW0WLFASQzAi6r3Eoi7C6CDM2YtAl
nQa8y6fMD80bOOB+bjtiDVQ+dQ2WGjzvtvKvMmKPnnBIHHSjfGenbY5Z6mia4Cu0QIytchHm8Drb
ic1RG71+Kij+mCjfLL/a6xnMC3AQ5Np6TAEN4aO5RZ7JnlyOraW9c3MN7Xp5SC9OMD+Sh2hxJlSi
Bz/IMcA69UmlXxPwQOKPY16aKvg0GSFvm1cYKdPTu15IUzu2oBKD1L2QsKrRTqeAsLrqJtCkryfU
mPoJv+QJy7k6M0yRxdHVRIUaigvfRBDJPOvDNgdP25GvIx91D3zDDmmhr0T6GZZPLWCxYvBVB2P3
XY1Ytu6QdvoH73wLPxIkMPGVdBKa/qyVftB/ahM/8cPzzLfQb1Ay4rPLuB4VaV6z9VoJo9pukPNZ
T7kddRXIGUIWoxNogBwvj4owhp7vSDlJEzVTVWR1y6I0mix0zdr38HIRBTlcpiYpENtMEDBAyAYw
Be2Vyn3Nzi30K/4Wj62MrPMYxuIwvmJ2nQz5ZcNzM03dxOZJ2jle7SNsiBskWnw/aMoaP2A0iuQ6
LVv8f0x7xO2E2ROEikrE8pPrLm48BAX6KsLbSeDn3WeZeQO8AG+c9NrvbYjy6HxgJYWEsaogaa2z
JIWKTc8GI/Ps+gobOatp+MuUQwR54yc4FTW+3ISToyYJqui8DRL4u7cjrzljl0UUYDou2D3PlLmV
YMJqr0fG6TNS2XnffCpZH/TyslkPfbD9GlPEimGKMaLY72txJieTQMo1FdfTR4ZCrxrEq/QSX8dP
rTruMQOkpXq8TRhS/KiwwPH9MkT00XDCZEJcGbuU4sx2ELIYZfqWFaTCN+RItA/bibbGuloHWSYi
kso7b7Oy8uiV75UT+pjWoTcPbjmihqXgMUKUHonh+qYpfKfMbRIEJsTrNJaanxrehwjC+7HVQFQy
6Y3QeUib25hm+Hp68tqQ6VABba0YsfgoyXw0r8YEo/yrh3nmGa96r66q8NpmkQ5S5i3U3VsVe0w2
HzjCWKN3NniRMQbnsi9EUi8RusDFMI5CEEh+4T6yuqUDZWgD/MngE0Yls1SrjVR4erlVtMIZOsv1
TEZNjkg0C82Qda/6SaSe+hBPbW/cVDCmEVWYitKWXyBvsb6MvpgwAxHOb9DLqMgMCH+4lzpKlYSw
V2FZ22neF1+kPQYl+cqHRCbXUpbF6J1zmteN8XcfkmjwzqDRWCKcOkH823CthKjqMyKSfdz8Yfpl
5PuuJ0YWDB97Bdum/GZ3YVfSv2rPQmjioorbLrVdg051/HniLeW500I7DHD2CclhUypUzbakxSpP
I5u6Hf5oqM5RPTJTw3IzkjWWZREhQOzi2IlRD+te3CRJp+WfPfpamsD618wb1qn+RnYfvfciqv+G
y40NfGP0R/1FjyE6kZ7Bc9e5jTDxCrCyD2vRu56akRTIF/dKcyXSuniyWbKwKSGJsFNWP1qH4LU4
NXy3GsaKKYfQyrTet4Hy+9zpzQwBez5Onk2v+jLTXO4bkw4HIm+sg9ccZllzVU4m1jc3kX+4RtxS
Ux6HyDR+2bxIVDZUWomlYtysPbYsjCYVO1FWtBw1HPcCK14HGkuL6GC0kZQ6CFlXsuJ8mfppmaMC
pZStcdOGosCYmx5ZvO5VSH1txgV8wDtUl2iy2nuGM/IYesTxRKuZvKA6zbjM+kGvSeVNNA4dEdRZ
mp4FUQJuPF9PCOLAWujF+gh0iPeaGNHrgLJEWb8IfM0cel0UgXyrLuPRdbc7YeWgQTk24tX0Jshz
CaqV7w/ghj6HmC0Nrjko6RB4CZwuLDXtv/Dutn07/XqpczW4RRXbc8C4245t1Q650dcKoaq1aIwQ
AwYV8APASU+/ahZABzfhzDO9DQghK/xfarf+UfKyt+LS8mBKPqwRMx7y3C0Lj/N3ykbOChJZBhrU
NoyAcM4rDsg2wvFpWrZDCDi7B+sHNwZj8EiHY53TbVq8jlGEbyP/xkZWTX4JBdH2eF1j0+HZlMN0
/tU8774QJdcIHEgLt2AA61nMIg4qkySp6X0shwyKwo+h8a/UGEPMbTj76QESHbb7kfjSI0Ts1hQo
obFQGMbngcwhibifNYn8uJEYfTDpoP0o2SjE+cBrqzuPCm+qPrQ9G6Nl2mZanrMKosGoJw599AuK
tlc6KIIrZeF6OIa7IHHq+DwtNtqm0auRlR+TNVP1sOvA40Mbe5DrodWFgCDg7QjOtBmUA0wLI9CE
RAUr28ntSnj25yJluTCdAaJldCHqS3wd/OGR63Bk8Cfdfp3PKtZi9ulBzGEEcNxkqKPFWV+E4JK0
7XUDvVs2dDC666COtWSa7g2hArVF7YfRsFr+5vnvE7jq/L4SFGf/zoKzaoA1Qi2zvd6ovcEPysgx
c0jW3Knq0H9WaE2g4soiKEMEY6D+H9dpz8QB6z1Eorswul6rJRjJGg0VJ+CLrC61wnh6gLrDR8sU
CwLpJw4ORD0KjqmexzP7cRrCahLxpcqMKhauSlPFvsgKDPMrFtx9FaCzkMGzODx9FF9tY5d6NB1b
X/qXa1OkE4iOYB3RMsWPp0e1KcV4NDDECvEqfV8iytdQ0zlPF5om8jIqDOqLaqJmUJ9RMehqhBYb
3dv873rKkEN389pHbNV2Um+Ct+g0wm9I+hraGiU4vpvHBSI/byhH7MF8n3rC9/PLEbaByK+9IYzJ
MLoeRcrpr7osU7hBVUR5Vp6lSTvRxjVzU9bp0qoEQm1v2EByJt/b63xeLOGMsHdelpJyeBv7QWej
ZKbtZEgQE4lQqnEJR0OF6TIxogJQbAwUZaBZ4MRrswIWugVlIe/F2NrViHsTorsPUgrRDddQmwF9
Rw0YtDm14CdktMUXYGLJVl2zOtHGnLG2bQokR8HtZmGRKXTiuklR4pbVlZ2FS1moJGqdh5BHCbUZ
OBtD5t6CQmatx/xOpaWVuCo7RJbgW8SSnhVWjlemMbyK7pWJbEXou8mQ1vCnEM9PouQTg9lrs2s5
NjYvriJpGjoYUHcV4qzj2g+z+7Fm5TL4X+x9WZOduLbmL6JCDAL02Ax7zsE5uDL9QmSmbRAgEBIC
wa/vj3T52D51T92u6H650fXmsL0z2XtLS2t9kxojALsCgYnAMiR1NcZ9kTqmL2cikgEaX+rdsoHJ
aM7LARcsDA8Uar+1fwDfsDFa6AGJF173owaJ8MAl0OYygwgJcoJdpQbXrVPhoun8umD01PGJhnb2
PrnULmN8DdiskB86xuoGWsBOOwSTMK4Ks2MKLTG49LzrF3y32Wy9VS0JcYBMTClaM5fG6RIsxXxp
mB71moCOnjmmaRYr8KK8InofkHacX0MimqXKigANd5eIqBPqqQPy4pgk/ka5/VGLBvDhZXiJBep2
veuqNvQMuuj3PgvA99YnLt24HTrflkb73g12UdtgZFMMihiZTIqEwkUlK/sIj+E1jZfMjTOxBxTx
Pr6XHXPaneC0pElVlvM9XTits4XPxZ4Hk3/gxF+PQtnpACSjv4tU6KWW0eo64mNLgBlP6qHAoj4E
Je11gt1XvdZKtk8l4X1mmVtgFm39cY9hF5CS19FzLMmnvsF27GYZXsKZyywKqgrfLnHUro5skNc9
Nzdr3Y4kR1c+5vFCfOgydSjeKmnuPTeQZxU45VlMesypBgQN7Ut5mHrDsorN8YdIVgN4fcmRND4U
WVvJMlmCrstowYZTvHpitxQdWOBO0gA/Ol66NKi7aDfjRx5jzGOvyvZmD91D8XlgTbtvrNuuycJq
uqtq0t9LJFquSQuIRieO35ePs13jl9bpKEZ5Ix7m2OM58UZyQrxGxZPecfxLAJhup0aN26XqqPgA
8JBDrzT67LMLqgfzjCvdu8mrK76TS+fkrhbjnZ4CAA4oBZlerDn5Wi1NQsUcp0XEiip+4pPHliMU
COZNe0Ht5r2RI8YcLqolmXwaf4lHCjGtUzjqJBjkCFngjvUHO/kN5iTRn6ke3SEt4qp/IbWWF4sU
x7MO3W2FFnTjUMtpPlm0s1ckaqYj0G/nxBu/8rIY1e+zO89+l6xr7FYYm6XzPMth/jI4jk097q4v
Wte9B0WBhHxwXTVWbtXKNoFiSplMrnNjT6EphzIhruTXixuhEGOkSqfZb/1TEJNWnpQd1M6TxjvT
VtgESO9HOi9vxBTFdeBi+0zajBmgRcKT0oopyujS+3kQjd21rAL1vEiLngxC4rHUiWmggWjSiJdU
Jo7xgxcw033ie2237wEUJB4R4wfrds0HXS1jkzbjWD4O1TI8QWAvvGSwxqaFq2Sd1Hg+MK4xMDds
PFutaWDj+ZZ5umrTbp3ql1rINQHJIz52PR8SKSf3AwOJcJSeilOjSHEKeBe86Di0lxp4/wTaAZYA
gD5jUhhnwERqyksYOz1PWrdhL8pBU5PF6M/qhNZ6uA3nsNmh0IdhyvgaHUa3r26h04G2Y67Uo9d3
cj8Z6+5rOYUvyi8eZ8zJj+sg1ng/yGBJ6kGUXxZ8IPtqjIzJ0QYu96NitEhUMICxbcoxIdU0HUPW
yP2APtRNykizR9aN7NW30n+oVdG/Tuu0fjFY4NkU9d5VAGHBnuCkyAY7jPfoL52Ezt10cZRuPq2k
7/Z+6xZQZgFOvq4WEuAss6hIpOYx8CDahAekThWp1F29b6hRj9B2+Xj+yTu5pPN3dejrZ+Bywy3r
KnVwl5bdC6HWc6nrAZpplFyMwYJfdwEZT8oE822nC/Wg4jh485sJxcEbluk6WAQ2DzCtG9cfzdmq
aD7y2fowaJi42xehCDKMx1BYAvZgx9VRxaUoKvVh9eLqMQZ08jys8fiAA788YLNFV6vrjNAwhXzX
soJewHC7fjoK1mbxunQ+1rvqdmvp9LcNIPjb0vZySKEMITs118OzHE1QYrhe14tigTlDqNQAHRD9
Q+mvDBr0Utjcj5r44ILzSye5BjfxVPpA5pXz2Sk8aNAuCw1WztJFWPS6WWQAaceXhvpTNOakV007
Ji2TxWV2ZHkLlKW9doKl+9iO6gWvKQH0cvejFuhgahPV15bVkF9S6fIT66X3yTiFmdO2mskVpD7m
kXvTNOwrr/WDlFVudA6KXsU7RkTHTgIOmAw8brAmE/juLGariJJ6HdmUCL/ornsHfP95cYYIn3VI
5lFdBjaB6HGtcudjFwzixreB8yHqGJdpaFXV5xWT6q4u+SRyUL5LdRa86XnmqI5ChFgUrrOHLF6v
d0vcKVPtt9aDZGywfds3+NT6uWxODWZy1aZuhM4lpcIU0xXQklqnvnHLhzla+yXtSRteINcr3Gx2
0SKeRwzi40fKMf0p1BElRxqicSo7yIoO0xhGJ+pZ0tUPq78U3pQsdiDMnDwUO3KMAzAC+wE3U6ms
mjQ198wpmxoKnLJlKlFOUbZN6gTM3nMfqpnEq4L2Q7+4zrqfMWjWKYkGj1xmVtsu9RRw/KuoRTnN
IJBbsx7I1qn2Rp6GbtScRmexur5pF1ghVh8ff0esyIDTiGZTaUmPiptxDOp4zJawDlsPALvusR9i
0JupcRdP5IFr2urSVGBnE9EB5k1XWBi6xBcLiJ/I1M2h4wHt8xJE4VXDAZNmteX24JeBG2e4v7KK
AInVyj02pZKgIw2NlsSbwX6HozdeO5TZKBV1EegkChofUBwwu4+udNTniaE18ZVcvH3fF66fl1Pl
GS9FC1c5fQpuHlK0OYmq8G5xgj5CY2bihbcpKumI/9ATh1v+hiI0xGFeyVYmtBxcy/JGRG5U5dKz
PaVXrjOF5hFkrigO9RAHL+U0fVrXqnwsK/mpZJLWCcYEcT9D25EXcaH2BIcHQZEIFeivaD23i9de
K5+b3VQplspBrjKJINOUiRBU3KuuDTOlwiUxMQ9QX6dRvI1lse6ivgWNV9riCgxjTFLX6nnIVhw2
wS3TlX8fQUCkMj4B68F6wIJJoIebP7u9hDNr6HSc6ygqL7hfpb83gx7L3NhyKo5AjcsocYRlR9HX
Q+Z1Q7trhoLedw1xczZW/bkpqHPlNTY4exKkZV9qkNcMY1HmeQViMUxk9qv1vDbBnYatyAibBp1L
N+yvoR+cx6NUc5EwPRObDk1Zp0GoJ5kwVxTQkEIQaY46xJvLF4Dc92uh+OcCvPewr8GvZQqbck7W
pVHXOOVx+POwaTNeo7/AIxR3OHX4zsAdlZpOVh9rXrqfgLzZHUQ7bN8TJnaRjOpbpyYqnURYPZFO
PLY1lGAlBrdd5BX1cz97Y59Qv++ffVKok/H8wiaFsnWccoCjp0J6eNMlAcLN7ZRi2PVvaowlp2l2
+VtT+dGnpijdp8b158sE5jajcuiPPiDjjwDfvWarabDg+TUZrsKi8NG3ojhuizB4C5ptGF46sZ3a
1tOv/RQ7PG9DDiIUYHIfHjva8T7VitsRXNPaAyyM5tpN/RZ1JIFRqqZXrdTea1VVY5N4LZ4hqduo
itMGPzcF/IU1US2SHkVovCgbKwg5FXqtpjwJ2Y+/S0xtVdpI3yefcPDOKmFOPE8HZ2zCbJS1c+AD
9R433cDOXafGJHxx5A2ltn41UyxxPGDy3PWmgBqqL6h/AXWnznKBqCRRJVqai9VGvjbeaHmqATNO
CZ9a+zaOC/YKNiXmNCOBYn6ewFpNCRi5Ke/qyT8BpC4hmeJ2RTMP2eiXABLSYieiajwHC+a3xEE7
MmZtMTg0dwYBzS9ZJ/px1G37HMnJpo32ddYSZyDXZo7ce7BrMYMqCD1cEo5z1e5nNFUnVL9uzu1Q
VTVaOYbWEyoOp7/2q9l1UlNsSrxFECpzJSc4DKBIwSJKg0pUddBMu3IKQaWIJq0bNGkq38bYKS2W
gXvoqf2uWJ86bbrmxuvdWWeYKooGJY2F/SpT5ZqyXfYO8eouuAmNX8RJ4w7cf2khG3W6dHJiWxc7
EGaNJVdN1Yc9SzFt20AmZq2ENmmEA5cuWQX+Km4TAzV3sGTdtBSiOS9x4fkk1QYDmLxtJ6BDfmIh
82Zmp4wc+BPsZkFfZjO2CmgUuHHg1ksmO/ThuCvRq3VHGE0d8VUP2k40r6B/El1OB3Bt9wXxwL3s
JYRSY5epJXBIfVsb2eB7CBzIpUwNJTM4gAkyd7z9L8JhEcHnqOtuyZisLH2iYJmq+29grSM3wmFs
2QaNem5h5RkO+426h15g40GwD9focxkUxIZ7KP5X7LfB1Yw/GzlXTpV0MYAuB5NtUc8hjgiU4/Gj
qQAoxJcRDaW9JjUjS5CaUpuh2a9gt/Bt4cir+/rVj003iYy2o1m6s2/w9taE91BZ6BSiF18U9/5I
JQ/zEEJV7p+IMcPSQ4fER/Q4mB3KYSdlXKMeO2OfNVAhXXkQc6F1lwwVc2EcTVQc7PkYiWWRQGEn
IKk8haTKtHOQl50NeJvLGYobBuyg6+PLitYvzgunDQuwYFPBpEncYGBBHi2rH+zB+4mPMjbtowN1
zZh4Pcxn8Dti7+RQm4jPpGvQZUH9Xqkm70PNqmxS0KnYZIUX8wMMQ2Z5V9mfGC+nWwp17AE4ML/0
pPDTxgvNVe0ui8ilLyDWmhiIYOm09zWzc3Qc0MJFid/JJUhsNzfdXo0EKkYby7mDOWdqPsuVFA1K
awAfc4hz1GSjvy53mjuzRYPgtDk6UEyIRS0p3aswGEVWiNi+OmthF5iYy3lw7+KGNzSbede9KQIC
O9H1hNGgW50J04iq3SpHO6H0wVS0mT6Xjt0QF3TUXpeuTVXu4NOaCmcnjBtDnOMNrEsLEvR9HixE
H1zdR8/t1AauTqPCK/sUgCKnmFCjRV8LXCJlMo9QMz5B+gDZBDSsUNml0HQMExok14OuCODWdYnJ
WyTBgD78yoJws8nsN1EeNWF7ckrdQ8puKMwV0NZJAemGtxidxR1loKScsdrDt4AvJrKlk/jQ1h0G
2Q51agCYva4QLGBtFOyDcUiP97nKXehKe7vgy84CVsQsr6Gt+OJAvATwsJblxUEZ1p8wXM7Vh6gW
auu6fI8f0MGEJxVElL+iRPrL3p+C+q6f/eIKMsnyc6lcfPLxvFrI1QoDZGRduU0kJ/NjbKm5nVVb
4S3AxgZ2OBI9qmkkYFZoKLtzAR9GGav7+egCtODZDG3M77MfwEdIGx0cuqCuIU9U9H4oyn43eh15
CpV2ExZBh1ipdoVCX69LAsvRcg1Ppcczz+gJpq62g0Ce8YlNxzJUUKfpboUctCxmi8dl7SaNwDSc
yi5avB0YIvCssERznZWTP6H0OvA78GSUEeSFfqkHNAXdoq98I82l9NwpzggtZbSDEEI+zDYaoToe
O7xLqAGiT4Gq4jIRaMBvBmfreDXCX7oEPfXCk7ApGOQozcCrDAd6DeUV4JLbVQABSNZQyjBvJgjs
Mp8Inq+DxWtKCjkdZCNCZpMvv8666nKv0DadR7o8R6gW09mOnZJZO0zxnaYKpuTRoXTAQMCBAgmv
v/LbwjvHVdtEkAkVi0iUW7Cz41Te69Ly5mQdqW+h1atTaMC8F7hiTAeeIWJLyqmuVRrNAV8yMy+1
ThALMBa5qXjcov4qvz3XrrfQ3RjO9KNTVNJeA7lqfIABvViSVgr3mTMoHhIBIcZ1D4UJyaOZLhgK
mAdXw1AQKnLh1tVDQ5F5kOLcRFeH/jyrfDXE2+cW3sz+DBja9/riOm6F/zRAZVEmk2mffS36JzX2
fYKUH2CPUFRCKFVOWPKtei6dmZTorayTOug8rpSBvUcDd/nUlQZu6RqbOlO8iW5GM/ankQ7weqio
uQAXiA5OQeKPQIx5hGVQhq/SW/3cBkTfTWrxjo3uRy+tp3jeujUiIJ3pAPFEWscH7VddmK3MQeMk
OLP7jnpTewe3LM8UwK1MYakH6eBTk6N9cc/d0lfQBs7uU1Us9okVo5tIbQisk7TJRdwWXyErJhly
t8fHGO3+3g0K97WHAv2J4CU0cSw+OEj+n+C5ia8sSP69nEbsuti8QKA83kpDliKJx5642AfrLSud
Bh2NG4g9zgPVYczQfhZHEKfg1Zd58NTvNcCOLLYYVAYkWqyJrdz+oxO3wX1d+YFIA6D6Ryk7F1QY
lJaN778tBui/yhsJPEi94oBqxJSBA4eL6QkTLZLJ71Sg+4DejHU1oMrrON60SWqA/xkiAbvUYgDX
AMKxvwkWSGmW/ezBq+Flfk/sWB2JqUS9HiHkXsbHgtuZvtEu6JtD3cdiDNIiUGR0sniiwaxQvBqo
WcBpQR9RM5eHJIPwzl3RNsZk4alqQkXs0SwWKGYSepbugqCb409h140oKoNsWtuijtGK0Ax9HnQK
mbOEZQlBSwCNFeTIaOOhqlrghcamgYw9oJCCVrL/QgZniXQGQhNCvVzLeWkqMJa8bKAWkmWxicix
BgfQIGVdrmT4MPnxiBGG+zZU6mMfz8VUZyBiY8x9sAxxW1/Xda9Nn+kZ1xe6OZG+0cOradbJXRL8
FMmXdO4DtGTJKitUhkMBP3PNUiDW2zsJwpKwdl+VdoqG341Trh5NeBE3+Ddo4aPQnp1RY2A+14su
2jC1hMXRtPtv6LlfDSIg/2CgZvDKbiFnbMsl/ZUK7AhmjtpK9kZquEj+YL29sKGgn5QvSqg953jq
REpEoLwoiRAfAaVKCx5Fp6Pf2eixfie6/vq5fmWX8VhI/QlhV2XgX6EC3zz4PyskOF1gTSp59LlB
sAPaS/FN+CEa1mIhOj3osv+GqPyVk99+I2zc+DQ27zAo3y1i4OffCNAwHgn8El/Et984fVPV+LRT
oOZ1VAUGIriJWAeWD16DrPz2VfwRbXL7jRH9lkLzc/TJz0ko/yeRKlf8TfW6/zr+e6bKLz/of1zw
Cobzn1bInxKF3gMOf86AcAnxN/oaf/fyPVEIl3wDyAZ3CuUgzMbfAx22sCEI5gOfbGE+79EN/0p0
CBCugqRH0P24mi4E645lAUb5PVLIRdpy7EPngOhtxKDE7t8JdcDFtFhAP9HgEM8gXg4QBJ4QFyJC
qvDrAlMBEN5xUcUBQSR9dVjmkX2J6WAeMYaluhftlEVW3QEvEejN9Ql0HveyFhr6+7UeP81jeVpU
8DJaBum1cS8tHB0Hv+aHxnpXDrbryt0CcqXygO380JbB/dgBN4Mgrt5Nnv4aOBHqKga+Bj1JBzor
Aamns36Yg8Rb57smUE/B4ImkrKDL54pmnmq+lj29Un2kk8oPH9dtqOVef/JrdCTNhq43gLRTQhXa
/K0JDqqcd1GUdK4VoAOQIQNBDiq09LIF40xnGaTTs3OrQwVPT1EMaI+6fvyEGR0umcoHw3ZpPQge
hadQvOcxMSFLy04/0d773Y23IaULE2cVCQxi6z5EQA0s4W3mtBtk24xxYoV9DrpwTHXbmV1dtg/u
6B4w8x5NP11Q5o4N6V5WM+6actob6d3WfrEm0RKcm8H7gnJ3KsemfFvWNkq9qRrfGjvqcw95VhKX
ZJhSRkZ8QjBe+DAxwkC7D3oezyld3fn32ptdmCjQxj4ird+/qrS9rcKwT5alH1PfDjdDN3tQ0oM8
hJI1mRd4IZPBbesXQrSS+CydzwKetLJURaalhGMvqWrhn8ugbZ/e99D/65LzP66YRAzH3H9OcUpU
39k/FZP3F30vJrhhfLO8Rj7UgMiz2OI/vseT4ZoFgDAIdCAId2AkxD99zyd7D39GGB3FNQ3Aabbg
lu/FhODKcmilULFwpqHcxH+rmLy77H4pJpEPEz5cjzCt4znei81PCkIu5hF4WDsdmLfuRqjFYD7N
HVqltp1zM1me0x4aCCO5e5ITxGSRaTN0P5862cQns8pjpKpsXOM7bMEb2DtDrERf5gO8kl8nO82P
up2O0rIJA2x5W1WpRw9FwT86XTtkIJRug/VAmYf4Mra3gAr7Mjy0a5n4G68MmSVcrWI/sPh+HoO8
80bkHCEdRX5dR5Ez+wxlZNoENy0x6TLOiSm+LjBBLW+tfVG1gzmRFc7nxcqneAUkOJUSxuJ9OVQH
b6DT00KVlwZAWdMQCLCulw9+1O355CRxdVOC3p6sunRdnfbSSWGcvIGkOMc7O7YxzeNwOC8dJhDB
BdQvfK0OYlUft3hSREkNOwu5AGSxLRyd/GKWC0QaN15wxQboUJrN+M+T1dzM+iGk5qZwmnwEbyGr
Uz/oT23o3LbIkrgOKNynMb8qI2hi/tm074f51nv+50377T7mP+1aCG1+tADRbwhIAyLibdZM0Hk/
7doIhzlUaAgaRDSN+x739H3XIrANUc5o+3A8I3t/qx3fdy3S+pHTD7EuktKQzfH3UgUpfv2vHQAu
v8X9uAEM1RQqZ3dren/atHUNW/nqm/5YENz6xriG/sQIuCfpivN0NxG3owcNgML/ML9n+s3f8v3e
s/4o7N3Nc48EwHiLAlSxcRvgbiUFCFRYzCU5HWthXyQYwVcQbO76tWh41Zxw5VcPojJsI5LWJYXp
OSrsai8YCgbIyEDcQ8qFMxz29hPo58RGbIBGD/eEPxS1UUkTOFBYaZxVRC0XsKyXmkX4gTiykiLk
IYIxhn3k6CvHemnRrB0OwumsI3hOA4bN0jEQIxCtAcCEPAFRAsAJhdFpKae4/GdvfGt0XXST/3lv
XDhSb0qN9OT/Yn/gld9Pteg3dKEwBAbvO2BLfPh+qMW4eQSqZCjvAxjqt4zBfx1q2APQVkAPiy4Z
qG2I/fZjewQIz8EGgQgY07T/9zpk+qcOGQHNCHDwEb0JRTEEo7/uDwU0dZkrKo5dZ4c1helCX9Ud
lb/zip1pSTwOk+oShHcTfG+vo6Na0LwiviqDQHoHKh0nBv7i8ES2d0hQit/IGNnzLOLlS20sYiM6
dy2e5xZ9XTREN06rD63DstnUGXPEdd0P12JhD5Goc1t2L8YlIIK7Z10Vrwy4UDn4Xjq4kIYF1aYp
u0UoYqp890kI/8GtDP43AFphG/zl/FAARU8XSe5VTc/9JsQkwZXT8g+SkksL8xokic55hfNrUeQ5
rPi5ZNNt2Ey5Jfy6fa8OoBSgotu2CXvfMj02j6NYAUlHBPmEhuEksjxR215zOwAG2+5T2k9DbEeG
bVkQESZQw9WJA5wmGbF5G04uzbab221fI9ZQJVDOSchUOADjBNoueYZDHYAdRKLtUXv1koMebG4b
t6v5k7comFZDeR3r8vMi+REmwhcaRyewSjfKaXZrOA3wxXOAtksIJKcsXxeY2dcJDKQvhicW9aBs
CIObtCHXFXqVBI2YB85LIIHSsjez0Ed4og9VpKBrE8h/dF1wl0CQRexbpAqMV3zuro3umoxbd2N1
xi6FIvJ2gobkIHrfBw0VI2mmmtYEX8uZ83JXrQUk1YH8qMepPFPkU+TjUt4tY8CysYwugXXQW5QI
+IjKHcSXx87Sq8joo6flPZjbSxWAtaUCurfWTUFNkCTmMJZT66j1mbHNvuMti0O+pUL906IzzL//
uaL9r7b9Ur50y5/qWbS97kc9A6+AQ9vdRmsPcv2fCxpad5yzEegN8kuII0Z+GHcIXC/ER7VBm/Cj
oL2P/HC4Ihp8e1FE/06X7v2aFkFRaylm/U3njKYkwJn/az2DTR0tvde2R3eC0CvD8iL8CeNeGX6Z
WH3bjy4rUv990SCTDQsofF9MupeIRI3NkjgDXAf30WDmCVo3uhYplb0LfS2BkCSzFXTv962hRdqh
53jBuzXDhbsUKcWVp2eeFK2y9O39e/j/fkGCBPqrBfn7Fz3iErvtLoo/rcn3l35fkz7OWCDA9McS
+tchi8kRGUMBQs1dhPkiQvTHIYtg0RBJU5goA0xMSAD9sSYJ7nfbvCgYKqGeRSTU31mT4bbm/m1w
xFpwARUzDKjoh39dk4q1oa+EYw5WNcq8Osi06POF0S+Kh7emcx6d6NNUELPzuKPNrYJJv9578Phk
zaZI1GQHaZHTPw1VCfVcMEt3uY7WQudR6DRQtFShC4FaZCt4OAJWyTvHFFezLYOXiih5XXrtPWC4
+SseAZSgHwoAPICiVnht8qWEbIbbAErlfu7AvNgZRo6hOcieDg98IsOj9Dv4h5f207i6UEw7AMpu
dTnIQ7CiVpeQrt+uC6q9omYPJbXWud+uVGVhpdGNkh10FqnbiNce06gq1O+hH94XDvD71huarNiG
W4R1fDTIUevfh99/Ns/77Eb+spqnyG/fLrH+887ZXvd951BcfYZpCzsAufD/DuAiFQ3N6eaqeC/L
P3WnOBEwpG1NI3xuP28cQLtkC5aG9QhhGEH8t3KzXezAXzcOnmibIBFniUqOP/y6cSxkpsj5rMtj
Ybu1g+jAWri3Y3/KPfA0NgtXFq5nP4LxOPUhj70LkQKx7jufuiKDbI9ANdaXw3Dd+EViBgVKllVI
QwLgR9i8m3lQ+Xlvo3j+Zpz7/75gA+r/q4KdVi9mfEHQycufVt37K7+vOlwiAZzKRUX+A+r70UOw
3yIYVEkA+zfqQPRrXDtYvQhdwh/wIB7l+1D0f9VDvNNOv9RrWB6DMEIj4YKBwIP8uuzENPoRJ1of
Acp3Bz8uaQ23DDxbXwHVrSTTbTQvh2KlVSShPQL8nPuxcw3fm4Z9oKkStw8/FxVyH0K1V91YZVbQ
bGlLlsCgAeggLHZElsjcGt+gK1ur9bEbWBLr6DoUzZiwaXqqTdFmQyDbXCkHEjOtR9V9gniiFFkQ
oXoevUpQK9KVdn4NJ42d53RLDwVqWCrAfKyKwCDICqTqfdG7iIyeSORd1y3Ey8D/ENn8Dw7wBw4A
fuo/d83AyMayF1/Un/tmrJ0flTb4DZ5ojPKoqRvnhZbiXz1KgDWPvECM/FEI8nUDvn/gZNtaRNoc
dkSMMo3x/fua936LUBFhCUee+reW+vtdDLffFvNf3r7xJ5wMYAL4MyAK6KwQH/1vpbZtJtKqxkGy
be+J4LLCvPKM0FX1Jmb4DdbDVPNHzrfE/Wr6uBoinUPN6tg5OriN4NAgiQyQmosIOY9zKN9mx3jT
kK56UalcVLiaRLvuPQaHIoUQqMlNJObcCzhJAbVPiWtNOpD6ZkEIsz5FsK8+Iu3HwLDpCKn2ywJx
dwI0Rtj9P93B1h0A1fmrVQs6Bmv2v6jSeNX3Kk0RvA+CFuMcpqqNwv2xYsPf0C8As8KCxXX278vy
+4rdyF0KtsXbyBL8gJ9W7FalIxRwhgvewP37f6s5YH9qDoAQMwDIqM9btvb7v/+E7I6kpwa63PgQ
QTkx3ztVizAl6bhje1rKk3E+j7S8EHc4tNa/E7AGHhHF8wRDCPTgbvupgk8n09AKBpI/97B17jwb
eueupFegT1SqecXVRXTQrWK6oPSD08HGkVQkPqqeAWpZKcJWIdxZ+5xCZ11MUKzvuGHBEd7G9lxO
aoCovufOlEK8TXdFNCmbIeL3f7N3HstxHFsafqJSlDfLaY+GJZxAbipAgCxvM7Pc08+XADkiwCso
tJ67kQIk2F0m8+Qxv7GH7UIig2CeUx/QFhnBDxlXMA+YbzKvhQ1hbywmuEKPcis91E31eFcy5130
wJfcGnrfywgYioitx8JKtcdZD4o5Y+46PTqGaHmOVuT3rvM3RsLoFLoL89uuxTxjvK71AHocDZDX
eigtFvjGekwNC2WlmFtD5cp3Qo+y0bRBQjq69Rl6z3rYDQdilTP97lWu23/qYDnLmdAD8olJ+RjF
JzOT83QoGKG/TNMnRt+VHrAj9nzdv8zcUQxc233c3o0HN+2z6FMA5NC9+e/Ofsn7HWLz359HN/Kb
+vrtPzSl9T/7ubUx4oD6Yfta/OU1t//ZlA4YwpK8W2xd1yVH4x/9tbNRzQC5oS/C1w3rv86il/xL
YzZ004Wm9r/a2S89mjf5l+7hMLIh+4JURjr4Nv9qFMyz0HCLE+mVI1l/3AGdbIeitLZVBbC8MuDY
HHy2iAcOWOO+wffewyz083UdiH7lYkoz7wZUPC6g0vvOnd3X5poJTuZX8CwZYHaXskJDcjsvub0r
3FKthWnDohjbSlAUF3I5wh73Vl1WfW5sIGCBL/ONsTCvLD3I0Mj+Qf3yB39TIsixhuPTowBax1AY
ZHoELz1FD6Zb/Ym2jXEmldemJ8jc0Ua3UEnIoEsEp4Xusluh3Z/n0mlxzQlAuq0hq12FJfPsb7FC
nOJBoYG/+e/GeD3yaAb+/cZYP0r52D+qRIn/cO7xT39ujvAPamHAQgxYfp5gP3cHhQvWZJTEpHGv
faFfd4dLPczp5nAsvRjI/MzUXs49TCCoZv9dd5O21PuKWFemwPB0Tkjh/t5JCgwEorQVKhGLNYz9
kUmB6d3wB81wk+RGG24r3ZqcX7qUlm5YlgvCtcg0vHQy0ayv421P395ZeV6ZbwQ18b6rURfIRFZh
jNIfnan5pJp+NzvohbZgjccsyenrj9uhat2VSrJtP1THKQpPPcts12i1qbWv6ltg6FeJM16jdQiR
OE82A5Je8xgflr59TJWEBrUcIrdby9bdAyKFD+KP15D8TsolempLWlDz4u6mWO4NywR1PQ0bYXT2
2jGprxpkXyMZX1aVD+5pyhFqEO4lMeSMo+MBxlexxsEAxDbndZgEV91QXJTZ9N0aLChVVY16vAe0
NLoXytu7tf0nc1qUIfutKM2tcpZtH8uvrrD/HLz0akyHHZ4ykjlsINZ17B3RRrgK8+wsV8Op6czn
oBcOdiJ3mWgMQofxKV+ai6S0TpXrb/smuS1IQ1RU+WsAjl+Szu04u4tqHWYlOrKMhTJRXMEcvSZ1
yFaoh6AOADDe6NqTEmU2pMR861BF04NEbH412PZtFDXyBDrPfk69PVIhW2E6V407f5kW69BNxeXQ
FE9M43iLY3M7hNOlZTgc8lV7SPoa7wdw2Bh9kDH0OfzWfpHHzijs9ThmQHx7uays0gE/Ng03oC+O
dWlfMDA6jF53cKfOvgwK+8Fuc28L7fwSwPkJ48mUVAferVLDnZNF2d5X/YWwncMUOU/oz3irykgR
sRt2qp+vPaBxa3DYF6HfPvSA8qCX9o9d1x8zhHhRBuisVWZhxDIu0D9mSFJW9xnHBfAuNpiv/mHI
qlPaUvPKU0jCb6PX+rt/Kcazsp3NTWwWZn6GRBOq9/+Nma/JBPn538fMG9rv9bcn+fg8/xYzUfj6
K2Y6f+i2DGm/BxqEl0Cy/jNmuoRTlGYCbF50bcth/ldCwT9hjKQ1rUACa8+inyGT4hZkMPB/1FLZ
xLQY/0VxizbW+7BJdUtDP4zo9TsAUd5lFJDzq6htUU7olZ+CSYwh9AJEjM2jEbXC3zmNIEMvOycN
YKKK6FONnvHjqBq/XHvSnPYSS42stk6Myes2STjCr6jP62D4GsjlvnQbdKtbHPPG8A5269ZuY5vF
KINNy/7bpX7QbmNPNnunUmfkD187SaJPe6yr8DGpg1NAKsE6Gy1sLKmml0whzjlO4Trq62CT+3Ba
09oqrwe0NjbQqo815NyjRJjEhyERnQ7tbK3UEN8tcUDQ0uCQXvjiqWugNlh1sIpDNKIQ3UHwbnbR
zxYhmNIB+6xVCVPcWQ/QoY1Docpd3s07GsYnPhq+kczQBjJu/R7ya0QHLN3khrGZgWAq6VxkFXrn
YwlLcjpi5bMBhnsDmXUtEtD0Kn5GCIT6IUsOyDTSEYjtQ1m2d1WqzpdUrl0HwlCG8oYIL22I1C1c
jpUztl+dHDoSiu53aTE3GKwta1G1q6Rpt2oY3PPJSM3rSfXfwAnej8lFbc1XAW0BkPbqPOjtnfCC
7ujMfnb63xDwmjZ9GALWj8iS/ad+7i+738dj03sBkrwgMHUD6+fux3OWFgI1AR18EJhve1sBeZbF
jgRMCd6LFOyv7Y87EKEkQsdMa5j9K5DLiy/cm3oC1wqNKkdeiXYZwIZ39cTiqc5UUXqSlUir3wBb
Ts+slwlAbXEN6yWuxxskQS5BJzrHaejybJeOc2zuijKy4KgxXQwPecCpAqJCQdFEamUPH/8oI9tZ
jdK4S3Ok68sExRojybc9vE/NJPYPWGInEI8ca1Wh0wFUPEKsC7h0Ym6bGiHaY2VaQ3dZ5D66Csqr
H6GPJvXGbUarhSLphd1uhFzTav7qF2j4kA9fbGzN9sXT1hcSg9uF/dGA03gSsJK16om2wu2HttpE
SYoI05DFK3jqKdI4brenzch1dNW467ryDO0Va98s3VfDUms7nk+WODsdkd/d1BWkaNVt88jlssu1
M5gnoxEUW6Npb0Gm+xs3LL0NEqjhXZJ1wbYAp72HJB/uQ1S+dpHKs3UsZbMrLJPaKYFsOIdESBvF
htkto3WQ45fYQxI0Vla6JLsxmNShnxX3MNfMNBtSoXCdopJ1kYHzvegNcw/az5FoGCAv9t/t/XLC
63319yf8ts9+bwOC0vjraA//INekE4A3Uoi7H3vx/zZ39AcHOq4ctIU44PU2/b+z3fmDUgg4Bmeu
5aPv9gvggw4hu0pDQ9EwoMT5d8adoT67f93dfICGl2rbQ7oG5BFvdzdCQVXRz05/wi/YZNDkuiSs
h5ZOBTt3uaxJh4M84SQkQZ5ldRkZ9qFprS89CXRAIt31/n4gsZ7gHJwskXs7NQOqQp35kOgs3OvC
GXOF7sTUGXpGql6mebYKSN4Z0V+NSQpKc6xOIJRDoWzJ9FHO+oJfjb9Gc+MoKAa47K1RWKeD7MiP
0+uukcY6Lhn4x+KA9M25kU6nAeUFFEGttHjMdd1h6QoE7ffd4uRXDqVJPY9fB0qVEBuohdLFFNnB
0aWM6+/BW/05UOLAn69xybb3BcUPPZMLM4kQv6IqiimPJokNiE3BNErnbKCAEnVtr6oROR3YrZd5
lILxptwqzAGyuq7A4JxtynrYZ763a3SN1rbJc0fRZlG8dV6erwTl3JR0azBaB8YIZygWPy6UfT2j
KEzIkBdUM20YSj0xXGVWe5vrirE03HaN4AV03PooKSrBM7irMJ+2TcqHdiXCTigTXEpK0X7uPjWe
OKa6Rs26oloNuaLSbUW/7iJGDbsQ0Zppa8LXPRtFhQ8FRHI6oracT72hCpetXdr5l7K2/WFDxDw3
C3keipSeUObv3GQ65S0d7QXivORJCPNzbYiVtSzHaQRxYUXTp0ig7iiW24JnLLvgU5QWz0Ftnddd
eJ+b0S4Is83SizNY4Gvcmq5VkJwA8cCHQj1a3O9QJmco4KO+sJjQd+l/LgY6RON9HMx71LtgPEfr
SIkLTGawNceNOXWSs4ABH7pUvAF1RnG+Cfz2nOJmlyE0MLr5ST9mn8x6PpS9u/frFl7l+D0O+o0D
GjgRfbwWaEGuC6dEt9ZD32Da4lhzb7cWRJ3w0WBIAyNcnRR2s4kX96wPo02isj/Tqb90I0ykjPJo
x9FBBt5R5ro6zAZrtSCTsGqWelf2OdUdrikA7r+iK7hJ5beyC8im51uoo1vk8TnfhrNQLWSlfneF
6Yxa+UG5Xrr0YbGnnTmKQyoUhjl+DfcRyqVmQuUb00QmP6921dQ9+WW4rFrPmnBk8HZ4y98o4Z3F
Ij0mTPaFa+wM5H5O0ql214FRfRmRsrRR+WjyYlz5dKuRtL5Xlstj7SsMHJGgl6mte3Rnto1qO3Cv
lWeMF65Z9Su43tMxnmh8Q8vaD7NE+sxEdp79UKxSv3Nx4w2pYouzrJQT+t9fast86Jb0jDLhxEys
ixFtA4f2RFeibdMtXbhBJm27SPSYmDHM6B8Canj2kvBqtP1nKzT2ZE6fxyq4Qm0IgpcdfqnQWaA5
AmahjdNoPU3EtVaFty0aIw72ret0iMVJ1wIxD6YwP6eRjyiADCdOaYvsZt0aLuYrkIAJMF6+9fPG
PMuQ2T+T/eCfWfmc75XqIUMrjJ7OWrBQN2VjmEdw7NVpHtXjZh5tdergebmxzUzHNQoT+ySTCYoO
IcpePLP+ZSLdvUynWz2odoa8QtNyesBXUK7E5GHXECFluNzx1hFkfFqYecdLtLP0EHzS4/BRr8q2
STdw0/YRE3OTyTk9CmQa9DDdZqpuVt6wMgvnHG2CjanbAaqQn6vZokFApyClY9Dp1kGqmwhdII6u
7iro9gKb5WGh3+DqxgMCENc9nYiSjsSiKHzk4j/19Co8eha2bl7E9nSH5YcPS5jGRkqHY6HTYemW
h0/vAxqZfYly5CGcc3SvzIuCLklrTzfoFxCQdAMlmRGnanVTBTeBI3mos3J1w+X/Y6Lytp2gbf/+
Pkf5n/IRk7vf/8WPhi2+4fiK25g3kt3/wJ2+lh+0FP5wXXA+ke3ZOGboofuP5kMA+o9Bt56ua47Y
rwmKpx3HmWGAG3QCl0Hmv5pm6CTol/xEw6PIkTDLo6IxXTAA79AkTLfnqlKm+y01lzb/XlZL7JhU
8brBuJEyt+f7HIcWuROzU6LRIFBIf5rissVHqNGMsh3bGY2YAhHcpoDaEZvImIRlkU53vVlh1bru
3dZffJjsSJkZawQ9Ospwp1Qo4SAQpoR9CcqlDfpVwtx+vEulQpIJQeME81AX+R1EhBjpe+HeEWTy
HkV7rv0gynECwr6rBzRPs/UMJh8T019e5A8cwq+W4u+E4oFB0Cwit0QlnioRgfR3T6dBRRUx4sX7
1opxiDQBLECwAxENxynOIw5F7ZtqZTXYG7/P5lugEtof1qZc436wbE+mu48vyWbtvXlhekZt0Xai
Ye+DYtNkp18pQ0FuT7ja9cmzVZq4kbQumgXHBX8npApSw8/QmKzQ1iYAofQXKhRlprZApdFs8RpE
vFH7NgbKM/JjaQ7CZGpL6qWY/E68iq2U4H3uMazD+wnzlwKf92WhQkpp5LjC61BHFKi4vQYN+OfJ
t+Y/PGeK81/vidxcr0GAfiZtOJ+98Pae4rSYMqMo62/miIDDDSJqRnNdlXGzXH389N4OKJCKZ9Po
ySGyBpg78H1vv2guifmLP8XPcMNtRAjbMi5cnIBMdvjkBLkLi6/Rru2z75X4NDJhCIZrBOWxf/z4
St7WBS9XghW5Q+0BngWjYf1IfsEHWE4ym9GU+8+DCHv/wmuZS8sVOFxAKMdE+Iv3Tybo77/R0uRV
qhCfRQNu+L3oukffAMKj3z5GaegoEGIzeK17rIwlWhd+nIwkMh/f4/unTXvCAi9n00al+LE1+fXX
e+yxRgKd5qSPuJcpPh1FObFcKUythuvEjhJteBphAQile+bnb5jQmf0lSiKVd/LxlbxfYARYLDxo
2RJRvd9NT8eawcEYJc6X1JQYk84pJkRPYR1o65CPv+n9U6ZqNLlbWsZ8GxDUd9uzcCnIHCu3vihG
DAVpQanfa5bT+D2geKl9sD/+QkBbb/YO2BIoipidgmYhUr1335R5uCBGMvdfGKPM7FPEgRe2uKVS
7dIc9x3GYmjwJDO5WlB4KU6nH1/AO0AiIU1bjmrGV6DR6t57khYOkWlptUH9pUuxQKu3LPul2AoG
d1GOWluKpM3Qpxgy7OmD57z0ZTaTedgbHpBtZ1v5+HQxq3l9OD+MzDG4YB5NtztyGofg9GL1idNU
EyK85UgkD6l1C8wKtGjRwNoaZrj8DWaIJkgUFIk4bvMNSsjJ/IRI4gT1YSiqOt/iJ5PZ8iTjFApR
WUVOna8Rg8iLGYUhO8DvVmRdyTvDL84dbgPh9DrDb3vk09ag3bE/X4mg1P6xCLIv6Msgumqi0kNA
kZQzcY5aEDW3wD/LXodJ3iOsb0OgLpLTtC6gX378+H9bcEwg9MwA5jmgJkBPbzeZquM2Ncxl/txg
n1b1hwQ31LHZRIsU2KKasdQnwsdf+RbbxAtHigWKH2xa1DOgxLxb43lQzlqYcfyMxL3FG1RZ5Bfn
UL7sgoxYmNqPlQ6awl14sjDLor1WVvpqPr6M95uaaQ47DaOal2EMPkFv79ywEgPB1cB5KgFPs6y6
udVvhdWg/RM//i59S3+1cXS4JhNzNcGeVE6jvt9+l53VZdFmnv08WYnI3G/2jGhnehK3ioM0gYlD
IClnX7EgP/7i32+SQxFIJi1qYuhvURvDSTwemDk8TWakYygPH4fc2DYylujHX/XC9Hh7k0y0oCf5
nq01gDQS/9d4neOVWuBHUT2L0vWq4JBFcX1XokHc4QCHEWfSXk7RAoPwrMnQ3MCZcEjxhc9F0LbO
qirJ8FhxeVxFn/Kcw8ilFKzt8qwYkj6cD2p08S0/fHzRv70YD6uiyA0gpMIRBZT99pqtqAhtHNjr
p3qWPVeBV2WB8bs1G/ieNhWKHMgSDs0/Lj5Nt327IryXHaBhRTYzwPeBPgYFMLW9Z3wlVFn2so6Q
5YPDHIRt2qP865Ro4x4494vgEb18tME3Hdq/BAgcce3hNsMukaCBL/Mivya1lUc7p/YxF/eq2RXh
5h+e0rs+pCblAhnnSCLN0jyj9+/WS0b6C6pvvqYhDn0+svezXK4EEtwsqh8BORJMGy9wVc3YTaJG
bcuAvzPrUyUqXCIpC7DKv/uvQTCL3WIZV4PlNvn314wSWwzSJW/CSeZBJBFiaUj5Bojvr4ZSCt5O
3UufuqJ2rIE3klbQycXWEHQN5o094+j8Cak6OX1eZl0Toe1K3y3cACLUiq7mkmmTRNvtPPZ3l6I0
e9X6oKm++aOyMmvlyJj8gu0feQ91VrM0e6zOuUbK5KgGiYXk4wPqcG1eb5U/lcs9jY9guAULSUYi
cv4EY03gkDySNPUb3pmdTiNfXTlpxgGRo6HJRsf3ruFmGjPPkaicUZSjbyLG3OY3fSuL+ZUMi7TK
33vDlMpPEq1FTr+5m7T3t8C5i0M4TyK++qc5oIPtc8MUYm79Cwep5O5zF2Zoesbu0GXnpVuHiK1Z
YqpPU5TL1FGhKc1aguWvIx9kcLKakAGsPnleQz5+Yja7rQ07nd81LjIfCLG93oCXS+2RWAeMJXU7
K9b2tp5Zs/zElOgg9sN7shOxj0lNFrRzla+F9s39+Rld2xn91slwmEjXLLkGLUcnXTyegXIy7FwQ
HUoJjrPTcE/J61N1i2LkyXlhq/iFcZQch3XZK45WK8UDq9o6RkAZOrex9rBp56Dj9gj0erk0kSQN
d/B6ZNHksZ9X14DgmgDZRxIxlgva3kDpVgMeMKyaBCtN3pkzmXwgQz4rDnYSHZ/QORruRP7XVdPA
M2ymIef7NW/Tim/C0vR5JkugwnI8if160C6SIOsoRnNr0ofZ7FP+chN51PpYyWL+WuM3jJ0AVxzY
A1Fg2y/OwM00dqzXb+90Lj8lodORC0Soa/Ipzdy4bAWV48Om508y4OxCcVfnEDN3zx9CQ9fXAmkO
zzjoEwFbcA47rOFooaKVdhj80OHywBOGuhCNB7PI6DmCz3vIlMsPawApWrwvR3eBe+zQjc+/q2lU
PM4lDPSaK6lp3UMuJ8yzUQ/29RLVvYLhtg1r/ttZoc6GglwSG6iFdcqGtyb7fO7nRQePtKCyzDun
11saW28+tAepyZvwBIUwQput5ZBJZQVWR9u0CVoxH4bJFHl1Tp9TZxBdL3qub6G41KvayTItw1dE
i+UdJuZ4U7/JzdsoxR962DDuCXRkSpl0LDv8iHYeOuets5PFnLgmmtkLWIBkMNvlypvRzScNEzA0
3W1Ujej1kyig1X3BzHgoeiDTsuyQjcHnIrsE+pvFqGnmSr/hOhtm00LdLxCDcZIJs8zm1dR3shGo
6ghhjIiui4BrjA3Bu+ncMGu8x1pgOYx3CDKISXMTVV3sYo0gmgjIhG9m7lhuCcSEm610khxdzKRV
DfBqRXqP7HJs+zI9xE6u8LRahQVh1n9aRs8gryXYztwzlgEFiTVeqlOaJmdFkyoruJBTJPTiybBr
YiXKcSYBw5Fdr0tTYdvg44nJgCI5bRZmqu2uswfVWxeLh5nuPfk6T2lTFbyPejWZTFzpX4++rTPc
ulO8pdqCSJpuGxxu+ayoM3UUVDx8Vq6Z4aw77EzZjvwmPZmOv5N9rOMS85qKGYXMdSmUuiohSrXu
5PP8ZIqA9AUN44C9YNlSsKCGrnfm5oS339END7EQcA9hKRadQE8GELa1a+FN1e4IlxxHA+RSTnkG
Uy07L3RLfchKqTqW4wSTFAhcENJX95HfSQ33cjJn5uzIoleee2g7WXNLYdM3UJ0qW6dYWPEV81MV
drRXfjRWiPr64eDKB9RvX/RE1WibpPnoGCcqX8AQrsLQSTZdPAJhdLG16W7ibuLmEXYrifbDPAZc
cQCWnqfUVGnAxs4V8ys4LcDyeYI/lnWVjfrvZhdFQ3uNfq/uBPiNocO9QOFzubcMVqWzdYI+Ap1P
JpqY7E8m2OxcN4y9ABlRRAtaGseE3Y2I0LQ0mAhaMypqyBj1QDKn8hbhjShnDfVd1h0ZzwzFzm8G
1T61FWfMaY/kg3sec6XOGvuZrPuSEXOXXRHUTfns5pgGX1eNX/WPI9Lx4yWaqqUJs6YE+NM63sig
L8zryGvXQDwZG+3G0UM/GeP2eGpWPpMewJElxyomDHKw1h3viLZ4g34y2hUo2fUYQyVTMeiUfulH
fGTdYC5tXNN7Y5afmQkr9wbtB+rPdd65xWSsotKe42bVRtx/zDqNE7SvU5zOqNyWclyWTYQXsdnv
YnsZm9OJzcHERxbno4l30W6IAkj5HgnacpvkNt4kGcDq4ChmtFNXjittaz0jwNXMiFhIEW3QqQ60
j0dgY9iEcPghsB1svhsmSadxVJvm3hqt1N7BALVquZJBuWTrNHY846otmsq9U6Lr82ZvtsHcdtsI
GdXpdsLXTp4bQtbGtWu4YrmXNat65fW+398twZDUzarEnaRv98zzkmVamUPQ+psIzkaxjzOZT7sF
fyK0KCJs/Bh04hwtuvCrVeGL8Zza2J5Nm8JHkvcbjliOUmsVtE2w0m7g0tzLuO7Ai6jC9Ep/H1c4
DlxgAGYUxR7dfNLa9Fsa1o4E89qEhWI6Z3m4sKOw7kjHSC56m5tBzOA1+zbnMvata5iBDR5jY5Pp
A7WtnKr17gCPtK27aeOR4Qf5lJmQo+BD45GNxebIhsF0l9pohf9hTgbVO9Ogj5WIQMLm7kKdPvYc
4GwHMKk6wlWeqTPMzJhjK97lczmC9+LG2jE8XbrEICX10o5Z0LmHWC2njKy9xF72cxDwmTvloQG9
rNAx1JVDkFsLVzu7Q1VGe9VVmf/g1QKz+73VAjaJ9liB0zxtVUd7bQe5nMw+LGiy2XvX9siCR5Pc
zcC7eGyJZXmY6UMjNkZdoqPt7JlbHCD8xQF6bJekRDVwI2JKpSrdUiAvCWmge17V64BYlTZn9Aj0
kdRknCPJA0IyW5+cIYK9XGmfQPq09ypY0FS5GWhG8XeIO098mJk3MXtJeI1uxYgo13ESCHHJr9i5
FXFF9BKE1T9GPSaL2R48NtHGlqr3v46YGzc7386D+ixpcoSpdrJFOM451m2gU5Y0kvoZIUjkS+u7
MtCTQUentNCCXnEe0ghdBS2qVMsqMnuPx08M1/6HzUv/2heVPqV+nGCu1fAcC/x6iGh+NOqrt5zY
4EG2iZtHzX5GaIVhhTJ4sISZXF+BEgaqVYefT2Lp2EIr1Tq6GxbUKZ+IWI42gUK2ZtauCwbewdk6
gz1FzVJNsfdQol6NPNbLa+TAtKx7yj8lb8MunrhjJ68t3hGa5gGa2XVSDGN6tWDDEEefhyLwMNBB
oT2pxhNIaP5wu+jWGQP6pdXd9L5XA32ulok4n2XKPCMFH+1ZF/Ihxir+Q8UAwppAWuLrIDcuc28S
ZxwZOS6Hpu177wAvVwzh1cKIuMnO/DhgKnwAl673geMgM9fR5iLJvC2Fq7cIzpe6g1/nHb8QD2gx
P8IuozTOOuulZxWrjElyZwc4L20wV9ana4o2CYcmM0ndG3OcliwQiQidb0pfr8e4zHW7zOQJ5N/j
Jaj5gT/Xv/3a7gN0FXBcWinXhTZuGujUsEBISCfzTquv9nV7FNLjvZRqbHipvSDwVZhxOkPyBfXu
JOsP8O6xAV5XHWuhXGczOUG+w5REr10AE1F9DgM0GeQmKUVoIR0qkV4iqR2xegQHagzoimESDvDz
1myHTDcr6JOj7jRAj7lOgijrH4ceJ/hqJQrVSoLLPLoIOo2WLGroZDbrDMiGLgJxOqBiM7GO4oUI
NyK9pPDkPWPfscynzmhTP0F9nKdhP2ERUTwOqTXxUOLXzEck5kCuIZqw526zKSpIDH5UxOFSRyQG
U5IABdzWCEvxU0LNAgnIwInvyRlUt1yZxmCaaydtU8qRIe0xFz8AWHfUrQ9fT6GmPlq0W4000kV3
4MOooyUyWbrIRzRZJ/JJ27A+YhEnvDVZMaHC6jE0lmid9YNXk6PgMbjc89R1xF2sjpLxpAvaehS6
fmA5+fCF+KA+XnSobInJ/qENPPr2WwwqWPoHxEtSSpUiJI963Xr1UOrUqjSqCGfQuWuQqtrIYdBd
wQIvSS7TiJ2Zje4AyxzrS9OdJoQ9pmTRFbcXGZIHOWL0xBZfnDFpz32/cEle5zFP9nFaT+qTPwF7
OgkV8laHUNjUFBxshkt+4EyYcAQ7vywaPiZyZU+sygFj8Sbt2iaKr8fXqnEqErgXJ10+WAQpEn5F
e5jOlV1uUa/XVeBrYVHGi77oZpnGOVmzy2aMFmW4UPG6uAiw0CmSTFb/mNY1rzSjIc+lq3riJNxO
qQJ7uDVAhRTnQUtzhF9cZlbUbBc6YEleo4F2ZyGy7MU4SCyMOlOnLh6dZtIV+vwaOaJJ6ES3sop/
7vO+by3TMwJrB9/uhdSDROLb3loIzw3jinL8CutF15lDapSpt8FgriujlVA99/sPPcj3XTX9lZSn
IPPge6NL967PCjysDk3py6+eP+px9OvSKENDd3Y/7on9/lVg7slxHT0BZ9b+rnFup0m7DHQnvuLh
peNTA2VvICkkWBO7Pv6ul27gr61VNPFoUzuaOIhS7G9jdmFaotQy/F8nQPYUMijl26xEj2EF2zDt
K4uzcMGipnhUtesJmiioz4fIiEqbupsuhB7VRpS8Ova8RuYfw9waYxOdIgWe4EwI/G7kp48v/7dH
xYAHtccIXWzKcdj+bxfC1MeVTGAAPmImOHEdHFC6LORwpYT6+KverzkA0K7JF4Hn5D/hy/j7l7lo
7SOGzIAm/Vw0dAuOWdXL6s4uRnypbCEvPv6y9/cF0BP+OIWV76Ar4L7Ic/7yZci/J1naCvFl6DBE
v/fyQAfKPEcToP6HR2i/m9Px6ZqOHppw83iMiOu/fYbJOJklUEX7rhbSDDcx1T7CmwldBxLDLB95
mCsG3hX/C6hvOO0mD0IYuY3Xhwgf0Y5qTskQ9Py+xVmVsG0trj7XsoQDPQ2Y7D2lTY6LEQhTQ2fN
UE4bYtkQ+rqrUlQ0E28Hw3K4OQM5f/eQJIZurFpDpYewnJ/F1J0YBsPRclc3ZuKe/6vnzTOIyHhM
rdCGMMRvAwYPC2+Ap2q6Q+NUL+S4obNXrIyxIdH8+Ks0p+fX/rx+p0wkfQAX6LIwHH03GBiblhaE
5ca3odu8fBc0V/+iGDp9Mirmt+T3r7P3EpAOT6Ge0Jhsdz9+6gelE2pjxOb3wXMDXf6TOrUEdrvC
fWE8MYpcGZDLmb+Bwszaqhj3s6PIL7ZFHZNNZguTymH3o09Oc1X3XI0yt8k/ltBc+LuhqfQLX7yc
bzFehknBayY/WDQM5AYBZ/0mc4tNjjviwDS32cg+032YHx1nxmys3ZwWIQdlHFMUOKvZqkYqho8f
afh2u2gHBgZfWlgBYpQDYeLdEu64gyE02/ipHJzgIcegE7MepgkHvwhbl5ZYiv+YO0VYmGVlvGnd
uD5UdlHeD0lmYriEVdc+EomDZd0cipWfyu4uJt0TV+UkhnSdhoN9yKL8U0Vn+mloXdGu/N5I5zWt
Tx/J5rg5Tc1MnDNmTheSW3j8G0Pkzp8LY5fhGGO76iH1GZnuhiK7uDcWQ3KWlhMWfiLqr1xGzcXO
LQ3nPJh7wLbt3G0ZIZX3KSOvY1naNNXyVlL9NsVIx1sixcCQ0Tud8XbKcG/rABw7bR/c2pyNj23a
WB7687C2XOaCQALzur4dA0fdZw5YyFVoGm6NKYnXfi5UJJ5Lo+1vfFcIsA6xOuSTwhycnl67Bjnq
T+tpjDJjpdxqOJZ1s5VjNGjVyjz/U0FFp8kUqwJOQ9/cLpDKN0RrbaBmGO4aMddPrpzNrzbqOV+s
YHHvUuWpdToBmiwCkW0xC/pBOvpb3M7bYM2CYApDMPM4HlxQ4u/hNA3VUoC9QP3M+5quIjuui61f
NjLntZn+3T8svzcb+vXLEHIGkGVHADOcd6kBCGDwGn1UP/tmUIERmsxbq6YdgSlncT64DqjlCSmc
T3TUUZ/4+Lt/W/kvtwlWhw4nQfz9lFF5ImpwQ6ieu7omz3PKtph2lYM15j8cEy+f9Fei8HKX0KSZ
00WRxZT9fc41gQ22cVlKn62xYc84NsfFqiE/0OqOZXBd21V8nYnYaJEd9aJ24wxtVu7xJvE3UymB
fQHW8y97v4+ONUa8d5y3AvCDKuV9VZFm2rKGkGNLy/1kDnn9vVJOeFbTzfg02LP9Z5ST1iERpcnT
SZFcOlXEOjaCyqfYKWhdW2NEHdpH8zPiZZLOm+p3VuKZj1gAOeuF9/cPAId3IDweiU4DwDZoCX3O
6PcpgWUEYnLDeXl2lX74mPile6fJy8O0TI94uWE2ZUTTRtkgXFcgfv2DW89evfl4CXg6ur15M7Da
dRIEGBDgmP9ed8sq4opuW4qXoaLPRvXZF3g4wTvbiP9l78yW47bSZvtEcGAeboGaWWRxpqQbBCmR
GDdmYAN4+rNQslqUrHaHIvpc9N99a7skmgXsIb/MlYiK3WowxbhzRDdSualUAnG0FLuSa97lUNnU
3VE0pJxmLTJ3Bu3RyHmh90lQwkixXKZcJlPhHCc63eC4GPdIBvmpVPjSfBsdeQrmbkSlpF8oDJzK
c27xggzlhgKwtwn2yZXhVMk2Q1jZJUQRT8Lq8m5Vhm1PlVjcP6iWnkGIcdkg7FGTG0PvJEVqTRLd
y9yL0yCuVf4H4lHz/KGLUMyctE7RDdkT70xLcY9JPJlPGiIQUYCMQrB/8dj/OMXnK+Z3CyST07GN
Re0v5QU9CgrfuxN+qRPTulJqI32sEjioq6wu1CtNYhD6F3/jT6Hb81/J2UD3GN8bWPAW1ud7swOJ
nbwRbJ2vaZWaB26ZiqCsfVIuuNenG3S7jpWeDPiXylDzxyQauyOEKfVGGTxj8/ePlv3XR4ujJsun
7i70Bu1nM2CD0bx1o6J4jUb0OGZRZfipbGZqdWtBg1hN4SUXAuAiud9ZXK1XaWxbRBMgKHCt8LyA
+YCIV01pOx+Sjt4qlBIUJ2Ii8WVmJ+2uNozxyu7jaB9ZTmT6JYAm6beTpsOtqlTR+43mloErZqva
KvxaNmnWKZeerQ38B9JRjjbh3utplGxnKTn9TSTZvYNSS7KjYCrCidIQ5JLyOi+YwEoQ0XQT5o/W
gMbBWaS96/Sx2MciN+jGdoSj8iSirgY2l+Rrw0sIWDgYUEYGAMiwnZ3nUUC7Y3UpK69t/TKpbHy1
Lo2ke2a51IepdqQ/dU0JhKSQ3ZuZ6Ak3oyGltfLvv52/rj+OyT0BxzX+Er6fn5dkQ2dwkI0ye4X/
pzq+BwTlhaHohMjOV7aUBXyZSYlQ0qy8TENKg+ZkE2/8Vz/Gj07t8wNL2pRjs4Fz1cTw9+MDi7Gg
Fe3s5K+hsKd+df5CIJfFOWEPil/VefDu64aCm8mOw3XlhePH2CVnyXMya/f/4nfyixeWZCxSDEsH
1qSfHbszfTRDSb/aa+So9l1ta+2tnpO+dtBBLtgX+6s+r7tDZRZiD+FKu+xA36BIEUu5Tqg7xpBc
yOGYKL3xhnO+toA/Jdndv/gpf7wDLL8yG3uYxSuOZ5pL5U+/skFQq+jVZv+KSFRHD5wsrDbg4k1z
d6sOV+StCOHIdrbdldtY5Vs8q07mz6Feya3hlO2j5RGMIriVweihnZUi9SzcNGmT8+uOUicwa6Yj
X7/ofzed8/9o6xc013df8l9av4L4VfRF9GPaAuLT+WPfEDn2H3zpWBRY1L+FJ74HvvF+Y5V0vAUf
teC8v0UugIAvWpB1ptf8pfQDrBRvHFS4r9i43+E9nNeL7wcJtC2gEhAlOMqQXOVc/lMklHbc5eqk
Kbso2SMZP2j0O7lO1i7V0pQ+jef+J7lUQVmKcdss5VBN357mpS4qWYqjciReqHfGZYEE9DBUFeNH
e9bkk02ycZngxwbF2sJ4GtW+/ECmYi0KMw76SStfqjosA1GlGm3cjcaVolInpdxZIROzA7XwVGYC
Z9MpAroPF/5h6gjTeMD0m3/R6kqtdzhmNXU9D5WjrZVEceL1+fv8dz/+/4ENVChC/zxFxINdPBdR
+Ysnm899e7ItnlF64haTNRvRmWz47cmGlUyggR0K5XRBIrPWfSeZEBchBc2jR9oATud7lAHcE5UX
AYlkwSX/Vtr5zER5d0ZeHm3uZZBzF1bz4qjRf9yjXOnIgXGms5sR3t191GhI98T7K/2l7LN1DJEz
i+JVEq47kE1lmaR4WHjl82GdWCYSuxUf+F8cA7OttZUVTa+OzGEGeBMe9jx61RJ5a4cuBZr2xNw4
SpINQuS27F6U0iScq6VbLt8b16UbIsvcR0xcG4ZQN42jbAZVbLso+5BUWrjVs4pqaPZTYoTeBe2d
9WoMs63oHBJ8RQdJad7lQ7zjgz1eQHiDjk6f7SB3eRzfuVp0EsDPQ0SDMS5uxIT8IVT3IN3ldjg1
B0bad1lnf5La9NFrxGvIeJ8Ki2diLhsxGBunzpij5tez1z4PrseUjYpQw9iXjXppVy9p3m0YpV6F
dGkJB3ehkWDX6+ReXwANrgifiQ6Sgzb2s7B8J6y/2G6CGwBpJCnXlB5eKF4ZmJNxNbXmoSzI3FqE
XF170zpZurKa6IKWWk5y8wWY3itmXrpffKEJz6ddK/IjNx0QaeJwO1rOSQ0T2puls5qFfNYqTnmY
FVdmmN+PanHUadjQ8/Fh1LqdV0tWM2ZCo7J32+otL5uHLhtO3ax/IKJ6ZLvcRBSz13m6t1IThuPk
p6Gz6wgrBClwqHFGykBGrA8ISlApPLKtjnvdKNFGkQ4tePQJS7Nd9/q07sr6MOjwtgDQsmnTwOcr
Nh7KMp2ao5pTW6gN5A1u6sjFrO5b7QLf1hcONy5/kNzWGc8tUtA6yKRwMJV+YWIOCx6ztnNrj8ma
NmrMmgEJfxUm/oLUrM90zS5z9uGZuMnpA/rm/5ZAlU2alenvlsC7Ps+T4fkXcMjlc9+WQIBNDGKA
33nnai6V48L3JVAj/co/ZolEQlmCKt+XQA7v0NhBTHtnVPH3JVD7A/s2hwLiDISEwOD9zubOWOQH
mYAlcCE5kRBg3MMZA2j1j0tgb2JPBv4DbSBvxb42WtrrI0q0Y/dC753H0TU3WBr24NnidSrlrvDS
C/p9FsyqRylPB4+7S8WzbU2PUzU9TbOn+bYuV0YmnpUo2nquUvu6k21yJynkG43N6gt2SHySvQbm
qVl5bg9klRx2V9lPUC6eeiN7m9TsOecGJdAyE+EEOewmLonOI/4CCoCyTVg327G1l1b05Eob9SvZ
K4/dMB3NuToCdg1YWD4DUngcO1ZEYaibadYPfQTRaVC8T7OrwfEeVpgm9lXRfC7U7GpOKZ9WKSBR
zeiQxBIbYQbyvo1PehGdUlXcdIb76oRwmxKo94oT3c15gVNL/ah18zYjYh/MprZvwvrCS+tHB+9a
wPXsqBcIfKUjPjUaxYAYwYlgl+3H2Jq4IEsh2/HGzKk2DDpVCntdSPzZ604J82xVdr3d7xS9zFUU
VjPsbzGVzVTLi0lZK4vBw5+kh45tkssnOW1McYlfuAk/kqo3Nw5eJsYu1mWVssPUzG4CsLxHu8/i
LU+GvhHcKzbAf+8xSB2KDiI1csE+HRfxPqvZ19Q82yG7JWupIcHElbl4QAw2pNCtMAZ1YscC2fhO
hBGENpj2UnflU6im6nrKi8smESe7N8KVjR6xJcgeYhnOSfvIdq0qjSAeAhbUmHSxg2O466Rigdar
i1Vss5z2nbnpkpJSQ2y3Sz0UjKs8WSAI7JaN9hQP0QrTP9+oWd6akTKv8z4u973aR6seBoXfyJp0
OTyMfWUwKGs7GrQFnAqrNK70sNoXMx5VIOLlHicdfvxcVX1vtHdO0Zeb1NSvSihIAQlMBtaOe9UK
mlZN7DKDOjo4Qq14p9pGu0pcM1tHEzBG0yZsT5XEtBr1pNl7afK5rGhwZNR6X8dZ5U8pkDIH3/tN
7DmUgSEwAOOIygDJHajIzD7KTBZcBdIIhVLutZlZ0cYN468X4v/6UyvcvL9bsnfPApLEr0rmls99
X7LJvRMlQEDhdnWmbH1bsk0aPoi/LlciMtOILN+XbPMPJs2sp2RVaaVh+f6+ZBt/wPXhzsdS+/WP
/J0l+6yu/XgfWwQV+DucWYlt/nVS2CQ4hCpnF3lupWyz2e4vosn70hDHqv3QCRnvzRJf1dG1M0Ca
9YQ/ctvrQmnpN8vdF6ERJLjwGhjz6WSs0IroPE4MfedI3Q6GdLjO5+LZLjl+5Xl4o+eRfm2HKjVt
ugl4OuuOGk7wna4pHP7m6DQm3q3iifumj4tAL/I4ID414UvWv9CC+pS2/TMWyTqIe7tbN72o9lZv
Vu7iBy9T18/ttoCH59YcWLs7NojUORq4wel1Gxg3y81Up2Ve8Nq0sbFyOy1wIhCEQVKpRnY3dZzk
XsJc58hkVaOxnyJr7nbMH0N5KB18Vc9xOm4b1UirhyQbR4tzJXM5cOfis0zN5quI81//ZoHh/bs3
i5rZ4lcv1vlj314s448lYmxaGvwGnOILOu77i7UcgbDSMHC3lyPJ9xfL+gPmBJI3E35Q2iz8318s
k7MQyT9eh8WE8ZvwK21Bbv50HcRaQxBF18jfcLT6SX+bYVaVpjTCnQgrrK6qG8n0WPf2dRJVr3PV
fsFF27NDgJvE2F3sCAqCrgJBfXIUIDd4pcxdC+cFs9yQ+pXMEhrAzWpdVmi9tSzFSgKtIL4/P1k5
hcXwX94qL6VzOE2mQ5a3+3SYd3qqxBSaxsOWQt5N1jnBXBU3OJU/6qq9GxzxYFrlgyFi3DaV3HcK
3mU84snQfqyrEWf3ND9H9Xywq/KpHOSbNZZ3blyvoxqqfDtDlAeQcDE43FHbuC23ZcGdrNVql0Bx
aK65Tn7RZxTbqYn6VdJnGxL3H1pFgLAYKaKix3NtNOLF6XEfEmd71toqXpvxgN6dcsQaqFZN5Hhb
8DsI1DS+zgDNzU59O8/Jwzz016VTUxzQbdyy+DgM8gWzogeZ0n4e9TDNMYRmH/QWmD+rsLhx4rla
kzyjCVl3xKrWkyPxJOUpxZ1w8FJqL6QlH/TEfSqFupr7ceeNJazf8NaNvNMYuvVK6ZK3gQnSFzty
+kDjTBKEMo3XHL/eBPOzI2RSa9u29Qdrit210Rs5J7y5wWnvGNt2qKJNPjIOAuHlGgQnsy4xnsIC
0iaUYde6iBvu2msnzVNzz0C3yi50PLK9r2ogIqifSb1ua+JX33MK7dygxZpW0X3pWXR6qQboXUPW
yf9UKTKgi276t/t7UOa9eEmef6FKvdvfWYYsuAfMq88a0sKx+bYMUXDHgsJtjW38L3qrpcLZY6aB
Rr9gNL8vQyDJoZwg37N6LSUAv6VK/XV/55LDWBEDFohfJjjLLOOdy2tWmC3rpjbtah6YiyI0StOP
cUkfMyVUG9+ovLzZyxo/xqhlKv3EfUN0DKiel9nwpnQ9PYIVQCTVY1oy3rK2f2gN51OZGFtHLaNA
aVs+KTIffF+7qeyq/2RN3XHAW7VVnRxOuKV/sjIT8JKQt53bFU9lpuY+Y2AOpqE+7RIcoFfNNDrb
uRrDCxl2ZdAWNudZoc1ravVWuLYISHB2vxpMZVxhHolWeiuproPk5sVyXnNSn24aV68DrMkxlXb6
Bbaiz1rUzIEhJ7kd2p6bD2O826kWwzO+N7GW0/TIJBnIHn/jRBo22UVlH2E09gCCg7lqo2NpDlb1
1Qj2X7apv38r0ByW5/6fC7xXry/Nz6CoPz/053buWQArmYOzLVs/lTBpKgVNMCxxRHJIXjj9/1A2
QFmCzyEkurwx4BDeHZPV3zkWMzv9cfdW0dlUjhZoGSwUUHOW3f3de7P4yQGixzATxewN8eWcNbpu
ZwSh6nQqjoOTYFwS+2QICQT1ilv7CAny3oJns2/nLrzLBSXkfsGPf9loqX3Sm9Y+jrxRJp4spQqW
KNFAOKdRNgVU6Q9mK8RV4zp1uhp0r994nZtc6aNrULPbRJ1fDTPsRC1uA2uyjKsuElZABKLeqIMr
rrNMLa47KftbjyA9e+YUZY/NJOXBVOhGJ7hpFx/UWoaPvRorIPDc0rvNY1fcNnpH0COb90QIxi1M
m+jappHgVtXy5naMjHBjePz4c9iNa0Ua3SGrPGiV0uB2T2CDvdqk0ybJ6vy+T9Lx2XFEvYO9H3LT
hjZ0XddVe801KH6qRdYTnChTfDvRoG+82NHuHKuOCc3b6Xogdhv5ilqMxyaS+hHh8oEbOpg/XLkA
pczB0AOVOo77ouuXgvbxhQN40/oG/uAd4YDkWCdFCoarstpP3GroJ6n5Dh/yLBVXrhzijUI69tAI
3Nd+PJFYzAfXCRBmXBclVkmuda9Nd0oenWSWInoTNF3NsUX2G0Fup8pSHhG8+2OhaMlVrAnbRTqR
E7eGut9kRBpogs70k9uM7W7S6+LSqVV5NBF6d8wujGc4OOUh9bTuDtNPPgYiU7J1oVcd2edYd/ei
MgFwa7W6qUmcEUjKixulU407Yn7dR8PT87cJHve9PvTJys7G4kSISqF2keyypXa4H6JqCuqx8K4R
fcUHPC7DRnOrYlV0urqWQAG2UrUWracZv9SybU9aV5XHlNQdYekhIebBgxOhfnveZ4MQLhDPRqux
QM0GoD48jtnatIv4pmhJWyN21N16CsXsC7UcNlA7Z5/T9fOgD+5FQeBni5ZZXZkEiwIw6qAK9RlT
XhuNoFFwLa0Rz9JjhZF3l0eVu1MHO39Niyi9ViuP6tMsmk+ZlYIqT61Q+eyWBip5GLUYdWpp5zRl
O1Z/UYAbuJ+qOD4kGY3dBlwFWOg5FlRNqE/NmI5H28tUMnJtf0mYH/9OWdXDDbr6/LHOK93Cl1qN
F5WFI8hDIjm5tek3bhVth8EprvFodLc6+KJ1Zhkd0/NhBnOqLex2EHA9tISOMii77Ziet7JQgPO4
drg30jTcc7dv9taUtjkjfs2c/XCssUjZeMofWUaq66nI5x2JF6JwvbDWeKfUSyfWCrntGW0GTp24
6yae6pOIRHRqYiivdm0bn/Ik9zKfd3t8akOa4TFj9dMdqRAjAhuaK+s51eKdZYfi0M8DrhShODIM
BqW2hg0IbPUE6lXTAsUCjXulZG706GhFXRGbKcOK0X4dspIk1czco/ySc5yifcoW46UxO1RtJZmV
ZCtST8pjNLStt07hlISQY6NxZSRaWgYzsWl9M4411VaVW41c/FXtqWnDoifyrTdVvcltFLHxEuMh
2Eq+uEj01HRh2oiEF0Ryst2I8nfMCndhS+DDfogcUXW3nUFL+q4k3ZUUh7nSW2UOOjcVY7UymbNI
GubHyP1sRhnBmCB2clXSoI41BQ62W1nMoJS+79IvE+AWLdsCDGsazoBsbv/uHf7/qIsBWervzgKr
1/xZPjev7w8Q5+P4+XPfbvfLZRxDmK3aTBm0c9not2O1xb8yCGPQ9IOs9v44QJX5Ugu67N008TAE
eX+qJuSgs/pgf1j0uN8CR7I4/3g8WAYdnFb40RjrMF0+kyXfHQ+S0WbaOUQMHrqiCmAMDsahNFIV
1RxhPO02TWsip6duaNsxmUEoSb5rpNO1YUEAWHlVPWpBhLiLDubiv+9zoO2dcDOGwuAD6r39Rvza
YmJM99xz1TjLZDOsE+2BMCQ210i9Qdffd3WR+BphId/p69JvjNza5ua0JTB1rc6u6U8xNnJpul8y
IDHZioSvTqC+74wKSNbiSm+nB9pSJSv4OG0TxdUfugRfnC3cHX7va7gIe2oeeVcxR5RE2JmaHsw8
vbUm/kGrt48ANcYTBknzVea1BLcKJ21C1oj2rUhnPyEa92gpTYM9zTbHFRuHfRr19qqrsogpcwo1
Zkie5ixW+PPLPOgApwUMiR5HtSqDam7vMkqFF/Z+wNa462saesqqUDkPWMOKuNwLUMp6Haq1WFuo
FAGJ7RMh7mlD0rs/9or1CBtsCCDm1DsZjyzg0bwDzYfWQX6986JVoTNJyUp0vXC4K0LnIzUDEWpD
YjNHn2Y4406Vbdy8iZrj0FFAmBbGpXauJFzKCQ1aCvGabKKltnDIy0/VUmQYSftDb1kQnEfjljTG
rqXzsFO+jNGhI+N56RXcxIhTw+9OolPZAKlWLIVJwZwycHawGlpqooKyy46DirO/y+YrQsa3nkWV
FjLWqpzla5enVgBmKj22ScbK2LInkfEICFk6K7uzGId4iroSXnKVQlvydWV+qTvQNZOjeCRE1XiF
zLlR7bDZGHUfrvLMFGv8OB/DOU64HbqX5QTiBpzHB81rPtPU9OS0kg05L2bf1JXnbHSi4P/L6vkf
Z4LB4vt36+KpKIsvz7/o8zh/7tu6iNPFI0OHIwv/4dfW2W/rov0HFNElXsTGbeEWfzdOYGYAiYWc
uUXA96sg+r3Pw3EQKlksMWQxQLR/6970U9JrMdnwIxCLYJrM32TTIPDDvUmYeQ6kx4r3wrJL7WMO
KVtR7Yaeb5OYpu8J/I9b3ZQwyqtpasqNkjXVwaa/o6/Km9IZcn/qxy2y/WrmyGmX3m5Iqn2foS8q
0a53rL2ufwC6uHULsbGbmQfe2JhudJm1zUHV6P9a4OWddxyimtUn0Ymp5pcOsqrWFr4p+wuw2Kts
sC5Jcu+E0V+YLbj3no4LjBKaRrIsyx7tUV14sTt6bq4UFjJfdepVqFUHFrl167nXgloMXtN+o9Vy
XSczWFzL8dvR3pYlKRuBd8ONDniX9z2LXV1bG3NM+bmII/SWtzWyiuGkbe0LLTuhyeyNXG45Pm1k
OgRJ125SUb6EEHeaftqiU43+aJY3JJQ28IFOgyYu3WEo/ckrXkaXMFkxcLisPSOIxPw5V+SHGnq+
hdu9MMoTWJZPaLf3TJ8PAya50sxP8TwvO5LxpaQ5LrctYuPsB3M8rrgU7qs4P1imCjooWmtTvFXy
LAItRMdJY03t1gzLW6OIxn1m2C9CaDjVLX+asgA3PXBIJOZ5Falchxb+hNJj8QkH5ONRuYdvdalo
HA/LbtNPF3P1MYr4HH/PqteaTZXMfHmauoOf6Gd4atlOTPDfXVCrNZpP4pxi4n9+KdUV5Blv3Q0M
kVJO8QHpRel7dqgtEIDRJ082bc12KXTMoiQgevscpkX/AQsZY+vZ/QySnWajaoxX4LUukep3asG5
tSi8HYOek5kMRuBpfbFqJC0STtRXjN8HtPrEDpyYCsu03wiAIfMsTjJJiITTSomtEL4LFX/eaiYw
thazrW1kYbIpOx+Lnt0+U8s3JVICTNJhkIiaOFmdcL/pnvqmN/etrn3W3SUWOBtvEx5xproDbkXR
ylWZe88KEnpQcmbyxejwi67Lfi8rnPEC9seRG8V0m5/bbFRz1vwcLI9f95Td1PybTbkU4FCbsIch
vYS8vIdY0Dc3hNWhOffmzHLub5OlTGey1KVX59yxQ4xfUTeSTTHZ5EsNT9Q3p2kp5pFZ9Wfa9t99
dP7PW/zVv138V31Hn1vb/uJQzOe+Lf7GHxw8wfj+2AuLOqaijyEmL/bGH/QxnWZzjsKMdoFannHp
/+hxwvnDhOy7q/e3DsRnGfmHMTJxEnTmZRNBOuNU/OOyTzaiR06up11TuJkJdALQQVyFItnPiW72
l+MYjcNFuHjIhmiUvsrVq/cnQxcfu3SirSzuR2QMQ1ISs85Bh2g3Uk1bjshKhbzQkO/oPeu+MRJO
TbCe1AvAHCiz+SLSame9Nj5rt/NZxxVagasQabcs5SOPtlhnJvpCNn5QIVAsvK7Eryy7uzAbo/Mt
PYLJpbunMCMYUvE+XbjC2hlqirRBaJGTEJCfekXYKESVAaFCTdTEmGlIP3ujwlpHQ/uuSNRyr6Sh
uYmG5Hma4tc8zetDFqEDTFleX0ojKl70yqp2YZl0+zTGEsMozfk0OmFxM+nGq4SMtaktXeJv4jxM
6YZ779Su8ShdW91HSfg0EFjZ2EBEgnQo9d3YWLHfikbZhk77J5j8f6/iEuH/51r1mgDq+Iv3kA99
fw9xy3MMgybGlZIr6veZDw49IOU47C2L/sTlOPUPsdr8w+LN5R+hVsM3eF/SbFDtjHePrDanu7O1
+Xc6Fc/R0x/eRsjEDDRx4pmkd+zzaPrd7RQ/F7nFqXN3k23WkiloGY/EjQDIAI7BhTVtRd5IP8wY
w/ZNg3qUs6E2C9gut1TwcJYQQdnYSF5lsQOLlt6keaVcJIPZHXWh4xlLtRLHcqOaB/xdCWcmRpyA
Lau1FN5Tpg3OJh5526uqmwMzTsHHpQAd6E2eVxDGtp1FwVndx/o2wmLxkR6Gdl07ljxOKTMgdage
kWHBAQ4oZyVlrYhs9cuYh/dKNtPmUeRTkEmwWRweHyB1mL5nfSbLWRAPiJNV7cXXggjWio7nreEy
1Zrq/pYAuRpIQAJZY1IhxDUmSJQ48rtQfSzBjWZa2eydrohg8clXu87jS4h+7Wb2ivgYJzgMHWhb
O56JfFPTzfphMDP8ikryJAvVfo0jmWwSLYqpWsKxVg1w8Yw5BQvkYlcb6qI5cZCbgqKXF85ovRiR
WWLSksWWiz7J72FWL6gz2iuVwwGjXptM2qXWvVlM3qU5HqQin+sQrEvMbL4c6g305WvN7vcOwBuo
B+KBpNYDXIldM4Yfiiq/ySY7qJj6J8v431iMAAmOAKZke6exxoOW8D8f4xrQGmHTYjc+SZWT7tTT
FVMtJgMbKMu6XowH9tjS3WsoybZcbAkFITi/kE1y4hQV00mhF7twMTKQbWJUjbchKcVrg9chmyij
P5JqMVWc2V8FArvKrjRCcOMWuFWj+vCD0EQ5k9nlGoN8WG5iPWzanXE279TdXbq4eSo5IgsioSSu
b351/MCCrfZaG/Vre3EEDaF8Vpf2IqxCBSZpCAtVHPCQFUGIocgL7VukhpO2OI3UxXPU2P2xXlxI
iWewxC/OpAyLkrV4lTgBP89Zd20vLiZbkM0n7Q2ERG1xDWF2+t+VV2VwBoji75bap+c2xuHxK6vP
+ZPv1lsyf0Sa/jz+/DBjx+JDQypFAGc58J3Vx6D4Flsbg3RWQN6hd8NB/Q9ChCB28FEDP3Hs37r0
csj5WQ3ElI1KySCSbBWtD/x874eFQkMMHMvMoFgNfuICVMxPdUshfRLb4VHp29tsig8s19cNC03A
MEP1aUgjuD5twyp9wYX7CZbw57gDBMGoYT/r9VoJC5PapCluwO0O8/VYa4V73dUReYwp7kuwX5mT
6Gsgxc60b1KGIml0bPq3LnS2OX2xzC12kGUpycR2PdvNthdm0GclIebqXu/EppTFiuznNRMnn9vk
qg9pUXGS69GUgRhBh1HA5Y+MTmpaFbZJ4wa1HTEF6gKa3QK9qvdpmu9jOhcC2+xvMgK3BF1uvVj7
NJjjTTo0K7jpV1GHBMpNdakqBwEpWJOJj1+kPV0CtrFzByHo7Z33ptmsG4ZXfhHHj7Pa3utK+Bhp
buYn5LMCWsqctQUdK82SJLCdYVNp3mfbLfZmTq1CwuTPy+CPqIpxMwuxHY3xvmdYQ2XCQHRk3g11
+3mwynXIfdJHX+bP8N4a4V6H5UQ7oP7QMEyE7ip82x0e+jlj4iRvXYU/WPTDtVMqh5yoSzSXAlzM
HF1oafsWGcy1wAR/Zp0hVW5Y9K/RxU2+nJ6fuA7ddVhbmCdV/u2ouspie6ISNOmuGAT1O3jIBpcz
9RqPuvBNA1B37yX9VZWI/rrLq3THICSrfShynHszLvheVrkPIimagOYFpcUkbl7YXOOp/IULPd0L
izEumY2tCy0ncELnzYAZsNaS+kPmmcHQ0MYY5hg1W1DHWXlIxvCxzrLALtRdj7g72EidBI7hajYX
Ydiswsx6gP9wBNcVzI3nW5IIdkijsqlfJCgWWTvc6OiRaakfMKdvZyW7VnJwwl7CY8RTzSx9nVvi
1IdyO9rtWj8CEqa+UC+vNJe7dW7TGGiHN5q06GekDhGmRRNUrRnIrLmM7QE5G7cJk9UQHdNI8+uh
pnYVb/lVNVsbVe2pRq55LMRVnDaJX8J91biEVMLcpmGy6Tt9nVrKI5wHPxLNIxzddVi58O24Z4/M
o9i+P6ayvew8Q6EROspxysMab+GOOlZ042Htr2oQFKOzzktgQnQd31GLXLsnq/KuJwpZGcmf4jQc
fQs4AuNhPx3SbUapbK6lh9TOAoxbBzI+p6jsHnKDUstGrDtctwTUdQxuyVahTGLXiGlvuOFqMKp7
TWiMNvuXRnEuBPfvtFffsCDxAHjtIjatY8a/qfjI1gat0LgxtDhQYu16Yua9hav6cdIdrAP6Hm3+
ABV000Q6I1wqk3yc5HeKwmFlFlfQptZz262jvjwwNlvs8fGdFEXuF1ZMUxVFielWzE417WCy0WCF
rgSQ8KGPxooCx+QO6+u9VVpracx3lCbOG8jWD63dmXsPGnA8EC82Kk0JtGV8D0w0W+kzIlsdPYZG
GPpT2ZwoZgCOKiciAalVQIOZtrmucpow5ssQIBNQc2p8p0I/MMO7MPqwXVVKuPHssto2lvhUReW8
gnU1rXu7kJwJxUdCI93K7fVr08NrAY3mMJq49NJhILTtEK1IwnlVSS3bI3moG0XcxdLqt9KuzA/U
XdcrWVM3V9luSa7K+wy+rvjflv/nFA9/zj+/XW2a5yLD3vuLCxaf+77he1jmPbKeS+L/7Iz/pnKb
f1DBYvM2GDQ5vK+sx9mrImFTawueiavXD85ezHZcufAIkc78ze3e4uf6ydiLEwmygYvfiEjVGa7x
7nblWDEVXSKK9nopjjMtMHjLNQL/mFDMnAkOYHhOshyel1Pt+YSrfz3tLgdf+DMdU7LwbNN0zpZN
Zp10NZ+NnKBiMXVKV7H34dnqqZ1tn8bZAhqf7aBGq0v1wJoU3WbmbA0nI5vkuJtt9JA1PAytu6iU
MV73Akct286zW8JqsVPP3tq9dNde39n89dpnyF2XeHF2Gf45NZm9N1N1S30lJBDRS/RxtJsO1n+7
zjH3TH7ZScQR+f/YO4/luLG0275Kx51DAW8GdwIgfZJJK1GcICiRgvceT/+vkyy2fMWvO72K6Orq
bnWSUhE45zN7r61OpXzXWVK9JR+lKDZtbMzTOmjya2fMknsNSLenOd2HsSUT0ooY3/p/S+VzqSxG
Bf/y3oC7+aXVhE+9vTUMAsVym7Cv1zXPN2Uybw3oPY0swdc5IMOMN3cguyFmGDojCdZARP5RQX/d
DYm8FHB9lMgyUUvqn+yGTLH6+X4qoSMTkdEKCvbAWfP6bZVM2aUni9wb2y7XoDpWarqpWA+ZSacZ
lD2y3DIl7fGbSMjZmXlPznMi7CijPJdEQAt3BUJ7OacsKw7J2XzRno0YQa4ZiltZC45as43V06CT
mqwh9Jn15klJ8wdZsjamOhP9rN+qS5r67O+PqSY956xT/aoJnolYHD28IxvKMpkBg3xamjYRU8fT
DLNUi/RP/ULm0azf4zy7awsc0F3jXBjpsMvSpfUiFTv2SFBzy4qnm/O1OpG7OlehT0DYTtXja3gt
q1o16bknXIVa1bpqVGmkCysFcp3UhxZ3YGPM5GVuYJu4czs3KHZ6ld5WiePFcv++Sa9v0r/CBjYv
xUv78iv5yTesAesdr4RqmlAU36TbbxeQCF1HEGryxnD+c0t9+yop3FaaQCsBzOG++fZVslFfGzAC
+OB5+PcHE77zAO+7V8lghCgTF2mahDlC1Py+4YRipo/2OFY7AqrSq06FODQmWoaDflBCF4lJdSgb
sH5upifNSmc3KI+RsYde5Y10kT7pjHVPIHupTOQQMEJZV3k/T4QaT065rUwtIYbajuvxwsb4cqfA
4WKUlKe0tOk5qTuHg/4IGZ78bgZE8yGRpV009FoDz2tAkoW7a3hkOqmeZt1BKYLDzJVQw3z5+wif
H2FR2Pz+Mjg12QtJKj/XUOJjb7cBjzBDah5DIhh+wGWIR1hsijBpn60J3z3CYovDjom9EZprIWx6
uw00PIl4yP/fhiYqN873twG5mJD+8ERiw3L41/ePcJCiVqZlapkfGA0rVfGcqUo7jBcNRCzSFc6P
ooJ3Br2mLVmy1y0Mol11mON0XzWGvnxRoPB/qhgSKzTkkbH4Rc2Qt6OHYbnpkdLAf+y68N7K1SpY
tQab3Ee5MoOR3PVIPhWNGm6JY5SyvzXKP7U9xcHvH8tN88LZ+vNTKdBTb08lmw5BvxUFNCO9H1Yn
4uhEpmfAg+PU/eapJCsaIx02P7JdwFWDKfjvU8mKE48NsFtEgkIM+AfH6s97E0tVMf9x+kF6Bk70
wzMZ13UNw2tQtmmIBBHjnSJftFjB95MRFwBWxrY75LVE7FOi9lue7nFjzMPiod39HBnaoTWj2NNy
q/aCaZmvKyIyV1EV73JHnjwtwLbSJMyq9HIOLxc0gy6EWz+lcFnZmRO7ej4jQOCwPQySbm1meegu
Y2GRgcceupWwzfTCQFOz5Yf/rnod3po2heXaJFK9oSc4OrHeP86YctazMOWENCW2sOkU+HU6fDsZ
/p3ITHhHFt2oGBsaEmpFtxsNM151ZjJ9KQf0OYVNIFFijF6IDsWz6Wq8Phk0dyTob0XSWrvJDCR9
hkPOPSZYyUV/bbs1KWsgG9NmZc3xlUS3wdBoeqirPBdSHNv+CFNk2E29EyFzzGnn/FqIHyVyAGK2
R0ITWU/TtDzEhRWUR4UtwrL9e2OcbwxB7vv9q7l9adKYlcvPL6f43NvLqb/jzYSupKKPZccuJuZv
VQ/wJSEPAynN64nZlovmrYEQbQdcAywM3DUg87+5MtR3vErcQrTsFl43bG5/8HoiYvvxzuBuAruL
xk1Q0vnb93dGOy6DMYWpvYU/au4XYsd0OAtTuXLmDCEYe/73WlZk+U5qtOIeY1nT7hs5ORn14DEJ
HzC3FbKH6XVcZRD3VoC6A0ATyu0gyu68yg+SlPqRKMhVvdUYElOkx1TrZG+EfJjZsZ5eZ7K6w/yD
YmnOV/y1lgjXcDVq/8xM1tWotVxV466nO0gZIKCp7O4Cy7wf6B8S1fw00U8UrXSSRYNRMtZsRMth
yiIKKcKIEUcvQSp1fkZ/4ozzkUDh1Ddi69YsFK4vZ4MH98Gs8cFjgSBzpMXMTtNTn/sfQvta1q5n
q7rUpuG0J8gcOpGJzlPbScLZDk4Vk3tSCcM7vtY+9xxs8PbZEB/0jnxrz1B1H8jVs5ITBtMu2fLK
a15j50pPnh3jbSJPNC04tH3GWEHOy5D0J0oOxc95PFZdX28LST3GerdaiNbBTzIsu7rCpBpEzrru
5BuGbV8Wi4EwcCsSi7NEwz5MFlM02x8chywtS2UFnSYZZuIg/KjUJkALLE1xQIjKlPgmGKvCyU69
JGFmNllGlPwV7gfNuTNN1S9twZNuDHqpRCfmb7ilnQT0EUG2iirlWmmi3Bu7BXpoFEFkV2/nDAV3
lx8iCbi1W2jaEp/IFEV5V0n2BdupT1lECkWYr8lpOJpDvniyE6orRjsVwW6JbUv8EbLggBGTiQiO
3BJMC6GoTQaCwG7I9fGJGGHpMSvTckdMhp56SVNy0HekS5V/z7nXEkQQkH9/zl3GKGiFXeOl6OJu
3j3/3//z9WNvx5wof5mpMQd8BQdwlr0dc847VabwpS5BwIqW9bs5iVgjonvj+flhToINEcEFYSFU
1CwByXr/g2MO7e0Px5ywNdArsjRRyFM3fpRvED0DH1lK+p1cSI8y6FOvzJ2roZGu867x5Sr1NVOY
2+b5QpGLByVDbYgOXO9if3HCgzawoSkxsbpN0vsBdp7BusjTdm928g57PVgi6mi7UzHvakTAON3d
IKvrRG0RpM/Wc9R0OwkPkWuKdjGK70pZQ7JbVm5eWtM+DCrMeNJ4qaUJO/aawUim4+KCFJRbtJ15
5gWxTXcpje/rRHKx5BHUZ2SHkZm9KeWPXcFqJ4gHeydL4SaqaxS20b7nLcm79lYJhARKEasUKDtM
MT83WHZsLScmNMYbqbOaInNWcpWuJsdzbLfSOK4HLXmwoAcLBaNr6+2VHY9Qp2X8m7O8L9NstQzy
3ZTwtbUd0PDN4ISfCS0FM2lkHyvUyMPI6q6PB1h7BS6O1jL2uC+3k5TtiVcijA/5hpF+aG2S7xb9
mC6VXxeIL+RFxXQcPLHkQGZQvu8bPJG5AbotX+MyqNguYbxaiukgWY2fmfMXcoZ8JCgbxlXbYgyv
wybeES5zu8RIu8zqImxqP8VmGAyqb0+5F2rhMRtCjsmWgXLVX0YGhJNBcoN52hTz+F5dwlUPAd6S
0IUSW+YvZnSUtd4zhulpcoxN3pOUlFg3yE48bp0jvDwsgTaLHPu91C8XbOGe2eFcJ6Wxnlvgl63q
y850rXSoO+QFx4fSuqSIgqZi1L0YblOGe12eD4GlrwkYJPI57dD46Rd4PJkRAJ6lp0osB4eHaLSU
c89lS8wfHu1zL2aItizBeOiSQ8QiHCKE/aDp8uCp/Vjx3Zk43Eital/X/FOucn9owoALR8v0aK2l
WjNeTuhUiZA1cnNP9KHhLVFYHkKjl1dJpJE+PVfyNklTWA9paEO5y4I9M3L4fmXI85t3qEZCs97S
VpgrVD8MCydi8mRpzrZdpF32cm2NHtBPfryoXDJvGKWF+eJkJxdVRd0bEty5A1XOMZ/THPT2XVYS
71ByxXkYitj9qWH5d2T3ejyLJcrvT/X9y5cvL037q/m3+ODbuY4xDIQ60RyseF5L1Ldj3XyHv4H+
EMixRXDM96o8XbgVXv1iVJdfO0vtnQm1iZtCwGTOuto/ONV/BjGwkyLAAUEKxTO9zg+1KyipWUuV
Od3FoS1AYXpkVOugc9T4ln0NUoBK0XrVI0YyrzaKpAfDKqxIHLsdwyK3vVxfCl9ui8IjAzB05ca8
rhozfeztSX+yWo7uJY+13i0lxblMlCnYEJA3+XVV1SHRKWzMVoR09eXBqns7ISlW1/qPVtGB/Gxo
+apdVc1S+gLKZNmghxhsz4lK1SU+wWEdPVg+MeXtzgyb7DQirKhUSm+zJm5RcsbGk3CkcNymjQbp
cy6iTZ5jSpACA8GdVBPXoJIpjIzCIOEITWDV7FuUCQz9iQdOXTSwxolSfB42WYk1fN+N0VydjPaT
FCHUQuchNeHnGvZlsnGqTAHJAvXbXE+tExlEBpKx195nXbLo67/NIh0azFvqmt+/bgc0WT8NF18/
9M+rRqLXO8bY1EcYJ0Q1xNf7512DWwbJgQrqVXP1TaOoYVBiO4sgC2kq74Koa/6ZLWrGOwsRF0Nt
NjhilPNHmyZLvEvfjMdlKBEaX09mhs8IX9Z/GI8rAT5txirGZUS0QXOvEh2WoytAZ85jLPUWqZk4
Qy5aO9UeqtKcQJWM2TXCIc+RtSz3m3jqYq+z5EDkJpttvctJJPBnXJ4G9h1CdxARB3ucKJRhZVYu
6XWZpx+qMb8xlehxGjGsWBr8WbOofR215GqxptgN6+hTaUVoLUmb922Fy3WWiS7v+g3qqBQ4ezr7
tI+3BPg+4ICvokMpJ8vsZ1EeTu/TjOjtPO6XzWA0aVX6EV/V9Mp+7ooLXZrN7Rwl21iPgzUKn3El
d5hDg2KoPqnJ8hgOSFGJAA08pSrWLTmO3FvJlgptG8fMg8gZ/SRrTYILKdD8Rc/vidb6rF5UxXxR
6mzMkD17TrakuFmDOwBP13kp03gPm2ShUDDvx6H9YGLZ1oumdv6/RKYwzvixLVF4NH//Ih5fxvin
F5E2mg99vfOYVDJ5EV5pDHdiaPp26WEVNATHhFS5s7GPb/91ZEPXQS/zDwRN3Idfp/w6IgoRDqe8
tkd/0sv8Aveu0vGTIQG+RWOiJFqdb7QSfaEUmHLbaFcQNmrD7hlLDTpsEMa3mpL1T/3rNAFaBaOF
UUwZEEIwcOgWXYnW6Az0cDeVlansDG425GtWZyUrEblQHszzrWbmBoHmhrjsCOhkKiAuQMnqVTAL
4lrsxAXZZW36qHBnhiX7VzlLOA3EhTpaTWZ7usX/fKue79yYoLpqU57vYnLHuZdJroz6tT6wXG4s
vRwOwzgMKDh4+4OrSA+Dwft76/DT57mluPr9w37x9AwW5hfCIPGxr487zxPOQ6rG1yrv28edfRdC
Ba4R80za/Pq4s7kSU0vB1GKBdS7/3h53FTkRHTs7CZVS7w9pW9rPPiiuG5YXXI38pYov993zzmtg
N0XjcKY2eo+ftEJMnFwvAsht5cbSHBXdeu77cmML8nY/+Lba8Pd0b5gZzkWleTZb9a4ctCMWfRC2
EY2Fs8J4SrC7ChVwyosnbSj8uQwe5lja6zlawqXeB3U0uYEzHC1k6525D0nsizrrJUmKS6OeiM+a
PKuEFj6I3a+n2dPLVDdumL3MZbuf2BAMnXVF7PNKLuyPlSwdgjDc502yJ4T16KhwbmNTvmqS2nOk
/jrQ54ulXDa9XNxi9vVjnJOlYexMJ7rIqmzdWCSUO6pXRfG+sdvdOCBqnMctsbmnUjUOCoO3OjLX
oZZukpblRpr3pCKHmxHVUvlgl0MHg3fqCLzqWqLMmyyebK+YAv4MqtxLH7BjtSghERhPSGCXCKyn
7LdB4OFWd/MkO5TBUTdS5gfpCm76wS4+GewYjOg2R86LyQDv7kd7OIrI6WS2NlGuryGBHABUnYKS
JO/F56e8bZMUz67mq3yXGOAKFoidTqreyP6iCAknym4qIGV1Y6+XCVdYesE/AFgAroSSRBhMkuow
JMs6ky8ZKIKRhmpT5WsltDC1Xsv9x0oiMCdhXinpIPFx5EpIh7tjjaUGxK+bNJ+1EG+tHQBCA8aj
tSvLeIS6umgEJyLWmmxssnuTGbDd3cRO5FcE9+XoWtTFHZojtgiEW9rOaT8k/Oh7CK9aGVwvQc+J
qbNSulHG21oyLohzu5uch3jYpc7BdFCMdbOzjvWTsUh+rN7xhw5x4+yQjLtz+BJM2qnq6w96EruL
lnkzbIE8iT0qnSavtnFwHBeCgfvmphtI4bqZbWMTMAvJQvtSiHvRLrCyDUJIM7ZzJMPjPtUK0gfr
8VTN7b6a03sMvO+jSN7HpgE02d5pvb7BToMYNBTzXg15aJXTbpvaBylgQlEk9/PMOrdprvA2vaSk
HtaxfF8DrikYNLiy2eWMp5dTHEC5CUfPmkegR9oGkbFnjdp9XAQvCjUNWzXgQ1agrEJ18RsqNRKs
QVZEONDlaV8sSua1neFpwJfbTt6HjRodmE8RO5KA7G9nBz1cx8+HdOJwNYK4caHwHzRGa97Cyv1F
RU3qLUP0BUHFbjbyNcE7N4kENwlSEJtD45ILFSGugjGYyvswhX20mvSpdWF4IE7vg8s+ilibyZVf
4N6m0nzGhU6IJ77uZuTnxTgtVOe7Ad+3ZeYnHR+4yaQmxRc+juPnChk59ijhXwc9NeEhT+u25Kvn
F8qSngJc5plRXxfCdj5oy8bBh64Z9acEX7puD16K6nvBpK/iWycPi7WHsVu6FBIFznab6Zobqum6
wvMeWPVlm+Y7uZV2Zdr5Bd54uYCPKczyM8+oinsez9A6YLDPH9a8GvDX51m5h/HpJ30CDQUHfoET
v5amp6rP3xuQMQZO1rGWVjr/gFGXH8gVZUdqXAyEhmk4/FWc/tKcnkYruTAZ7rvWXLP2cI6BRXAV
jIDUafcazABQnGujWYhnz9d6mW8U9aGDMGBX8XaAOLCMNXWHwzIDOipEgnNEnUAUQM26jidwTgJe
UJ45BsqZaWCf+QZCj5b7f6uCc1UgurPfVwV3QtQa/0rrIj73VhaY79RvPZei6Xyrgk2x06RiYPZj
EPciBC1vVbD6DkkWU3uslyQmkaXxtQomD0n8GntL6MKCqvEnVbDJF/q2HxVQDCZL/C5QPfBvPw70
Gypk2ro83FV6gk8nLbpm8KBtBVwitlbCI4DXL7Z1n6042Ge1+mLP+gEwAOPcSr3ChrKR+26d5vWT
PWv4N8bjUKW7yMSVFmZ3st71a6MwO2/Op4+41mx8Dip0nyHOfKvhytaNZbPAj5WawgQ4FD1GRfsw
mI43W0uH2lFtMEI4j0bdh14Z2fuEDvaxYsIK8S7WIw3/RBsdayLfwtswbTgO0Bx1Vy0wXrPsjEun
boLLOLWWB0qFwY3NcN5YzpjkbkOXS2azHfHKpmUP/N5q2STMRLIU65HKGqNJLUWnXpkv+5Q2HHY3
MgdkP9cYX+TFtYwl0FaTXS46kLU534xmqcV/S+5/5qo8ir9/uS6f2vap/0VXyqfeXi2YAyJ+VATI
iQnNtw0mWh7kZYh13hZpX18t+R0cbUp0G4s0Zfc3ox5dfmcgkKREFwGUZ5LBH4xVf+R0YghENMRt
gZoMwA2Jd98X3KlCDBJCABjtpuJpgPMiV4m12vITiFedVxgd+Q6TBQ1JImse3fplVnTKfDCsXNlF
sjwlHqn12nqecO9gc7myIGOuh6XnOoq1cDWoyz60LSw0xuxWJOzi2Mm8OjHDw1iriAVye/SNvF52
7AOwNk+yDwDn2Zq1p0ztbV+JF0xa/LBUNtwTJL7rbBrL/pNUdN3jTPjFl2HWqpVZN2CW5rHeA6PF
dBUpcrqaTEcltalrr5yoz1fWEBT3tAfRuqrCcW10erJvneCLygnqthkxGlayl0MVoMlNpwwHuarr
29ZaLE9Rmw72nTq5SpNt0rTTxJ/rc18UKALw18yjYm/quF9FUbcJ08nVSrXlzVa7m3Lm8PAQEo7v
nUWON6M+WBjn8p2Gr6bttYGiyCHQcC4/l5C1/+47/nkvmdP8y3v5Mv7nI7aMX7yZfO7rm0nCjvLL
fQeSHB1Bvw1t4EyX/ubSk4lKU0BPI9k5iz+ZCr31wvI79MxckqychVZH+aNL78clNi+miMfk0hWi
f3R737+Y0hCaOCUhNfbV50y+pT7cwzbiZLf82Alei6P/ZRY3VyrfjF2+ras6adwcO99/Mzm0Merb
fLNouZwx1RrOJS/L5pufwdXr/Pg/RZ9flaQPtAgHFMZi39/j529DZoqgOAD9FlG230yzwmyMh0Gt
BsA4YkiEta2drMuM/LQ2KjFK7qbQ8TVMnpOifBi6XHfVghj7Zl87q6md1s7yoFQLQTUVqYT5tiER
DMwvsNGQVWrxrFUVDp7iaiw+29y8rZwfR/VR66HVDU/K3N71lX7VlcmDFNYbIz6C4nSXQpY9i4VK
nk7Q6frx87xgZhdBtKFdbNKuXhn9sjObzBt71ZdkPA3j6Be940q6ua+l3k+D7mYSgQD2rYhWImj7
M27HwHww4B2nagg+Tl2HzXTKTekKnsBjzbaeQxCtFN1ofwqNO7k/waTl/MSqaphfNP3CiOwTAUq9
khyXKEcfqJu+bjdrUkYI3nG69xNJrds+rkMvJjyDo6TFt2SuVC3cj4azQgJ2EmE3yRh7HMtHkdnh
RKjJA1e3ig3QmGvTXjwjm2SPzXC5UxPJWNdAP1exCmm8IQkNGkRg3yKEJ3oaUPM6KeP4OKb18pzi
5EaeCTcBqnLrI5WXdueH5S88RRDffn9ynbr25Rc5jgzYvp5bqAw1zHOvJO+3Mp3drcL+B/8Rx8b3
whvM+lTv7HS5519HdP89sVRWTUBOEB/q4FiEd+kPaglOih/fb/SFdNSgU/hiAmX0/futGkUQNXZi
b0kHpRvNTBaUkCCTPvhYJPNtCiIzF6zIFmhklYSp1wLT6uVpS3o4zMu0rrdhDWuyAzpJ9kh/VNHv
rZfYPuHpRkLbj/kqQ/CyksflU2gE+IoFybIXox4phHjhQEpODcIhwV4qNlh6AxBmK4iYJE5jrEtQ
5cRW+iHSUNRGcMG32dRfotczT1RqBsGEgrQZ20H3vhP0zUpCchhNAL1KzcJ2iGBSf1Frazo1oDt1
wfAkiPEmxvddAPfk0iABMlxWsebsZPCf5uJs0RZGfNNKu+9tfd44ghZK6IDghg5oJmq98oM+UE03
YTyRItCxn+dyqNy2ZUDWLuF1FcmbIumMjSkYpcYASqQV3NJaM3eStFwvBf9LB2X8GVBw2rh13g0K
iAEze4waOTyFGY3AoWDg6hdhBOGciDEDbc/cZ5f6We7JhiF/P4VQ+KwakaaUNJPOQis29/1ZWpee
ZXbjWXJnptlyt2QzLkibDV9JiDjKowUw+8EAX+xG7Th6GqPIhJEk2QEMYoJsg9+U1GMHlI1+KKL5
1DPM1AcH/XJLxDNHFsNOKQ3clOFnnYcXBcPQiKFownA0H7PbmWGpw9A0ktrrmiGqac5XnD8ELTBe
zRizOoxbuyo6In7/GAwoqDvjCraUOzGeHZXnkWEtzpoXrnTGnr0PAy8rRzjNE5mPGYgF62VsGVAw
+rWzJ4dBcABD1e0ZDYewACZGxbVpPbDF8KksnxSYii5PY+lyEayqEf0Q4+ZRV44G42e0189ZHiuu
xWDanuq1xaDaYmDd58WmioznJGACLTInHcSl7tJq0F0JpOwIpgy1huA0kioXQ3+uGRSRvnqViShL
agS3Tad6r9im7sUi8NJBpRkTgdni8dCJxDS1aCcprRitrZMIqCnRmS0RmlFY3VtEanZRsJOJ2Jzi
/n5E1KoQval203aUiyNpl3cT0ZwTRDAESOPTNJn+ck7vRF3Af3E2AMIG1xIZn3bPcOdJF8mfubxc
8vwfNCJBdaJBU1uKfTu21yqKhrAmGpUQ0VFTLhF3eQUJggsoXtmoLwxCR4uyfJ4JvLFTdTcTSmov
1lNgNPzpg36nkmuYQ8p2JcvZVDysqQhkqz5VxJzqhbpTiT1NEAsNTf2kVwnY/fQYlCoasGQdOM0T
kOBVJCcvZT5+xErzWAbjLWAgRnsS4KDI2hfcql4WZdcOUawoX1CLxSeyz29qolq1KgeTCStE6xDj
5cS5sjne9hQJmRB9OGqyUWMqF5UIWEVkwSoiFRZtLLmnS/TQExhbyME6JEA2CFkYG8b7dO5b1yRi
FqXhxirmaTUGTwoRtLSIwPXrTvcNkU9rSN1NSGBtKJJrTZFh25XDyyilCrou8m1tgm7jcMlWfcIr
VgXPhcjCnaR+tUjlKiYnV++SVaMsn9L5L9TsTeD6rwqqU/ESPz/93E+ofOqtn8BAL4xYaCYUVldw
tL8O0Vgl0/vT5ipwzRiU8UtvQzRUUgj1heX+H6HU134C9T9uAv7/3LSv+Td/cDurPzO3RdnAAAL1
iiWjFPmhyAf8hIcknYOt3sB5fgCQywB/oFstyLV9wMlbcjQK7XUnZNjxWZHd2wXaBlSx6sqMCIMh
/OpoUeTmaLnZj32q0XZ30wDXcwGYGZ8oMVB/V+jAF/TgaqPzxkX3+tw7lJqIAHNekOsMFTkZecBi
0JVXQmA+C6l5JU4zNPDJaN0paNEtrXRZV/p9FN+UaNVjVPKq0K6TYdNr0XtViNrtNvlIhByHhF3n
3jRVIJ+D4EM6zL0HZ1tzbSGQl+J8QvXRf+HEupHQ0MdmbPrAPAjgEgJ70+hXJYp7w2i2ORli6LuE
Gp91Bt+zO6v0WXUEhybVOhShcnQLWlAARzI9Yysfn7fY0nmjTaxVEO9GDW3uzpYGmyte0saNktn6
NQ1KPa+UIGJLtRhkm9DfsNWoWG8MYs+BVoSbJLP4XRcphc95H9I1mifV7EhSSdkTguw2LE8o9TJ8
Rcs+a9h7TlJ6wlHtA07yIbji1GMDg61A9iKWMibLmYElzRRRQrC0KUyc2sDVelk5yfbMVkfsdyoW
PXGj3tsFCwoWQHXdXZExtNVYDAUsiMJe+YCgjt8y48te7JBw/8UI0/QN+PZdTfZyyLopYO0E7Py+
S3oiTPtTIvZSGa5vOoajJTZWtoXdEKmbh6z0Ege3N7HcGvoLbSD5YepurOpxSD9n4bwLJFK6vTCu
rwaZS23pN0ttePWoXZKOhI5W9jSxVpuru96OvEHdJ/qJwHpfCY6V0j/0MQBZFp4Zuzl9Dg+LohM8
rbO0jfyyti46tnkFtYAtT5e10pA1cwiAEsMYx6nhEcnhOVO17vlplDVAXHS5svMRc4U/IkiGt6eK
zaJitGzUnmst8hXjRrFfIraQQOKPalpfSfJpStr7vrPc0RJa23BVKheRGnqBBCln2dTaSbKhqp+G
BBhxaq1LtqFassJcIUl+TgE4VE9h0yFDSvfcca5SPalGvM3A2YZVfaVad0wJeFrivVzJh5AtbCpZ
O4WHCgE3NXGALQyfmX0dJfd9mfKO+fXEw8eCV14AZVwE2k7pnrOW7Rf/1Ihdn2U8olnv9y0r3Lla
I45xbRbFioEXQ81t6UN+XiPX55Wy0y8qCTfnVbMlts5/u8Dz0kb916XNqYBBH5e/uG6+29ngNUPS
DZHlnNVAM/bWDFrcKXSDAvnGePc7uS5WC7GxYRDzX5Hv2/iK9AcL4uZZYSsguX+UZQ2y/MdmkCvQ
BkCDLoTfxDkL9tthD07QwSScL9uFIwuLZIEHuUqL9EXJFM9IioM9Suxeu1C+c1o7+siAIdvDCIu+
zHFC5oI8WeP7AVrtnOtmdQAD4cTTrkmdtTlNd03BzHaIdNmdanWlNZDXOmdhjERNxS6ePCAZkHh+
S/LP+2LpL8cgNdnBOjNfGDw3g+O7UcIhVTfmozVEGAw6h6zt3M7Q5I1G+TAHA8mryGOD42SSYsOB
pUzYDdLrNB77ZW1jpTtRbsG51ZckadZBn+OOGOX4MqYqk+zhyojiQ2ypH+feXsl1cEiVenGJbDkG
WXzN6uyiaIK1pJmHOZ1vIRP3RK31d6RL0z5FNwDPgFRL8l2tKQ9JWHj8tK80PbqdA+UoVcCgoozu
oLU+aVX9sVPOUQdPZp6sVEO6i8v60sjo72q4GBL+FpT6RWechoxNWTJlwce4n6qZhradX5TOmg5R
Kduf5/bCIBbG1StJsl1J0yt1WyJIvYgqKb23JC391PZGFf0d9ryOqcWE5F+GPbCcwpdfvOV86q2o
JANRwGMIXvnvq/z2lsOk4eVCP8w58M9m6a2oVBgRsXpFxk+xZwLE/VpUKu+oToEQ6CCPmQrxS39Q
VDJ0+fEtF7AO1sKMngwI2Vi3vhvpWkVm5zEP8FZH0Neuw2Ixnuwxa2WXmOBaeZJgYXwOJ7IIXHiz
yRr+KdmAcd1e6XVResCg0NhO6ke7CaWVqZu9G4KCxOsDjrkTYOZZIJqLeiQQWWCbG22Q1xEkZz1P
lJ00Vvp7aZrtu8oUo53eGdelHVnrTq6NdBs20s0yheO2QFjFKTElB6urPsy5eoFU+JM9LjUtZi3j
amGkVneeXE+fqdRvF2kqG8Ll1PxWYt90URaLvY4KeK/LmJGhwqKmJ/KxyBtUVCm5h4v6pHTTcZyg
LSaqfgVSDZxiOz3aS34fZvpjoTqfZITUXp1l0BobT0+nQ9mFm54gVHJFVJa5jGpT2bm38cWU1Ffp
pCJWSSU/0YMbzW4p+Ii7nwLjBUfrNfkBp2KULqWc4VcUjWu5lHZKXx/rnGSCTpuOGTulsVV2edNj
QVhuR8l5zGV43cui7jNNXjvIPN0xrN/LXfaZXGoGwcUxAiI89NJ7dVIvWym+nFuzcNW43iQxuQyB
fawLEmFUjBRRbnnqoh1SlFVmHD/lQfSFqf+HyNE+zKFTeLbd3+ctLDjQv3YhGdtwMpZPVVSl45de
S9aRTOyfZSC3TvMnQx39aXEoZqv5wzwwtkvyp2QsEceNDoUPuQjMvZNDPI5bJYS6x2gPfIu2DhLj
fRLZB7MOnoyQ4AizKh7qMmzdzElqYl6Si3iYDkXWoFtnpBUslQG2N8m9rqbrwKFqrKo6k65GJ/8y
pczSpWpEF0XqGoI3wobzjaEZjXEcmQRVH/4WOK8FDruffzn52vHXY24+9XbyYWkwKGPIieIQexWe
vJ18aFIobagr1DNW61vSBTt12cJwRDLeq+/o68mHihWoOIsPVT2Th/4oGJb8tR9PPhMiHv00iD2+
Fcv670++oCEPpar0aCeS4TWGcbPo6sammVeqaPbqroRv0doLWqsYj81u4HcdgdTW0UAbQg4dn5XR
0tnDxC/hZ4rO3qb8bMVJzrac+dWjI3X1UStHpXJjkpxwMkm9UTwliXlBLNxQn0KbVNj9mIfyamYx
uYqQ+cqIXIiFI1qAESthF2Nvym4gAjAKkjACEYmxRAgcJxGTEZCXIcnyKg6Gx7TVP/fMJHap0X3I
z/kaef3Z+h/2zmw3jiTbsr/S6HdP+DwAffvBY2RwJkVS0ouDokif3Xwyn76+l1FiiZSUylKhC7jV
nUAhswQqMgaGmR07Z++1VeLGwnAuI4KjVFkciYg+xJG5K1RKBwlzySbOSe6IWjI8yLmn/QeULdQG
cV4Q9MH1YOsT/JEEoJBqOpaJXFACxNx8IpUT4qjEENtqzgURIobKEikMZ0+c4VmjUka6AqgNaMCH
WSTkPqssEs7Ge1KwQIaonBJunvNO5lzVphEoqKvyTFKVbNKpjJNUpZ1UUNr72S1CQyWhkGm/jga5
kkSkMBigV+zX4UJ4CnE001aO9G2JVdG0KV9Z3nvTO9YJXYkIX6nm5LQijCX1vBPp0TQfBbM7vzpx
3H1tJk+JfQ3nfIk+TsuxV0P02M0dVjBTXwXOaXxvmlzWn3TNCSsMNXobfEpyXn+HxnhtkQzTqIgY
Ktk6jFRsjE5+jE/EDs1AmvoZagolHpjWJeODhMndOpsbsmVQCTkoG3slcewz/KaGuYAmRf9oKSHk
mJSnogPwTqM+W2mTdz+jmpxQT+K8OZpRUxpKVjkrgeXfW9yXLY5a58+3uAsS1+/LnxR3POpli7P+
YOdgG7O/ULRf80Ko+3zTwRr2kpHwrWNo/MEEHY8JqGzc9G/U+MYfFn09JYYx6Ecp+/1vFHc/Agef
dUZMFZXdzMOf/3aHE8McOcJ2p72VeRFMe38msqdMCCOlgROnB/Lt75LR3vbNFDEOZ5y+bL/8c+pz
MW9bd6QxlHfTyjHL6YjdqQdjY9ExmYlogtcng1MrTrjt9fldlIj2LjPndiOdIcxK97R116ZIVXpq
FNsf+llWSPLIXcJKHYj1LEfnujSCqGG+mGofQFbHoaU12WemJRegBb+oS/ftCBia2M7M3mgJlSUZ
ExL2/pKEss93ppvQridQkBLUtYubgTRT5mNhZGbXsrOP9NHd2q4gXoX5ZKXfZ57UVgQ73KA7PHR5
X60Lh7sZrNFrMdXa5ezp7ERa8cBt9fj/x3X0ekGoFEr0Zn++hs4eh/u3XfevD/m6gKgNaGewehhw
f/Fo/aMHgo3y24qBcUUTne+xaTtfwzC/Nj0wTpL9g00ZoxeXFzxbv7NiDNXGea1w0bFeqqch3oR8
E7zSSgHzSuGS9DYatba2Tr2o827n0XaOOI81WnBLoa/npFQDsVocAPE2RiiMZtjoS9xtRtcvdtLs
mhMn0qX53kmW/Ex4pHEcN9Ng2cBZGlJyZWvPt9ZgD+97skfWfTwTn0s3A+rN4HOLqfusX09uQiqi
HGfjSpIB8aEaogEaZxAxOdKqUYZkjXBqNVE7btPSzvdeSzEsGY/K0KvnfufS98Qvk5DfvIpjQQ6I
NlvThT3PxOswDR/jPcbWRa4ngjo+ZbLoZlq8ef65QR9Im97B3jWO5XTO6cQwsYkj3jt0oJm70YTK
9QhAp70gJKcFsSOalp9anVObB+nH80WTOM18FGuVk63Lku75wecFimM7WrSSVix43UvTR0Ae2Fl8
BfhzOG8KZg6ZV/Rrjjmf7monsFWOrbcvg4J7TWaLJd7TXJ4uCPPOK9jrLeaYUys3b3oiVjxgFGPE
8d7sI8NJ5a6MzNjydj7pvvHWa1N90ddTVir6UV7505nlLWVlrHoCfI/szoDaH9a4U91VxmW8qnKG
cAUXx7uuLuzOuhroe4Ut6suaeyYV1nSWNzBWI5T6KUT4GqJCuWV4z2RV4qQnJMDRYPudR8asbYdI
kLWycrqeqXrYSCx8SJu0IVnHDWeL2OvdaETHZsvUZt3Y3aC+ON6yXyayRrfalOEkz0vGiPjCeylr
/cyYS5ixDMS7bhiRU+WQiTvjfRwlprl8IEt4rtrP/dj0ZRk65MWQ6fFv2cr+X833VdytP9/0LiUU
wO71Pvm1l8SjvhUO+EFNLzAt57mHQ1fm5W6kpIsmkmJsrS8/eukKIV0EUYzpTkdNT/uXzeml96uT
fcnsGDoZ6sZnQOBvFA7cp95ug0pPCFsco61uGuy59nfbYFs5NvS6qN9bqeeEZKVW56nf9wPOse40
qVhaSSTNwzLsfTbHzw3dxZD7U7qTQ3lwa83ZNM07EFaMLYKbKUlvuuiMXphCDVsfA71/bJP8srVN
EPzEPgbpOs2Hzbjow9rVh+spHs70xdigFj7CqP7A1GpdGNQeSUHT1D02i0MulmsTLW+MqytvzHtA
Pu+NBKEOFExCz+YHI/OvcjMI1s6SnDDmQ7qSBhcL6mDZ4slzLnLiHWd508z9tkhQN8j7us62CBhP
MMes2gSn1SgT8gEKUhBS0Pyacx0I1bXOt7EJm4urUQnZ2Ovf+/G1T3JBwr2ClToOoY6Gw1fx525V
7uasQN5ntsfuglqYNA0gFS24rqIoQCwqnXOvxTZx6MV80XpdscZ1c0DHgx7asAkmKmV37gzuFYrS
9bDUR7wG/2AU3sfAqYt139TbcnT0A6mdJtS2Nt0YGXnBWbJqZbqRXsOOz6XNE+ryl546UH7KVoc5
1EznBcLGziWbQLEp+vcN1dCgro4Zt6frghSlzmuvyFpZ491kOOeT787cysjW9mCsGwIuA206ypBY
akgSJ4PsZ4PyiTDHh3Kp2hPNrg+DPvA5I9TsnWNuzjuRdms7N1FndvOeJvVpXRLgoDnY4aRxvST1
Cb4kwdSrvKgx/4c0ezYuX8ROdGts2wAZ6w3hoQck2OuxQqbmzd0nSUYRHfS9zz3ToOcOqs0hgdpZ
Jb52Ie2nSu9OjOgCEIcTCrs859a/11uDafSjFut78vP2Oj6ple6JW7tBfd6Pd70ghirXGMpGEl27
OI76G/7IJLDPdiQ1u2Hji31QilMLKEBo+42zKW3j3hRB2GUYt5gVL1dNUnaHzCFaenHhUaFhI8kH
fZWMuMTGtOTCSSbt2mcGsQXo5aymKrOLnVM50UlcO3g6dZS1TjqZq3HMIhyQkMErESSoQUcUp7K2
Rg+d0lKe9K60Lu1cc8q/RehfdmSlX/7zffyKXbwjq/2x/XEvV4/8tpebLupL9kmTQdkb2YgyiLCt
4R2h3+UoQfk/ZCOIOoFh0/rX8W3YpsoJftnLf4S9/sZe/qNBhBcHYRiwq0FqJM/5tqIlTrvGOOEY
6CKsaHgysjip95Xo7OzEscfmseuCiSA506+m1Zx4M9vE0DSrKaAtU+FMti1BaCV66p2opyetwFG8
StyAcRwlHgFNAEY2FpFNqcpuyoi78QlzMs3404gO3dCxUai0J+QRA27T4KKY8WYO3VUqxuhknnKe
QKuLc4su2oR/kZgRfGD3QnWAckzBK/qIPsqHhSSfvLs0bfKM9GHO121J2oMU7op9+Ql02w11br9n
L7KAmOE1KYNOvycYqltFuWesFx0JNWpPnziU0LYZji1ivolZPCc08enxUGizs9vmvhr0ce2KcTxd
+oEUzYlR4MqO0mlf90lzyUzjKddz83RMYiq/Mt32LVtRx4Vi28MaWqMsbI/cKIpX82wFh6z1q0th
eslllVDJdj23gH9LMfaflxhrsVx+sTzFQ17cV59/sjh53LfFqYRbro0TQ9FBfJo33wotCDzwcWgp
4896Jl+9FFqqDcP8PICz4DtUP1RuL4sTYxc01yDA8aMaNL+nuFa6sdfXTRXnptDkdIl8/m19f93M
SuBv7ZSPe93RZThgbUr7hcMfb69l+ySX4T4K3doCIxWY5E1q9hkbPB3MoSQaDQbpWvPs+VoMxd04
Fx+doc1CpNbkS2n+U9N0zWla2OuhEf1qia0DjiYQpI6IQulmethM4yYeHXvbRjbwHE90m2yyzbXp
lO8jQ9/qRjVsBtdB52q0B2vMjyPc6WE7DtkqS+L2qomygzC4+DbtkW/3IhRJh0hgtD4vZX49VuX1
rCXXi5knYUuel6SWXER8hmjtOPNE9uC2R+RF4haBEXqWBUtfEgg7EYmI9dG5p/twNsv3rWfR+4GH
UtwZlj8iGTO86tqkI5sKNFLbjg9xCunN35nDxTgR+A0sjL9GXBW5b1SlmxZj/LpCsMYnYX3W9Yam
uPfx71X43CVVeSh/vgqv+/9xcj+2j9XDT+bg6qEvC5Hw1y/YNz941layRl8WIuJKV0ev8jwE5+bx
7ZCkucOJBdCOpat+yoNe1iHXJIUiDXBYqfkNR+tvHJIK1/V2HeKreI6PRnqtGHnq56/aPulszxZu
4fTIn828eI8w2q8n0Dmxg0TjOcRHRNJbL/V4x9kB4FNl/WiE/vRf4n+eo4Ak3ZP99BwQRMYRYUGI
nwkOotRTIULPgULVc7gQ1CKChnBGBk8F4UMjuGB6D6fMfU3aEHj4Ayr0fWdl9wQkEaJILN5x0Izl
ivEwpMWxrVZFg5hMX4iRs4XQqZKHmdx1lwwWXTbHstO0485LSTtvErYEDEztcWG1xC/lTbCqq+bO
Jwx63deO886t06wNa8e1mHzn9YcMS9XGzgbyFUUpt0Ztzqcek9t3pplEY0hutb2OEz+geo/fM81O
mLP39Ule6FS6IohYeSXnYM/0nPRoQm/WtktgKM3k6DDnvhE2Sfw5atPulNNc23q9XuFJ1e18axb2
/GS6iy+IFkzYD33WK+VIZKTc/WhtMZpKLdjIg1256AgHtWF5Ljobu5SmvRLPCL/mGefnPqP9VOde
frCf0UmomMAodc9IpXkibioPf38L+OdaHpj6+d//UmaqB15Um8ZJ/7/f/rH78uf4Uazv+/s3f9g8
o31pM7Tz1SOIaR76xSio/uY/+8OvJK53c/34X//z/jOBiWAx+jZ96NXp+R082KJN+os9AOBwL+L7
nz/uZQNgVgKIA4siJ93XWvhlA7AZ7KJM1k2+Y0rzQon6chJbf2B8YlRiMcAwvxDZX3YAyEXKQ40H
9PkHMA9ePoeLL15GPsI/NVBi8vxhC+CpFQqBF6JO4u/qZGnWXq0Ly9xHGEkw+MCbbfN8X036jW0A
LQCa1YQ2E9ihaU/MmUZC7FNdVqrOHFTFidXQwiuj9fuccjSlLC1VfdpRqHIiEvuXGwR09GN3OVPO
xksMxFYDWxyXCtARIZaY4s9GTDEKqpXbpUrhsxfLfg9HVUHmrkdu11tjDvIjXaX32YkaXFTzYy/r
ZANf7+BQ3K4CaV40kUH6nyM+DCoPEDfsvGlURiD65Y+RSg3sy3hnqxxBofnHQTuSLEjEoKayBoPB
OC1NxMyip35vkIHgjZeMeC3KEcIKIzPVwqa/lZYrwOSpPMMBMZutMg5TlXY4tdqmK5k+9wQh1ioR
cZyna5eIROZh70ggvo5SBIHRbN5wNdnqKlXRTNWDFtkeTVEPr7mTEt5ubK6E4Z03wsxDj0+/bklv
dkwgPzmzYSfDOwmeczvTOT6TKUBMAJkofFLXCK0BpLEdJC3I84kYz/FuFrDUdalFK5DGzWEx2OUm
Yfgry7Wqvc7bOgdjr4VmMFylUbOtPXKT557ReknhvtWD7qoGrbZNs0XbTk2/13T52HgkV5IwPQ/i
iqi6h1xKQmJRsnP7Vw41q3wcCo3vTTkEh07kZyl4N6ZXhrdJtOp8sgqAvxZ4mVZ375n3XvhVcZq1
8tTpbUipttLyeo23rUz9CgUngsJo0jfakF6h1yTSspapbWJfH/LmpFcBYs6XMDEBftfnVgoLuojG
x8TPkywEf9OdIo7vcMi5mXMKqctjPC4Q5sRLnW/GsWJG7imuD3htDWeMPCEeTOxi16s3fb7gTYtG
/yZZmuVQesMnrZFES09Os47jgbTI2PBoUECdqgzhhfaIHy1uegDEKQHmc4XbC27jsg6qKb6xkhYG
c+3dsWcsYZb1ALNpgZGGZm7sNNuPopvWke73nJ99TPK45+1+f7v++Ub8Zlv+b35ver3pmvDbfrlT
nyrexUMiu8e+f9Oh/vrIr3u1G/wRqJQ6w3MQBr6hm3ps46BNuTOhDH7ex7/t1dhd2KjZ3xEnY71X
UsKXvdqAT6MiIwnB+Drn+25v/tVeTUH4tljjGVA/wxDC+M6r48B6XawF1gzLotbqvZ8WT4mIg53m
c6VJfX38cqL/6anws2eCh08cFHBJOu/fPVNR2VASJ4NnMhfKOb3+WFdiQgiZyNWrE/PrefTaW/+z
Z+I5AnTbcAsA5rx9T3EPw6utc4W8y+Uqkvp5N5BF7zbL7W8/EQJxGAFoxXlb5neV7uAVRgDLtd7P
Xf6UF/lTpKVPGf/+V54GW7Kh0o5++B2ReL10iK/rfaSNwSZQKTdd4gK3wbr4+x8d31X0sLAb6L49
Qwte1e5xrZc2kqJ6P0RlezLpzPJwEfonbZX9xZtSJcArrC7faayZzIZBMNJRe1blvv7iecS90aYa
630yMpNz5Xw1g6U1tPm2HgZ//etPkNXy45ORtYDtjBtO8H1rQDMcLMuGqPdBA8vQ68p2n/kQ/4WW
3ut+jCLKbq3QmKP+X/k8lfwuICzT5Yb19qvotkKaRVLVezKfxbVsqWooLPJbLeP//fo9/nDtUh8o
hR27AvMwVvXbp1rwP85kHNV7jQ7CvpT1vMlMPbr+9bP8ZG29eRbVhHn1BQFFzj0D/vZeCyaHOet0
O5RjdUC9/y99dK/ez3cfHUqVRAwVz5QUcl67U3a/CNBpf728lMzi7bcDFyAjOupUhNvKLPL2PdVT
SuVmy3yflKV9kENXPgkLLR7TiRFuRhjb0bRhwsQcIsmM/mxwC74seVKf10ZlrtK2vC8nUR3IQfTX
s8lvtkvrqlwVs3SObTMNTqo2a09ytws2PQpCJD4yQgAciXRnTXwxNrZXRtfYW+x7Eh+RsgX8Y+dr
hneJwcG3VDhDcaunafYx7XxARBXUktW45Mzo/uLXq//wYfjI4Onz0ZkLUIF4330YIiodvxR1ua8H
U6xrfWAaOdeIBaA4z5sAYcDaCFpj2wSOw9xnQnJXWMHGauzqMDRcBVYjwR4bH9DgqhXV+OAlabny
MrxVgacbWMjyp5k8waN4MYbT2uuisK2XDo51oMxiNX9lTqJyozOIX0lOz703NeXl3AbmXe6Z4siJ
sujjUA7QrcvJ2UceAyNBQbQbM9Z2DsWaSnaWyCPyavLpUsVUz31SbWReVJvepN/Va5l9INNkfGgi
TjyA07x21+BZEEccj35HTy7x/ERsZrtA1JFTVacdr0czAxtpN286H/p6K4K4PgfsKNa9A25iNRBC
jjobiySYRqsPaNe39bbR+fpkkPKBtwAhKXXe3YL2BcilB9q75ysEvh7dekwunOtyHFbeZGA8rek0
DsS6AGYd0l3WLlzl9V6s/bJJd35QaiuP+Kg7mhwOXEcj+4jwtbh1xzzdNZ1Vf2jc0ryLeO8wKlHL
fqhLG963G2EuCukABP3Ksmb2vcm1tTREBlLcdqPvHPtaV16S6d5/5OrjHidZU5+7MnvSDX6nMnPN
u9JPn6ZujK57dxFHozomkg6K8lyYQBnbQmcUwS21SC6y1J2uELrYR5xu/SoaSuJSYtYPJRF0VbBW
FfZti++4LeP0LLbq4BweVvXkaoFxZoiMD1EWTrU2tdFXgwa2gKKL7cOiI79PXD6yPOVDiGSSrRY7
mVdlU8fv/MXkLcVemn8Mlkn5GkaYOk6SleuiH8SyEkvrFruUu0B9asihDtZuEg3vk6jW4MUYQCHx
5+cU3a6uhq8iXe7QCznvpiovn5hAiAPvcaaBwCmCnqrZ25kR3OJ1NN5ZleD747S6k65a2xmY5ifJ
ILZyKoOTdiKlF0Ygv4I+mvDzTyRNgXiNcw3kpxvcdkAn1rWtL9pqsDnu6Vr7u96q0SM5xVgnt32l
cYXFi5zdB6OpbYOKdYT0hfFSGgzFrhui6Wpsg+H90i75zqllX2xHraWdldWWsxAP7OcNepcY9ZM7
5canJai7z+bC2rK1aDbWxeh0Nyhr6g9xZjNpngvOk0nwYlup0fjW7ZTcwTFl1k224cFJ4vxjE5vV
YcLcv2mnzsQ0mz2ZfhKcRKSXHHghBpzackY71TUjnDM3OYvzYNrIuAh2mcZvSNIS5x/8ehO/JVQ2
CaLrbGglVDQUz48VgV/7KnehhLiJu5zYeFrrDmC8VYqyDQPJF2EZ/eow2ulTF6VN2Gi9vupoqAdt
zLW+JXWim66rxtwDEPgkkzk9lJVrbmRUu8eUBd5lIlmURsXL0o1iOB3QTSLiZp3bfh+F9DTyOx/k
0rEOlLVcCAiKl6nuV6RTdKiKUkQOVl/wpWZXnC6SghZbJbOAcVzOJqCx6nNJYOOAdJz0HVJ2l5bd
rRz7YWeoGqS2ed9mmd2nneaf05x37oup8y+toTfORDwa7/C+WIdJ8o3K2VA/yiAqVjrOlvVQ8fad
bmEZlX4TnPcV7KZOawuozB17TmLn/qXhtlye9eLecdgo25b9w00073JJJ4KbkOqvIaxWUehY0r+M
RA5fepTsZM9VpwzaZlfopURhnbGJmVKs3ZGnboVo98+nkmkY40PiVEd1BV8pppfDN1g3N23KSLLu
xTYZLUDSXVmfd426YwhTHBdGzZdpbBLm7yVM9tzj00mjYFyXrjQ2z7susVEfepqdj/rIbjWo74iD
pOUM1lR6ljlTvB0IK2CPo6oiKQqEZBY7W4ayhGmK1lw5xK/tcCBMAJpccQOoIjgnL65aT7qH90hD
UEYUJjt3obftPuY0eDfUcbTy3arCISPLy06y92jkV65H2j9VPpR85oGQWytzGpCXQ3pmRab+ieZO
T94mdnTwlOd+3hX7DhHOLktEsCuDWDula3hupdbwXsuyDtV90p9G2XKX6tZ4B4/AX/szVQH4AGe/
BOmyqZIGiYXWRpguPyBkKdeplTyJmJEo4Iwb1vNtO+iwAHyhbZK4bFa9btXnNiL7gmMx3rG5f2LK
Jel9cOjlAaehhvbnliSk6gDBM7jVS994l+pgwVcLv1Jk/2qTde2u3pKYbmy5h45AbScPMrNNl2wG
E7Qv4ZW3uyoJQtNIsAj1HS6EcC4KNrOMC2/DVyRDjGLEen5UjY2Ocbr20rDKW7Sa89AsbVjUFvp8
mNRojJ1oVI2e0ryh3VUexsYqD4J2dr0SvmwOFlmja5jC6CPXUTMJD6PoaE7lwuFTtOx/pTeCKjHH
dFzreZZoOzsdygRKXGDBYzDLaPAP9iBFFUauVOkT3Eta6YZL0HpP3YxnKvSHvHykdR8DfYy9o8n3
SOEa56DtqG4cfdOAXMz4DLx8Js+j7fuLyvVictFsGUhyneJsA3SntdeLJY0BmZLRffQZb/crMRXX
RGpPRVgbLnUlFw07DWtvHg5VQVh7WuufbF/uayV1QV5ahjaax63psr7YOIZLx8m0U8OqtGzdeyX+
e9uES0fED3b8DMGpLPx+bzayZ0YR3eeJA0xtNPONqQt/LbzGeF/25nQmOaPxlMWtvq5sE/F2UFjL
Gcs1fogLj8ZkbnRaWHhTQJmtaUfpRHt36+EjQ5Pjsn3bIJPwbXj2GI52UDjrmje8z4H/MGycneFL
V+lPWwZK0/F9ZQ4plOsMUykFDv3uttEtSwz5Xi8Y6QzsN+Y4nPax1PGutdQJPaXl2WxpCVMTAot2
edAKMuNAwvdWiV/NCP7q0oqQ5MfXQ7cEZjYubnoLb28KXmzGrAFeT1sat5LMsjZnTx299B6+9VU0
c8z9uh7/4ZbM1QQpIs9kUI+j7H77hJ3NpCse62KPjKQ+r2BjcUBxHFdVgi/UnsXRr5/vGXH65lqu
nhBBpAq8sSyc6m+fsGopcGywVmwozUhvumKfTztyX9YZ15xeE8Em77j5uI4/XjwfO6NYDHeXmKOx
TTAmIhEpnHuxNMNu6jjX/+L1qef//vWhP0BzhNgA1c93H0gsxyhjx8735AtTY2ooTfoJrNpIb79J
PW2vUSoRyZOYW6cNGAi0/eHXL+GHezbKGiIVMfhyZeRX890rwDI1MuUz0n3AfXsH5ksc1/b4V1/9
HzoWPAuNCpQWRD/AP/7uGiZTOZC+KtK9a1MwujGLtaqBMjdmQG3t5sIC9U/BnOQUer9+g+aPnzHH
MpGWPiG9hhoivf0OzEZuDy1pRHu7G+NoX9giONGiCMOspBzsxOjM54HmBLeVPd/mwdw8oQUcNwjA
nXjVi4rBB3sMoI6mkL61iVGVb207b/fUnMFJJqruM0OViGDIqOOy9vzq/2+zEv+52eJ/83412+UP
00Xu87+YLj4kIoGm8fjzB76MF5khukgIcJXCMqcdwBL4Nl70aJAYLuYQvhumEuG8jBdpWWN+56vD
t1Ypfd6o8Ohy05OgRcrwUYV1/UbL+jnd7s0ewItjRySD7zmTSykZXvegTB1B7rDk9h6k0fChQdjL
Hkw2eITM+sQlLdxRseEk6yIIVVHi/RRoYeAzu89V0HgGBo/ITsLHOWDJZZZZzTbRKHI6alJDxZVX
5Jaj6pmeLOXwEiQtYJU0mk8To5/bBZu3Zi0zDCVudZHZ17siWqZd5zjzIZlJvfKyySTgqziyhize
1qMyozckfVCRFKvAEwQ+ZiXAiaXr8neDO2nbKHGbgzkIbZsy376eAopkK/hQkQNwNPRzcmQ4Mbpf
qzC2qV77t/mYMXwWj0k2w0KfJxS1s2/urCimV1ukj7Lpb5q2X7YBaAS898keuGy/MWW+FQ561ymb
Dham2HI2zvgbJ9Ks2gcyRY0PHQHC9knS9UCiuHt2ZJJpZd3uEmZsXABLo78qFT0RAjYgRUqJmETs
rvjIHFbiyawt9A/JILPPhG6mxo1oPfpb2RQE94nnOn+TUb8S2Cw23V+uYzkXPxXT8riXZYwznAhh
j1Y+ojis2ayTl2Xs/cEp/wWm/kasB/aGWHbWKY90TUJqvo2dSDEgCA/Vn4ej4neBzj8axh3OFvYL
ZmMcMEw13q7hubelNBaM4H0yb4raF++nsfQJ5+COYIKqOJqegf2l3i+Xel+G1QL2Av3sBAkDur+h
MP+sRip4p6CJEDZeFnPud9B1mKKMNyRxF94mBZwDVzPtWVbV8s5P5FM1OdgzO5gJgyGNo2yon2YC
FBD1uqjTOfhWXupfETGAxjWO0uOiTpWWxiXBBcn7OS5ycauRCWKGUx8097GPPHebJ9UOqbkkUY/N
xA+mDwkUfPagHg9Y78BhG4fSBY8xN2ZHn6f0zmtujhinLQerdW3aO78Q0Xkw5idBVDVZKJoI6V2b
158YnCX/njPyP/D048z5xap5rB4f7n9y9PGob2tGAYMZsqmZHnG9qFVf1oyLC9mA6aswB75Cmn87
+gBJMQXkqORIRO2qLEAv01q1ojgryemgiCOM+7dAUkq/97b85Tw2uQehczdYNPZ3Rx+NewxAw5Ad
OU3kOEJ919n/u+dcDP85I4PmKVzd0TP2eWH4x3XBRYbEaGQcNMUlnFSP27uZLPGWnX7WKJVz75Au
KNki8sAbN/Bv2qrqAMFhOdR61baZqhSwS9BtZe76NIEo7ZO0QXUhZ//G8bkGomjyYLDV72I7KTZ6
qn1242YlFG6UGyotmfUw5ZgW9V3cwClemk9o54ydq5UnWdW+S5i+LfhUFGuqeMZOzYpAxa8iICnM
+jg6jBDEDKfKLosj3swcDophtdjdWaegVsCtqEV3CHl5m9qAHmRem4qDRXN00yLm4CKDLccBltUA
zXJw9580tjNCFtXd4xJWAM1R+pHros3LK36TcB656jkP/5ba9D9v3amoxl+sO/n0JIqfBBCoh70s
PIOASVihGIb/UVi+LDxSQ9RoiO+763Hrfl1zIi5HqsNCoLLEzqe/EZfD3eaC6GKTVmyS35K0/aho
86hsVc4Boa0sOxXv87rmTOPOj/yM6KjFX2ZnA8kxxQSXdMd102PV6BaxEWl7Sl5AT7eogsWWz9Ya
Cu9N6mirxYi0IHTnPsl2DA/j47KYrARFmFHFpxr5av67JtYUmKMtj0vhnbaz8wGJRNSDw15IIa/z
qtNO7cUttqVR5dss6nbNFJxWTgWvuWY5eIcp/VQrjy6ZIYa/nBlmN3sbv0h9tGFAjXUySBjHE5pg
l/nezklXDzUXikE2pyHC13ZVSzM+JwX51MgyMzQSBjp6zXPFkkZeont5fEirIUZBNUzLBQznWTDn
m8ipjRRJzdGHejukNrEpa4hD7XBgcNYjxff1Ml+7QxtQfINCwAuNyG1pzs3UarHDMKAYd/1CV9kQ
Sn+rP6ec0GFWzVDrfirE53gmCkWAyHZVOEqqYlLiZuI/mk/xcaZCVODbXcIkBo9MvIokZ2VRgSt8
dqSs+4SwzF59McfeRFY25pIgptgIB32ZT8hPIsFlKOozR4W6zKS7lI7Kefl76T9L2tXl8M+X/k3R
4T/98chVj3pZ+dA9VI+LK6dFU4cwjG9HLlQ3RCjK2/sl3OfVXZPiVX8T3fly4EIE4WwCe4RXjG0B
7elv3DWfSQlvT1x2FoQBDi/ReLawvF34TBSxK2XVsp96w833zeA+9qIRlyi3vY950kwrOTT9kVU7
9d4ehurTkhfNaRHjWCU6sjk0Tf5oxwRpBrmzFanOuDTxi30d5fray8uHuZyDlYhyg5jALI2AXkOw
yVxam2RrWSW5elAVIf8Xx1qODL4x/XPXjImdtN1edTjlcRd3aejDs0GTML3Pi2jf+Ppw36I5vaoa
DXC/MXb9saH5TNUrlkY2GfqpT/1tQe0W5QJXCEo7o8lpWt57jFEQzVvZfGESq9WEVoJvIEF6i/nD
8uYlZa5uR3Q7gTPqCmvryv1kpEUO1d1CnzuNfeFurEJnS0Ab0k2XsTMz7lxE96FOMPQ2BqkHcUuG
buXlK37JJwhr4bllza1BHp85lneZBYSB0n835POHuajISGq0dTGZYQULLoAJ1wUaHF8gcQa0OGnk
XljBj7Pt+ZjxIXOtcq3bSbrymviBoexH3xM3PgQ6g+cN0SPBb0DXoEOps+lW0tffZ/PQrXo4diVR
CqhAi72R0GmrFOzOK6qR9jsAvBnzKpuY5l8v0PHoo8LJqxrFzPNGxc8zIOlNEPUGp71jwpwdlwq2
NyvsnqiCq7/3lC97yi+bWHf3LR6Zn+wpPOrbnoIJjcwiBGYBYRXKdPZSTdh/UEDbtPD/YXb5x65i
/QGcTFnVyP4lBFtRXF92FesPjP3U+HSdnv+Lv8VL44Hf1/EulwTFcnPIXEJv810d78WT2RTG/2Hv
PJojN7Jo/YuggDfLKZSvYpFsuqY2CLINkPAmgQTw69+HkpmmNKMJLd7mPUVooehusgyAzLz3nvOd
yN5zyvwk+0LjdJ6kt8zXy/20CKkHWwJfnRl96Q3SgHERXEfN/JKxWVmLFNtcRNnTIs/GGhavGC56
MLIRb0tU3Hm2ZO8twu7M9pL1kFd3TaPEGhOOSW7oCOlwkYZnjolpbJGLl8TigK2cAgc/tpMMIdnA
4NIGCKsxIA47qo9TJzcMXDfpXFzQOYIaFA9BSbmu5WgRnYYae7KxZxNe4LlgwZpXd/KmXZtYd6Cu
w6h27gvGRIhnXqV/GTx3k7So4KVrhVmvfyfQeNtp3ik11btZGCcvaB9NP1qXxnygTDP2k5WSB4q8
vzZ9Oskl+WL+ztaap8Gubus4P1oiC8c8P+YD83Uz22FUWdl5FuZ6Mq2k8m5nV66NWrvjO3x0UU2E
0+htiDYhck2tNUfcy96DzBnXp8AFTJl4EcCRqr+JLbi1ZR/SLkQOid1VjBpeP/lc1RoDTfFSKAtW
nNgGg7PTM3ujlple2mK0yYqLVXS3ht5vUSVuGStdmHVDABblnRaIS0kqLnL5nXAH1rr2hsUePxRn
MYmdAU6Ouynd6D7xhw20es5rCpItnQuME3eM/DZDpEAFVLeJM2xK7MKqKxUeCHGrBcWdVXo7zbGO
HKzXmRzvUwI0Its8iSheRvdr8AyrXICap98XSe9JIypuHtpTIGoXD0W+HUhyETpg9yyDRR+/JHpx
ZL8Pe9laa9ViU7Qc3AbNZ5uZ9AaX/feMtLxQle4OWdW4I6Ph0c47Y9OU33iwTtKuLKAtHBPDNOg7
Yya5xGTpXyE5k8FpSCzvXZqF1t3WADidnedmc3XRjKxAl4+KGeAcYv18Ue2PMTVdOk+fjEXRD/o4
XdmLyt8C2ktv9MY0tNsGG4Cx+AFA0Q8hBuvbQuEVcKrpJorlucVBYANMOPaLqSDX0m+czpGNOCVR
vPRYQx0PwogXIcKTwOh618rxG3qlfbKYFri5gu2MjwF1Z7PlbAApYzE5JLgd/lnlf1nlWZT/+8kR
Dwk+qvg/LPP82G/LvIfxn9rQILiJLuKHDqf/0yJiBu/C/Mz4YIRkTkE16QeLHNhmc/gwpyCxzmB+
TTrw327W+GwXH4+ODswrgOSs78DJr+/hx5oR308wiLRoDpYwlLVCuFXZm9adW2MTNRkZUKqfSD9t
AnDVcMC7iImmsH3UgOpcjO1DGchDNTqQmbID+OB4iyh1HxOlMFr+WSRRsO6n+JPR5f7Gb+34xKjw
WcwRqQBRtAmc6ZQNxBGnMKpg6uJI9GKyJjRtuJOWLEO3JDnHZAKxZrR8gRd1U/oEYau579gdDIMR
RbpVlXVAj3ErJ+fJK+OvuV3LFSp1ykM0qTijjUuiBwt4o5sx5jSfBx0mSmOSXBDH73YbOaue6AEy
J2ZOkmmxzXpmx753rNroTVjpIUvTr51bX8xWeSG6vik5wUNpjDDO/Oh7V5Ps3NSwBpxAQoo0h58t
a5gQKUiPHMqwV8SN4yibzc3sKfvs93AVNnWgtH7b+yxRSCnN/EA+RLr+56m8PpXOX7ZyXt/kt+7P
z+TyQ789ky7OFYhnyH8R+1LNcbT57ejl/bRo032fwxdNVMqzf3dQMSBigQHl6Du/Rbb9dvQC4cGw
ALY/FkXfW2YSf6OgW97ZHx5KOjgEvuB/NHSMOVSbPz6UhSC+xQM7c5h8iSvKzVSoi3S4Qys1kZiU
dV/Z6gmnStwvzrUPSBO++JQtzcHy2idMlpZhuzQP0VKlZ9eHxO+6mVOf2tlaxbJ01DOxQxAwFCBR
klPyYwKX5lXz5/mR45hNOlV50pcHfki+8VwQBZCQiLHNsvrFk4UefEZGmBzTOsWggGhvnZmjhh+3
cdcuI9tN5kw4xWYiOAZ3StHOCdB1nKpGmParMYN5UDSBGx/g323LZYSRTUZ9dplq/P/4CPzxZv6r
Pelf+dv7W/GnCcLv975v/7SMy6HMM9uin/FDK8NnP2JJWgZozNaWMdrv9/4VuwjshkLFwiPCpvV7
2WHplB02ShAeJfD1RPb9nXv/j0UHv+U6hjBRd1Dc/FE7k+I+B8Bna/tA0+x0JdKJDK/A7h5/+E7u
fhnE/5X9ankZAKnMOnw69H8SyMxG107DPGgksdnGY1ahG7N63ef0NSDK/+vXWp7WH6UAvNaiUbGI
lWavR5T18WnmWqRdgOx+PxlVcKu7ixSQkutoz/p4V7sFW89fv6D1J4UU8jYEQNBmgYzAj9MZA/24
gIxZ5zSG10Z7MbVRTFFWyXPV9ugeGZRXDtM/haZyCbMCHxAP1proiXQiAFmZ5a5xkNA7A8ruVc9Y
ZVenot0H1YhYHaGh/l6Ooj03QRfsrs4ENbdiV7iTGZbRWB6nFo9CniGZzrVWPl19C8GAxQBxsbhE
E3JYO04Ry1txmeymhnQPGtf4lSWCflOz528BWejPSWa3z14d3+gomDaK7kbY17m+n00ru2GRdv0w
Sa3+3uz64vvMZOZ2tlT6ZLJOkgtEYeA0nHRhKw8hgkp4KxXg5QbgAvWZXq3aZlIbY0E259LqTp4h
q0tbcwiReWa96Xms7XNXNeu51dS+mXI0lPYYRC5ATrP60vlFcXbnYrwPqhlugd4oCtAW+ogO9+1V
ZBpD0vWYQHdrVt6kYtW9oqMCE33GZ5VuvdLDZq0i7vMQ3Jder3SrKN/Rf0Nj6GP/JQ0yk6VbJ35A
6V3wNfU78A94WjxgbuZEVIGWinHbDj64CNztyXuW5L4TitLOb/V88Gu0sXF19nrVn+DwqmcgTQh+
I9GuTZOgL3TH8Pbx3Tq3wjI+JaPQqXrT6VPCsrzpDL19JYlpIP1Bl1t/cGFfj5VbfG3BCe/IVfiC
hKRe44lwTnHg9wy0ZycpNh1fDglW+U2TF/ML5A2N2AMxn/U5Am7TjUZ2cOEtaWuU6JG+wor8YLvC
OUQ0NfaDKlGxTiI767Tzv8adK98pg9N8M8ezW240ugZHvoJunUTulwa0mjJUeylzfWBimH/VIaej
OrNPWPLHVZbFTwF5CNykdb7Taj9ZzVoxhuj9yrCii0KLTlBD1vKUaq2NwwQ4awi9K32jdxvxj72f
rai31knlTpvRc5tPQEDMs5t0d86oFPy6JSU9GHh6RsccOAHb5iY1hm9j4WkI+zR5A/ZufpdjNYVc
Wee9HrPsVgTkfmWzlJ8aRyKYk/6npgkA9znzZ61vrQuucLh+09xdNG8GFhK46qEk9iqMjWDYEq5z
D1TkBbZXZe4F7ZPBXsl4SKYvpSsycwUgfZG999mY5qvJr02Qel0KNDEuMsh6Zj8BDc8b7Am+yqfx
kAd6PDE6iRuqVVKu4vk565RNt3A0e7R1fBFVwyGeFNNHu039WAKy47w+qEePWREe/86L186UtFmo
RZkgDZGiFiYzWNWdQszufR41O6ZBOWWmc2As0ulrkWuTv+3IAm2I9yqku40zNcdwVx3+pVWLIb64
Tdsj7IHhqu5iV4PfvKrdpktOQQShHvx6pJxXs056NFN6GWnJRrVjYD6ny4F7y+DJ8b56Y8KFSmQi
tWM21XHfPmRFVBbNzgi67FVz6uwhWOw+rV6yDFeF5+wHwjWevWjS2jCyzIjSHIfX0aHKRiExDxhS
0D0HO0da1lGZUXM2RixetASQ/I7IridA74HxaGJUXnJflz/2Ijd6mABgf6GXEPnY5UvUhpllHap8
5HV7u5zWGC/sQ93peI1GPDWy6OcSo1AU8bD7qjo1tt01oTd42FTcrmIMvPgpFodU2ek+emtgxVwB
JJBjy/81Uisf5k7HMuCUWl/j6VDF/WjZ9bclgObMGxGIQkzMZPUUFPOaXBNOee2kqoOv58Ft7gj3
LcfGlSDpGowtfGQcVyqjH5754B5DDYlpwpchMRv5+LIsWtU4AFJ3XvtzUT3ERYKNEDk39HGcOS5h
m1H+f6fE+X9CSfnhFBjYf9l//lcr5qr8eAq8/sivFRCFDdhZ3bHoTKBZvx5Kfq2ADBjdIFsAJHEW
9BfI7L9PgR7wbX6K6ogah7/hPfxaAVkLQm0RZDP9Bu5CVuXfKIDogH88MyHD5AQDMp8GN+8HQebH
A0zReF03Zq46G6Imbp7oYiULHDvM5yv9VNWDD5E1bTxJxmBmFnmhv0hMxwaBZXXRPZqFLed2heIF
bw9pw22tUh6dsqn9B+GWNVsLJsFSGH1Yq9GGHGLRocazGkz7VFNKS8LSMc1iOLR9XnRMWmfZlwCo
y3xKSx4lwXZGsjsJEhEqRQ5Vg37ARjjdkNcePaZWUx+ZAn1G+j3sVDV4cUijZU3nuj6nRcd5KR15
KhwnMx/xB/IwiYRlizmaYp7jt0OwURbdcB7ymUObm2NQnLPBedNrk/WglN1wI/QkajdmIlmRWsLo
mcJZsZ7vyhGD3Yg4GoNaUImDW8SNR9K1xBjSTTobIggQfucCDpdXhrgG+ppwIMDi9YIYT6+0ce9K
Hi/tFAp5sQDJTScqX6UCUq6uvPJqQZfjqGSniK9E826Bm3cL5hzZGMDzBX0ezdhgwjZu6vEwVj4m
rqh1+KDIbICmRyB2zsrB/9aZbruxDaDAblw3CGSM9qyqyqjXhGapDYQKGtIiUw6kxc57DtJpPJtS
Bd1OpDZt/aRr9RzbFYmRmtVP+n3j4ixhCSx2FKpRCI0GONWQSm8lgLVqnG9Bwq1818bJqCMZZ28Z
ij2WLwKb4qEnDVkptaEGR+EWm0NMXMoiE2gREDkh7Sz13YuE/jY7tLxQ7Ip5uxyumF3a0xshB3B2
A4iVu56QgQejhAqfuTL/DODWXUX6YKiw1mK5z4ck1lEBebeA09t1D3Br0yaYYcI6yYlG143RGDZx
nDcQZ+Jxk3htcAt/peZU0+Jzbez4iAlx9Ig7B8CHbMOpV07ScxhKteqAX8w8yAJcJab86GeeBrQM
JSbQ96gYYGwxLhmyXSwb85GIu/6g2sJDSDh4CdkJUffg28MXXTnaepj8eR357YTIMZ/EofJqYpeA
IQxBGNM+OBcuicx4evzXpajYDbAfMOl1s2GsnQEKesf+aK27qHl07Ly9MPyd33NZROu+iafnXuDl
jmY2ZlI0dcKjam22NkNNl32qxvLSOGnK0bxKsS+ag4hgq2f+2kii6gkNl1wRlFUeykDEL5KD50jO
eZR/ysjCC7s5q3eDLHay8rkPvchm+7Yz/d5Jmh7az2gF2wqfkWJlQe5/qms/XfWOrG/bIgpgJev5
t5KB6YF6B/F1gupxGMloLiP5JdWFvbYm0tNJxrb3aR4wJLfNt1FNL05OUhU6FzoywWB6LQ1My+E6
gr1ntNK7d6ojJIOXzRywEu0vBeA//oL/QC/7uCs6VLr/vV//rzZ7K7u3j83BYPmZX7dFPyCoynGJ
hQ6Q7y9b3O+NwcBGqezScjfJ4lz0l/9uDFruwshBxQySHd/AVaz827aI6pI+C16lpdnAdva39kUk
nB/3RRjx/Ef2NAYH3AsQeT7ui41oTG7r3j44ue+HvaMNl7bEnDtHyXjM4wZHplalUwjOdvrqVJ13
djKbyF0ULOpTVUHO6/HavuWY8m8yxhaXuYysR5cHC8NO7ZbruLO9S5IP3acpHcRj0Tn5LusHcShi
1/i5qiN/k6deCkfCxUzTNe/UBeke+ugySUzV2K66vp6/oMkCRxDFLtyAMTMf2k5kxwDP7SnyLPih
sMWsUZY3lWOi28wJq9FSrJB42tWhFMsMtmAagKE+9ugUUvkTrTTeVjWhG3XuB+epiwfctO5o3hOj
Hlww0es3xiT0m8ma4FsNwDG2dHLznVGZ8WcjEMHF0LI7Y3T7m8g0Hmcd36LhRkTLNDbWC72pre/W
NCUrVUyU+cYA8gAbqLwjxsmm4vGsjWU7IzRUVsqdk+v1V8UevbVaAF+NAE2PDS17auwUYPeY2+mu
LsZ0H3SSkAtbofXwyIOShtm/VL6IbmWfqHuJZ/9LMKnpc9n21j3zhGlvTWl7IYRxvGeWJEI0RGKL
kLY/6aPbvBdWP2KlZpBeD/mw84yMjxGP48rOShx4pTJXTWb3X7XAIh3amUIrqE9mGR8A1WFlFzmi
P70q150T3RRZXRw00udzDvWI1SpK9gELddMMzvc4IOerS6U4SddWO3SM4O2LpLgzZm9md4Nrj5Gk
ixDczAh8antKn+NJBBiA3WLDWagmWprStR5U8xjgJb2ZdVe/ofobyWJsLQH1we7Oaa/nD3Zl17sC
BUKwUk2l750x9zDC5JZ1P0+euIlj0kdQvUHmp5D3PpWiNtjIJCgT0VnD2VVCv8NCz8gGZ3QUprOd
f+nJFr9Erpvvp7G3Tq6kDVDUrnjtfU98bmoyAEqI6/doeRFOJdN4IaPDOpkIfPdtX8W3jIK7x3S2
AoQGXX4otB7XeKQi9kbHv5hNbb6WgeHeAO8A3WZAgUnT3C5WBZbqrSIe7jav1ckkcInbEdyNpstN
n8TyLel9fcIQkxkbs468t8ZS35xmLA7xhC+wmArngLTextRM+vPkleazZWdfJmURrk1ygPnq+eVj
RULkc9fV025GN3lfJS6xj2MSaUcMhzobOL7JSzIg7giV5jZvXdSmd16cNTkOBSv4IiI/2ZXwAmHB
ifzJF3oBG0TjCIPF+JTGXERlWRwf+9wFV58XD8i45bvl08wj/sl4xER3YAdzj5VqdmXJ9kqtX5Qr
gVv43jKM/JMT5Xvyy+XRZRJwsDMM6V0NhqNnsXyVVSAOnlNECESsZu0ByiY0e0w/UQLb3+YRr5OF
STqcEwQNae1knz1dGxnw1dp9bRZVyAX1dHKDM3PduEZ9p7XjVuVuc2poi6VhgIQaIOEu6hRCMj/I
d01+P0TwMzTEC+vMtYz7VI+tfUk+VxfmSh8upT60XyzJ0JCG1HpJNN5Vhho3Q270ONcpfT5Lj1kf
2etzTlyEh7i0JHP9dgb1t9NGifBsmhwvbIfRDegVqmoVR9OmL+dugSkCC1wHwfAUzxO97TwLag74
ccMy14l8FdQtZqW6qW+mMtI3hqF9Ts2s9VdxzGlI5AH9Bbehb4UjPsw18ULzRz9AYdU3nCublZlm
1XsOiOsUVUlw7xS+e+g6ZyxWc6zJe4Fpau15ZehQ/7y5qTfuUkq9O71zCxkSuaFfBp8Eej8q5nxl
+gjkCqsKnkEI6JfZTpIXGpziTIoduBLpEqAA329Ku+HCSFRwK6n03KVuGcpJC87YMNs7mUbNTaqr
5lmLRH6hNqjJU+/iLUiyeD2TJb9xusZ6yVRh7l3Jp2wjfxHzp+a32Yv7G+UE9RsRg8vm0s/254T8
nSdpGgPcQIFI3koDAlnnJNswGlOhZkTJnWHQlVAUw8S8N+OD3vPVl6SErKdJ1ptuNP2TDxM0XSPa
TW4tLyWdIeNADmvbATmpg5+ZYqvflcQPHbJgrp/yPiK3o0432RTNd9lg2Rv4X3RtJ6nPaYgeyl45
8bh1IdFejCE2j4EBbkQ1ZrZWdKpXg8F2K3jET11k1nsmLwQuZk0bvGauK9YFMYef84h2PStTcogk
xjxGg3fgsrQvNeO0Yy19wq5jD5WOKPODAwNlS4O3u88BFz/FJLdsDb3RH5JB6LwcoiBg9Jq7tSgY
Lu2ElaGbpy/63LP891juiFodbbgLloKUv4BtzE47OaVuDnJVtsAnVn2lHBRfRtkT8FGAr7lfqgf2
/jSNH3syp5tV2jf5FJZWIO+buMn3FQAJXLW1hwho7lqFWDTym+8BmLvDkCcEKo5KOwuz2Ex+Wdyh
Q8Uh7fSvRLXSXa86guN8+tXvmXRfHZG86VH/3cvnV78aP6GwojaYVc3rNcUBkOW0aRvxaDZxfawT
z3sc6sx8zlJVfmEyMr60ET84lK7GrY7evc2Odcyn6I81kPRB7qiom9m94ahVxpg0zEx3NsKspL1x
K5GcRxM7Za/G3r/DFDm5nzs3+t6LyfKp2RQXjm6byUyDGVIYVfqunzj17ApwSDeibrTqtWYB5ewV
DGtjjLJtk01xcfS1rF13KoUFrVvZyYin8kg6jffqTE7zs44ELb2LxiQ/eYljtI99MicRYZ1ZToMA
lBHqVGa3TvoVZnqnPWGvIQnXSIaoZKwjsuoAndRal5qOoi2oyu3gdi80Z9WqHeN8rVP70ym2X0bN
VHtX1LAyCtlf+JfjNshJXeiZ6IrWPvfIRRgraJWzymJ2Gc1jUMZZ5Kmccc4krukd2UG0h0QT8ZnO
O0KIEr8btWxzabmax1lSrSVCvdk4r49t4CIdtLV+Z5TjtCr75bhlzWa/gqjQnoBwZ9E281ywMxXB
L35OelrW+GLXMW4MwVDcF3PSrVHXxofZjuWhj6Lo2BamOEo9PrtGDmHGY3zMWECuEdA3P/cWcj9/
dIhhaQZsM5A/NgS/UFyLvNpgoQP2XSUZG1lUdyFaQ3/f01ph+mMSHqxH+ndguRyjATSKEUQuaoGv
rl+6/kun96XXfUFY3WTOU9TYnDhCUktFkf9TxP1iBP8fRZyDte2virjwLRffq7YUH7qbv/zUb91N
WpiG5aNdhX1wLdZ+L+MM0/6JDqZOQMsvEYQUf/82h+uIPsgWRBmCg22ZPf9WxuGQQx1F9MiiDPm7
+g6D1/hxIqw7zGbxEgC4J9LARmP7sYpjo0Mp0ffjpVRg6QbwojCgyeyks+6p4Z5p24QAnvVxo4Nm
4ahkD0+Z3bEsdwEo9x++vf8wCjcY3f/x3aAlw4OLpIwztru82x9wicwe6ixI+oEjbWmAvKIkXPVe
hZ5+HDiloRGx+1ePbgxq/8KXDUL3li5lNJOMzCTZK78GUuq3/A6Co8w8N55mR/ON3eQ60Tdj0oxx
+9fv+I/K5OX7wwHsYjNkiLOIoP/wjoWXAAec5MUaaarAXZwJArV5Srccz1i1hmkks0qw/axm1hUO
ZZlu7YqhBRzWDpX8yvrZGaEACbHupCDvRhYJU0SvdbJ4E1dpcpf1wbEgyrlbL+SX5y5pThnMsRHa
k+beiDYZit1ff6o/XwZv4c5yIRafCQ7Njx/Km7RYkYzTXUoZBc9VTDQcRR1npFVd9iNBF23wUEdG
/j9IGsu99oM64eqwRntoATlFu4H44+PLOvoY23UXl5fSB1cFMbK/lF2LljZKnv/6Ay72sz++Eg0S
xI4LvhXTzMdXqmmNzg3dzYtfA5EEdkfNHEkCGFYZPHO96fM5tPTJr8LUclTxv26aP4iq+KDcKKaD
VAUBC6vDH17e8ywBQB0NwrJyvxVp77xl+fIenLnoNlBQq9Wkc+l3Km+uVXTlfZNE0x7Aadnn0bVa
PURiUGVh6pXFk9XWJsNhf5q+1RroGV2bC/xlQWW3e8dy5/6X7eC/c4b+fKF83L5Aiek0YUG0l5HJ
D48pbG+ndJwIxlIPO160kqROWhqSwyd9izI+giDL3mM/qM/j3CRbt7JHEXJW9r6TlzlXhD3FXmhX
6fBNtJb3dXA4N/0v7ozzp4tM/4ubiAYacrhFhvLxXRLiLfQ2kdYNbfk6Cvy1DJJ5R5AnjVbJaDps
x0a/H4rJIWGPwPSwNUq6/y18iqVfiy+p+IQfmCaul6v4RaVFdaBNLVc1Xe8nd+n7RgDgEHUszWDo
6jSGo7QrL2rpFuMkguXCoBxE1bWdbA5JsXdovX8y0/iO8xbq0ZyMvIukFS2vTWl36U8bYjJZG2BP
zitd+ek5X3rZDCnsI8nsxnm+trqVnpBMzj0vaJsszXC19MWNpUM+p+OXumvkQ69rtM9VIT0mpk1P
38U0H5vEUNku8jSa7lQr0TtcaFrxAuvTz/3Sn6/rzjxkVVkD4Qjyr2KoXZ77pacvru39Yen0t0vP
n5NivTNsM7htYItubNU2W+M6JsjpGsbhoGLAZiQLEVbaWcwUgFDRFWDMYBiV3LPVmCoslzmEL738
81joCYjcoH5wLMm8IkjxKlERzm++W7UbujXpvB0yP95q46i/mcvko7sOQebrQKS8DkfGZU5iLROT
6To8aZc5CsqaYl8yL1mxnDNmYcDCyCW9jl+8aEmxuw5l7GU+Y11HNS1DG2BajG/UMskR16FOeh3w
WNdhz2h54xnF/ZJw2qtr3ukkrumnyS9ZqJ0iKb2g+9GylFdfzF+DU3t5zVGVmSyy8RiIBtdW0Evs
b61gRp2aefWge5p1SCfLWuYqtCQR9QJR5HIVvr8uo4j9EHGQajbIMWMSB3NpRLcJWgcSXbPJw1AK
ADeQZ7eTS+6r+iUFtmcv3LrXcFjqxiUptrnGxhpW1hXb8honmzdsXtFmHITLAD9AtrqaIiZJYdVF
dEKTAKAUrQ0vR2ATcSrYUrMUc+jPDitmadLuC4uk1Zh/dVPc3XVCK4pNFQv/u9YPntDXemXKHart
3sdAGsXRkUBP6TlpWI5dM0/7jvlam2yIovGKTdQNc8P0qivFdsohqpFXCw+RSPApx6zGoTrftaKB
rMllNV+0upiNtWW5GVOmrNC12zzVtY6w7rJ8SQvCHg9WG8h8g8/W/TT3yCa2zKZM45SopEPP5JHi
KXdRO9TlA5uxdUxjyrFtXy/+mUrm8bzxDbA3mO+mWt0UPujdjcaj0q5RgPdHAJVOvo4jKya2Esoh
c0KvW1xxc2rN35BzBfSveAMFs5oiaQ4kVtr7WHiZG5pZ1lhrUWFpnPsIdqimYLbdpZFK7dASTUoW
RI2T4oSgzN4adRSTjZoEhCMYoGSqQ4JmPt5kgZ0sccYz5TJ9ZoRqTYzFZAQ+Oq/kKLSf23KqwBgI
niPzYswoojBDDrZmPU65MvuLWwd0o0uMejdOX7IlxR0Av2UcDP5sG4nEKF9nIy+TYzPhyt52ypnF
yZCxfLRT03lzxqhY8h+4ebc9eBJr07kzA+GiNxaYrEWke+iraAMRrHnNleJkkcbp8NA5rnqvcT/t
Bw+K1sbPHB37oh/xe5y8Ssdt2Q7GBYKoZd930jEeDanxLxRltU8vewKiPEADFft2NE06917cmbdC
84LnUm+WmzNNm27n5R2iqXGyJYaVZplwJ6rkjVVESRsndrDgmWYld3fBKkk2phGMzC67IDLvUuCq
2SeyCgP7MNqp6m8kUfUcPunX3jmZ5o7EIxW8dFXNMKlHs8CQqWfe8uGXt65Yn3hfdWFcbKfkU/QN
LcdVklXZDC9i4NGpcxoD92Xr8ci3PaeCmL9jTTVlmdw2hj215cqqE0yxCQKj/qbQkrpb0Upoxi1w
Tt3aQIo0l0WDhynkE7GAjIGxnJNlWTxHqEKPPlFTwBthHnJfTLH7pkqLtzG2KO4sOerdKeaYmyJs
KLP0wWe32HWlblyaIG5eoVkxUkiwiprHyo+D/hShLRrWU+vh5py9ydrVJl8rRXAzkaGXOXdYHfRq
3+jTkL0oBADdvoi04vs0B8saQrmarKkD4J4Jc0pwDrlF8KLBfCZZlljsFezEZjO1KvkkKtmdgiJL
nbVjtmbMsufY3mpIzOC5TUmo3eRmyWMya5EVHOySgPRvBQvydCTTgWdDLSv2JnU0vtGRZsmGTUY1
J6PtSXCNAjjH7LQWXjGvbdKfAQIHj9rEMf04B7I1vsquJH+uILhiOAhl8qvGwiBMx1bxIh7nstD0
ywJ3O1fDIG9GeFYAeRFd+l63t4txYB6m0LyFGQm9M6OjrKpuSne0z4B37WqTNGUxnOIJZnHoO12R
PHIS6b7qARMG2miiG4iT6RRaDzX4DbvA1DwwZTPEZ6OibzasZk5g01MtLYjMSUOPnS6xBoNAi2r1
zmxfG8Lc61zmA6D67unaRPOu7ZtObMS8SDaEKVPrbqTD41wKt2bA0dSD7uIXSWziOTndEDWf1Fw1
uMHM6NrZK1g7ui7fGKM1ttgm0V7tZr/h7s/sEcTJFE30s+lruM0LFDzjMU2YZfM4iOCZe73o7kqI
IyywZh2kWx8TgcIa82rSe/MNZJOD9+SYgIzWyomlfWNHuT8Q/NctqCCcA8WmFhZXk8IBDYawZIbM
tK1xUJqjnrsHvJMBn2sctfgma7UaSG4XsWYw3O/lTc6ojzISPuC2W0Jq1mrU9cPUQN5bT+jOoTxE
iXdzLTz+GYf/j04KgR/Mr//7OJyTatW+fa1+HKH/8jO/9VF0E5UYIx0acZRMV6rJbyqxRUDG/Bml
uk0dDojx330U46cFO7k0OagBPqrE4BMFhhnQ+fg1aebvyMQWFMuHihKnDSp+UgB8Xs4O7KUY+bEk
ot+qRxr7M4KPJg0YKwT+EiA5BHbZHlO98GhTZ4zlQZowYEJpfLZYAQnBLJgPeHKFz9Ku4yOnLz+z
bkqNGhlujyZ5ctOaKCVC63Z9lsox2mW+cIQ4O7EaaFTP/Ck+fNzOvNaT7jDknNFB9UU/JmdjKJwJ
4r/yPW1FIjVrFDlZZXGEo8nmkFkqx/GJsnPQX2HakUpR/R/2zmM5biVt07fSMXucgEmYXMymgHJ0
IimKorRBUIbwNuGv/n9AHfWQJbU451/3Qgy5KgCJNJ95jdO19fw+bQDMWFtPRKN7Q5G3j+W7JOmA
IUmWIbLZplb4RAhWSRLTLtoMuBzMrR/ZFVHlf+uP/1/1R5OpTm3gPy+bq6rt4n/5iFPkyWuI5d8f
/Xv1uDakMCyiKXdgEULDhsX49+qBhIO9ECVICBqAbVli/149K5gE3xmQ81BtoPOv5K+fVUi4/4gC
sNwsPOtIA6x/snpc/aSigI0blBQ4KeAIsFWyTnN1N8O0os0V8I3Oo8xkyCzG8lJF7P3m0CIx3w04
5CGN48bs61jgiWNplrh6OIvCCIzeLxGitUwF7Te7ipqDltMuxVpyKGFD6rGlsCG0vYs5jEE2V6tC
vA3GuRM9AehspsSitWMdh8Rgco+oOef0/MHwg5/2LiTork+l8rCEgD3QbgfA4jU6AoZ3YcSmeHyO
TMkuNND8tHAcOlamV+/N3I1JWzOI4ls4N6RPWZogE9J08r6nK03wWutUMjvlTbcROnv3RWJMt21q
WscwKzgorXpyWxwzyqw6q+y28s4c6apvytONu7wsCD6NuEQHqIxIh4A9TNeIja/LepW639RStPiE
IA940A3LuKPWbD+6JmL7VaX1B9QKrA/L6E3X2Na2B2Xp9HScQlF3NRuev3aj8D6F2Z/4DSYsauPK
VKl9LRf1DbI+I1CKyrxLVF5/skJo6puJQhRMDhj2iDLZ9uMcreYtfcQN2ITTJKI5V9OtyLxLiRsL
n95IjGWEnHhq3OPzDVtf/YmkjWdHLps4oh8x4nVEUpyXsRtfWdD8LzxMOTftmEyXaZgMRxrDSKYn
WMJsXG0dT2damcHFBGwnYF7zNz9eaK5HHO0Ravn3JiR2ctSZYiavVKkHpMMJIcZ69XMAJERGoKuc
WByxKR6hQsMfAfKBLhMBT042Yec94zKmGvcYY+oXUn8Rmu27mhsBa+0KezjUWPLoH1tHCWsHB+WZ
4rg8xWHPSOgDmQYZ1y0NUHs3lzHk4jxMwvvFVOmNSxIu6Is2ml8bhXmHgAx8RfgDzFrgurtsoie0
g0TANy2hyU+XukrCnTCJELTHTsEZ+bPbDcwGs1W8WWl1JGNytq0jNLBeXOauS2JQR4rJp+G6FIRU
albrk7r7RsmPiFnvavjK4wr+deXECwb0RPjkyQj/mSytCa1L6EGJn8mcsHBgijobg2V5UdUk5Idn
FxstHUzLBzHCff8INIsMxw1Lj6jtQx9hxoRGr75NE5E0EAaNdzes82SWU/2JZuZ07VkdtGq7rz95
huLLugboMCQmuXUFpLB5AKNcC6P+1MIBvX+ews+J35whyVWtiz1dJ2noDNPtaPUMyYiOyPUEVum6
wMfjXMQppQzTEWR/pmTguqq2LNIxjwnTuzq+C7RvVwl6lgRuTsl+beSSYWHDsKfsYoG5IZ1dXPwQ
GrsuYkgvDmIOYxViXYUn0KZWeBpscI3E5gjoJ5iBasasxKS1SHkPlZ8xKXgc6gHHBLT5KvuwigB5
us4E01Cy91VGOW0btnAEB7PjqbF0oCpv6tYRexUJRDmXF0vj8Aq7ZOYbqhqiN0INXks71VVExWmD
GhmuOmpmP40WGeh57R4crFd2OIzKC1ABWmBhv9iuJAmel6g+GncLSoiQa1gUuHq0gC425BvTbWFW
ZGWzmurLKO3lNpmx2bFm1vKza4JXQj0jjQYdsorhiyPhvBekHVuGrodgdnBaYQQLMd3WTHTQtHHW
fMr0sDnA44kox8fmHdKkxhXy6hSdCJza5b0iPhSHCSX/o7XwwNCYSF00CTglyE3NuAv1ZanPosql
P2KVBW3kAuUV4CV4WvTCJNUeRt5SnoTiUSUmWzPMfOZUiE79apay8FpbhciRPkpW+FQaxl3Tr6mL
DTYuwI6BiKcAtpbtDNXJLR3r+tMoB1ZE4TTGVVJBuCkKg/tBs5hCxkDLmZVo5NUM1a3l680oVN+i
DN+KJLaZ3TA276x17rWJbaTnou7bQ2+4erN7nvM07fiQ3vHMvtms87+nOH/VJ4O8t22DRNTS121v
GJFhvMFTKpt2Oq2hfNOqzgvIadf5KBE+9uvGk/doMfMif2xpqYKWGNTuWoaxAVX3R+h9DTr2MC7b
bW1oxrVwWF05ACHQJSPDa1H0eV5xxeCJ+7HsJsOfGruNd887a1XFyNuj2dXcG4lVlvdjFM3ZRxsX
2sTPQf7hMzCMWHbEnf0oc9hFYDeKGyPuTd+Lym9lPMljW9frYdAQ21N+jNiBZU5HaFyAkW5y4ofe
9yqvhssTx6URv6NyMB/YfiyEaTBdIoTYRBUFALD2izwvSuRr8fMIJ5JWTFvzmyXNvwOZXoEGeadF
9xyleAR0dsEroh69bLJ+Yq9lTbZBzBaD4dBoUqME/eN8q6ikVBGm9FTDe32E2DZOxCEW+jvCO1Zy
PYiUU+Z3yYw0DmeMd41yFw1/6orWrm2sZNMY2KLBX67OsVimTu5F8YfEbWxYcmX4uenMLdTO5kIh
2Oi3nUs1JWUNbPrCKOCAdt18VHFfn7spwP7wmk5ABcas+1g2/Y7qfbPTHFde12JAk8JFeIzm9MfZ
yWuNc6IqnPBI+b1gV6VrsTaogN3ovYl3WV1QijEBeJCggINxAJD6dWUWB8NosCROBCovGlyxXVaa
g9xQ2YKyO41ndhojeaO54zxszLKO593swFM9SKZl60eqt7EUoViJz4RY3nlT556pVHLMge45IA6E
RgZSMx+EMVSXmu6U75Il885cM2T2GoKgJPaqbeSlNV5B9UTBMHP783Ya9EsXmgn2cZo9PSK7n36Y
3eKDSN0mv8gbJW4ahIbhaqrR88XSStij1vCk5lZ+iT24g2qU5mZhkm0b200C2ijtbtZSedAHZFfn
qaMM6OGm5AuRrmZLKsW3FglxoDq98y2FVrhbqIdzjif6NkrGD1Km9S5L3HZPU+EzxlK+naTuF7Bf
sFmRIQiMvDF3Vgai1Ozs9kbpDKsjS2cLNG76mvbmnZa6eFaMSl16SbwAN5ltv3L7YkfVVuxDObgX
tUwE6srqrpE9qketQ2SE63FTXXZLyBaVUZC3qdRsI+KGs75ojTNTtdqBhqACRdaLi8padJ9BK7eY
99rvJ4eG49Q03laT5IrpCpJhhmTXoklxv/XOtCUz3nEIgJgRQ7mLPM055q0130SV5VvkgAdgg+3e
W08IC+DoqpXUH2x6qRuVzNonFU6I9NWtvFxS+6ZPCjOgJK/fYnvlXVRz3n0wJ1O7mIs6x5HIc/nc
SOz6pRtySVxiIsLXTWWzT5OuekgJ3wnvekzemN9mRp0s9A7uaGlX+opJ5OR1gwwCdO/a844maYHp
jes+alnxMGlNBmeU9oU/tK3aaS7TZkPHRN/M0Kr2epjFPtJRDUDwBFignXMQRXF3HEr7Wx1HAiIP
+Dyj1sH0gDQ6ApC2HsNWr5sgxDX4gYh4S3QN44JmRxnQ7M+2XSOcO1x4jCt2/rbYJhWtNy0x3YOu
JrAAMS5XypxnXlpujBdxr7nGprbwwsKI2vHoUgadrd8OIwrF2wg6B3VIt1nApyahgTYZhXWRH9wF
+tM3Nv9oF6cmdHEPxhL01BK1/hiD100VWeEec1SNjalNnIOHD829likTQXwnNB1gjUYctHVHBhI3
W5c29GWiWBcU1sb72vGQEnYApct2znbL0i0giFdwb+omO8fM9Q9jNHlMcRzGhHaW2Gvgx0aKgshX
CR3sImoKQMCd+ghltT8vWu/SQaWVNjumm0Vv6g9yVE6L/o0Mu7OsaebkI0o3vX4sMkd2Z1pjgNM6
sGuBtZRW34wwnDUip4jELXwXYo5KNDsAoJjspKJh2uRs6iFsHZwDtHEGNL4BybZY2A2kWBT4Zi40
Hb8vTR8jyhZ6b33y4oJT1+zTFXafeFa0wybJLs4bveXvs4qQK9Dtgt7B0JoUIe2eGDQG90uLZ1QE
Is6wVlWSps7nM91YptvZHI07mhA59NmRsFxSsX+rG2++Lj2RO9uuyy8gEzrQAnf99xelp0FGiWZp
iGSW2AXi7QbGXPmxk9Ucd3jCNDihFDgl0hJ4hFg33zYdWWYTk4Ul1dTeFmXjv6hBXP/AUbxUtDDW
zvoLeAV3tKpvCNzLhYvgsHFyR5pN87tnxz9Ql+fAd+iN3HYUE+4VybnaeNj3kQyapvomUOQ+gmCl
rfkMwjBaNlMfLPkaPROS/vnGrN/dmCMoB9Ioh1V6ahPjgpSFSNHEh9qJiC2iiqgZ7N84tkjdglhU
5XvYbp444tjOu56sSmVngzCH214MUuHUMCJWoc/kOeI5ojE6EhAtIfyFF0DglUTA+/IQR7BNu2bp
pcRvK9CKkDw3c9eezUxJ59uPdCIpxum2p8PI9Jnr6TaGBg2pK12m6/UEfkzKDC/URXmgWG23Jnb9
83CYJzif9T25UIVor6wiLL8ULWNDa5J5cLW9FdvMXrNa6Ot5oHKZMxN3z5KF32J6g/YeIVTS3qmI
ua0ZAPT7STqMVmQZxJX2AmsTwgG/ZbD4CRJzjrbPib1l1uvLpr00XQCpjZJDFVG78BO3pmUTDbAR
lrng6raZkXY7GfR+GHBW8e3PD3uCBlkrTDb1L5M6E2QbcepD1EP4TuoOd/ewkrySoqqs6eMill49
AAaiiyAKSdBelXaOVPqIVuoboKrnWf96VQjAmeuNYAHHXZygqsbYoVNjdhGcEgmoNSxVlAS9NEIa
sZqKI3KysN4nKzbovKvhKWxrR4VXEYrLd57e0zakGzi8sXv8ZligX1g2jTvKf+7p5lFaPQj9VESH
Ultd/yaC5O1q8AsWcLVL7BKTBKEvFnIIWmz1pz+/lOcFdzImXN5Zf5GpUqJ/vXeVs5v15bAwJvT3
IS4azQzBSjUeYmqiiGfsHhBT8ay7DCD50VizVHRFRHo+gOkx3wmHtiIwmayL4kO3FprqJipTHC1t
Uv3nxubzDf+3f/NW/wbG4ItXGzx2j397KV09Ft//7/+hsIlZRJd87btXLZznj/0sQhvIU9NbZM/h
ZKDOy7HwdxHatf5yadzoVH7Zip5tH15CYW3WLfznn7TFn0VooWMxIbFOA1bxLBDwz+SeVlHtV8cW
0MP1DCVNM1xbBx74ejKCKoF0WSUD2sOREZhxAsJ8KaVvd93D7GRfPB2iX10t3RYUpKSa66jNNM0Z
DeasJkP37rzBy860vMsupz6/IEEmUtMc0KythVumtmpWQ1OeewExGCYOXP9CD+ANWPRmGrmrqT0B
ZemlDzbzpqYpE8CsLzep8LKt0XBGRQbXBEE1+CnCHb4O0yJIM/VAoAwVgkS1IWHzHTv94mi1HuS4
qOBSCDMA4n/LQds+GNTX0bQdLPRAbW1bhO69Nuq3qWV8GVou79j1Q14Be446hGgqF5yNY5KfozJg
lmsyVk/dVm+bB8dI5aZbZYBwy7U2JXiLVQZXDwbNPbatd2TjQgJXMTRsJdiaFdZmSbMnM9OQlXcY
ysprVaA3fGk+MAQCmRwegWHQvWORKBWQMXMe6tzDUAtYT6EJmCc2q0MqUHGqcqgETuPwr5m4GT3s
HNdP4vqK5KzsEZsxV0rZzBDUudVtbVRHyVjyGznnwzZXXBJEj31uCyzIgT/jbdtwQ1btZIG+RB8y
tbq5uitRqiqf5rIBxmCt/qjhDJkmm0FWSawgwxzhXLxv76QOq84q89pXWG6hYgBcDZyJt6n0AQJn
KtVd6IU4aUh4gRQ4ll296Mth9Bg9i8Y8XW736Bna3fMkSRrcTWfRKMozzAMANTdUXLBI1uUd3fEB
xBA/Ct2+GRJuKkozcYQzR+cx7RWGAsV05koqCQNN/EDv+L8IZlwlyoD/XSlz6w44QDuhA6wMMAOW
mOCqCtu+Yj4/TTKDh4PGxiYfky8Eebz7hT+lbKubwdDKYOw8hYpFxWcKRkkZ0ANNt14u9UZJCmjt
w/P7LiKvpJrLtOpGnjeKmTIoFa9+PXQue3IKwuToiUXOrKYvCS6F2em5TJVqXQtR080f8pg/Ol76
BZ1E3j+H5waGTXLVM1xIMtzNILm2Y8M6QYw9PBu9YrmMIef59EoeXHznfcflDXs9k4nM9ep5MMqa
RTFq/FfK9F8K1Ma2IaCVs9xU9laETNo8U+HZDK3ytlC4FJnodhDGzINvdRj0LYWJVS8pQVDQugho
f3APUazOPaVN+whc9YXVhLROOsQ2M5dFSQn8IhlxfYWcyyxD8wZcVpldeiYL1dLZCLwBTgvsHCxh
WCdoZyU3Q4wC8rq8rHRZaOP05nYSyGn0CFhsqh5eLB7DKhCxzM6iWC/3E2ye7WCsyzADvvz8brWC
x9fC8sKhJMEWwhQoaxxsKPUiar3O8sXNll1Fgr6HQJdtQXbJHToXeTBqTOfnCbDOcJb4TSKWkjIv
25gcWN9ikcvh+TV3/Sra2jKNaKCgtZwa4WNNGniwiWv9hcTHL3tDO4TSYveyky9QmHgFRvYEExST
b4vVo2us5sLqpG+WRnimt315QSI9XdmTvcfi+YsW0a6m0lRehBmGrVTwEr9fdO0Q2axT0jrjYqbS
tCN7RXyNWu2FpiRXL9m+3LSAks/mAOwNVIjYyzhXcIsmvswYBx+xP8fHQ9fC7NlWm4aiyXF08H4G
yucFU1LoSLfZ1lbLIzbFyGBzo4EXaG4m92Fv3sQW1uOLUc57QDgmHYlh8JF+q3Fx5xbG3mAVuXV1
oHfODxdT9+e9yZSTuX1etIAuB1i12h3fHV/bLVOitcWNOa96eKuQtg0HgmNnZDI1U71TMKdwTs71
AOxnCS5cTFe9mz0BKGBoZlbA81g70s6CrOAre4P3KkqgrWLqVKARZm/ylWro5lp4bUJsC5yqyfde
2Dw1Ln9d9OmWRV9vooT9RGh5sjPa9quna/a21ID4Vo17T75fbTMtvtbG/spFi2VDxBadzclENqPl
Kjdoh8z61sxGdKvKSUN+iWTic2bnxbDBXk04W6yiUKldljb9YqbVhO54Su0Tp/o7O8ryQHljnV7O
lBLPkhEn+42lgx3dhJEh+m2qI4URV0l3TYHGQWMQGhak9PaH/3CGMDwyGbgSQxzFodhpGu2sDvtH
rauqb6ghfhW4TPSbyJqyJ6+xtAU4srYsymdhUGwt22oH6myS9abVGppCKXbARSoGLYg4igLIO+Gl
xNVV2+UWVYAreBKeewQlqIpDR1VJe6BbPfgx4ob5RRjTh9u0bW44fjNnTXJlD445b+nxhtpt2RM+
xK5z9yIU+00+fhrjE9cIhyAf0JIOU8U6ScdzqZmLQHPx4CYzfLwlfkoyDher9O76FmdUGzgK7jzM
9D9fF3jAaTxFTgFnGWKp7lLIeR1PwVUwZ9nV/cEYnzc71iCi89/KES+Jqc6e/ny1UwjB81PS+UAV
A6NL1EFfX20ZI00gX9Qf8pkJskYCMkMSIIKC/uO5/psEvJEEwDf7Ixol+J4/jo/t95cZwI/P/MwA
bDBcEmoR9DXSgNXd7d8ZgE1ygCY5ueBPoNbfXDhL/sXUJTvAZYIUwVrThp8oFFRiBfIjOmqvJjk1
DhT/QOrLkL+Uh4CRIZGy+taQWKAB8XoKZSkxkbHI5kD/In5AVKqsA6e2ULWaUJGjqtEW3a5u5uu8
MpfRzzF+oCInURvV6x0aJSUxp7UYD2GCIDJeKOC6AVuO36fO0dbTPYXRjkRHHuGF7mkaGN/8s9Ba
liKyQ4gPS7WfaYxvEQ8E+8UgJoeQmOx92nHgTXD6r/LUhtDq9cSNLhhP4Ydp0Z45hp4REnC4U9CO
4bvisg3WvD2fGo5Bp7AQq5iwqhi5OXNjtU59dJckPFKo7m5LGYkz+mKf6ZtoD0lecP40JQWuZioh
YZgRYHxC5dpT9btlYpMoJnVDy+obBlA8ZMiTgoK5Ya1nOwluJwBioAHqLrs9gIunGn2NcYMbAahy
ndTJrmkbgYGpd3jad7fxYN441qSDlO8ucQqyNr1JkGF4d6hHXhqhLEE1lO/BtBkXE4cAUgUlXSa0
JvlR0DwoLoRXP4QYtvuL0U1oK0afCbCPKwN+s8p2YLz6ubGJ/TCSfT+B2PiU5YRHtRXHtAlqxKvB
JvsYXvpMwbvJolHnQknJQor2Q99sHJuvlg2Vendx9XdAUDToQxmigkrm9xXJ3D34V2KiNfJvAP/v
qLdNSIJ0IKX14kkt9TUU0OUQUhbvxNw8VsJo71BLBDqSgMn2rToHU2vW17D6DqG3AM+2u+bdPMTt
g8i8O0cl1Z5SbbI3YFVcOGHmbhcXjw/ZON4WdbUP+VJjyiCs8UMkQkCEBXI7hCirjK0M+6+a3rR0
9RrduumQXL0qElhAwWjGE8lJ3CxbXBneW7Ajt1aLQFhgVtatyjtEp7wQdVwrBiDNysGGY0iCOAdJ
PBRTI/c0MyHUR7VhECDM4Btwgtx0aLRWVyadifMIsYd+N7aa/QEcd3IuCkf/LHjwQCG+u7p/mgmi
XCChd4YHpQjAwayfjzNypMcKRQhU6dJufsJJd9H2HrS48GmW7niZm61Fi7ckVM2p2qKuRxe1LlLj
/fOR8t+N/o2NXhoWW99/hh1Cd+ra5Gv3r+rpXyB3++LLawb0j8//3PQB2ups9c+2DmvVh4P7Z9kH
X12DmhC7OlTCdd//f9hDD3iuACQrQRmy073EHnr4DhHF8I8/0Iz/0LLsJEohLbdBFhs2fXDqUuuT
v2yfzPgDGlA49EM2rQJ7Twguv5vmECTE2pQoD0Winyna9yykByNjZ7PUG3HSWkp7FSitt0B0hjA3
z2yuipWvbqFCzrz2vEg/VO2sX4XiYYY5qYZsWxao0ZpoMndNH8g6KnHoCS/rOgJEbIpyO5qfBLWF
JSahA+Suw/uh97XrsJioXTgbq/SdsIcN4fRavl37518FKixJRfZd4jORfU6pBay/nQVK+8n8AWvG
fVKgkKxtZ1seRNWRqUeZc0GKW+LBrXcEy2CILCvQMziAVnk/exk4esM6TAiMFHjWUIM/j3podUm6
3IhOrfhlajKedsmCJnhH5xpc5AU6DDfsPP12Qpzf1BDvcOQnw9K2KnIfQeVRnUoNGHuWDwWbBpoE
yBlv+yoPhqnwoePcThoKlw1QFRhs26GrP3Ne6fsk768jhTeSgb0cAuJdmvmNM+Z7Z+E2xo7WP8iU
r8Uk9H2Weugf6ePXUkRB5PTqooTSRLGu9qm+c7Fll2TWu6hIox/dl/9uLm9sLqtqHCHcf95ddlAB
km+PL6PIvz/z947i6X/xFbTvkE0QBIYrf/onmtn9i9IyLjJA+xGWfda/+xlHwgUAqYxZGTegm+RE
/44jTfGXTU0a9D0UyWefs38SR/6ymh0YABZgWpsYy/ql+xnBI1m8uuoPptmjyAF0CuivMGN5IXqL
JqJrt+UFGsRJGciYysKLsfpNsneSBtHIWYvlMCR0HHTQnDjZS5oGYN+wTN1+7M1h686FszUSM0e8
KykO/4tLIY9LjCtwBnJOLtVa6WAYuH/uiWfAMZrGSB0T3AmE9+Z/8VQMpcQQxVg7AWuq+aLHvRhT
VrNDIZYzTQliQUsTtF2X+d3k9sc/P9VKXn/RknoeQPphutAtJgUA+NeXQmiiz3KbAZQghcEImxDy
eudpGpwAyCravRXh7aqF7aMdUL3RkmUO/ubiFNTWWQys/uQ5O1TTQqvuuj3eR2Bp0wmjMEM0b/TB
f50jNmLGuPJSWjFxWjq5ikLAXA1N2O9btCdb5iYIuY09Ne6wTcEKFG881EmbmRG1qYJQBiB3Y5o8
911evDwUeE0rNoDXUO/qIDy2313LfPKiqiBwK86dEILLn9/hr8OIJDLuvDSOcP/+JZELY4pknlX1
4D5txE9h9/GyZLX981XWYXo9U7gK57XEIIuamrUO84vnAoNN7NBk/d5KBoypNO2CYsO72TBphOiF
/cYz/W4UX17t5KXB4Iga0D/93gPpuQmRnY+GAjGCNAOgDvxv02bZlz8/oMlG+ssTeujQ2GuPlgnJ
vv3yCecYB/NxZNkZsSPeoY2Y30d6T3JVLcgUVRFZZ3PrIsnrN3T/vzmd7p3VtnXoo7baD70ctv2E
smw7uvXXabK04wzOdWOGXfN+aecNBInIN7JmeWNjMn7z/rGdduk1YoFEZ3v99xdvxlMU4KuOZZSM
vcg2YtWKp1WH7Z+mWeSaygAr5FVjYDF6WxMFss/64k4USD28vRDF8aM6ku+gpf596v9H7Qz7t7fG
/ryucJtfJ7eWyhzRADvvEKKIt2YY2wEKLhNUfKfbqiZSHyZ8vnx9dGQeAEIpz6YybS9g3w8ZmTc5
46CX0CtVumlmTKotqOBBWHoUVsG0E3WZ7ZXpLNpxodoaIC+G5Kdrk5hSv7/v4YHfd4MX+hJKud8K
zd1Zlgl22Go9Yp3prMta7My0nKAptCXiofZ5LLIP8DEpbIrZ2szWku1a6hW0Brp3oF2XQ5O4C+Ej
9ewpzMML7CP1j1rbDHtA9RqJ4/yEt/dt53XZRqL6eACD1r3jm8vdn2frrwvEs4EdIbMkhHR+gTJM
ih6ATXS3T1R8pWV9jHKMjl/ndNcvYb3tgc/+4yXJFSEZg3ZaaVXyZHlIMKgeiMlu34aAapXYIpT9
VZbiorWQTIAM/PDnJ/x130aLnt0GMiPe6mD7X09rFcmh5N10+3TOa+SnxXgEwgRLz2zn4M+X+nWa
wvoC7asjn7JmZyfTNOqpmIzoE+2lN9jnFei7YzX27hsD+Nur4DZPmIJ8AGP4+oEKKJNFNzKAmtPq
7aZxpXZAssC7/vPDGL/uYzwNwsIe0SIAOfvkOhnyB4ZTU16bICcF6D6mO2cqkGtSZQXNV7mEFEx8
ithIm3gfYZfvK5Elb21LFo/z+sDwbEIYqiCGDcFLnLy/pqnEkgyu2gtUZWlZynyHvkO3E2OXeLTZ
FnFEl05uW736nleje5t16bgHmzhcFsuC80dWhW+8AfO394TiEBVP/LLs04gjEpqmhbGl9mXUl0e9
tbdS7+HyI2l7FaKR6scuxJscgQM/b7T5XV8neNPQmQmkV1b0xvLvuTENV5k3BcsyfkYo0vSbpKvf
YwwHZaZL7IMdxeNZOedX6M6+FVz8/gHgSFiwBkGyryXql3t9aLSyAIPPoMbzbYS7za4fRfQhZheD
8OCmQYiHkF+4TseJ1RZnyGU8eol7p1pHHvs6DP0Jl4Mtqgryplrc6s7D+GnBYeDM8ugkokIw0+1P
YcakXb5DbqR+Izwy1tf+y7R48QQnsxMDcG64min+Qn46CxdZnnWAs4NU04Muadnke8rBaarDdaNU
qWqUff+8QE6BkYRozEx6JhTAPROv55Pl7s3sJeggqX2qxR2cPRycvhBWXbtCQfCV+rcqH6aP+ATG
X1Hk6voh8tPKpIBqxTT4I7UzdXxgWhBmMJmMsdi4Zl/7MRfcU3hOfZFGxvcZMg1bpfvepUdt6yk6
PJr8iMx9ezAGW7/QbCM/LFX1CODhvTNzoQimGrYYUtlvjPmvoZvnrIxXQYTgwH48GXK6CW4WgsjY
N2n+sQz37pDmgbaAZ6aHbL0RJ/5m23aIgVebbJcv1k8yCoiEDl1EA+5kVD5J5Mw4talHC5Rk3rjS
+k0nM4krrWJ0gpKIfhrYY4LW125oM5Pa6C4zrOhjmi/wyIqZbMKeM0QddEfzzkLHeMvp7Tenr6ML
OMaWxcFE4P16GXYRevBhqkNSd+dPaKldT25zq4vwKXe7L6S8TvDnKfsce/7yrDYEfsMk4aYB9PqC
ctDUlCRMWdLw8ra3iHvm0ArgUgLRGJbvaIjcVUk+BdFcE9wIkAKDilrEz5c3Vs9vJxMCBJws0OZ/
wY0lfTfgAc76Hb2qC/TapXmCCBQY/yry7Th9+vOT/+bQxBYAAB2FQlsnyX/94I5MMdDqJ17y3AI1
qY3QX3ovfiNH/O34GlQymEkML8zw15eBGhZVhqjVnhy59b1hwhgduieYIWTaR/S8/AjNmkCbG7oX
IcRGqgE5ylHa+bI4b+6Rv1tDxCM8LpEzcponbxtbMTolpd7uZ0PEX2qXngJonKh7pxLDRv3MqRzH
r3q+APeplcI5OE1uB2gnYESGh0+cgfaZx0tIzwAHzK7rDd+ObPXtz+/mN7dJuGRTyV6rP78swBpY
UVd7otljJtDeSBDoEHfc8Bzi3+Ofr/RrmcKDyEL+ANDeBahxMiDjjEtbrDJezwDCAT09ZEza5XIe
ZtgMhQFzWBXlPnY7c1NhGP/GRvOb5wSUBYyeTYaI6hRIH2teMtul0+whW7e7XiCnI1Qjt2QNyT+/
FKBR4TKaFPy80ypTkhqqblq32cNuKp6ENbs3wNQhOmiO/tbr+80mxuujLEKIiK7had5oLsgeVz2v
L6ENG4T0f99jWYQHno5fsz4VlMgrWFB/fpO/GUu5CsCCw3cAqcuT9RxFeokyod3sEWwC0WcjO4AN
thm0uqneuJR8dvg82TWJNHSESpAqATB3Mm28TFR9tBi8OLFyWpwZQWocn8S4BKhRlbnvtMoMHGLy
3G+sYdR2ZI79tF0m1yowKLCZSolFjfEYqjm/N7F+gDRUZl4fIBnkQJ0Om/gRxW7tMkNYQoH5y4EB
qXKVQi95JAs8aUVrRQ72aOxGlEDnc3t1sYOV5C5bNCvjlH5DbNw5vQkHIxeTbe5So5icLQYSsQlP
CNLqdyelWBJtajKY+HyKWysM2iRr4w8K5Yf5mJdU1/aoohViq+m1cVYs6ADtVZ8N6souQNpciq6f
wxtHoWa248/aiORUqzKwkEJmZVBmg4guPbdc5bdtq0p3vd3k7weN7vJZizn5wWgzOOxz1JqwbuLk
vlAQYhAwgol4ROs6AsnYV1W2mzOooNuinsv2Ih1IJ0HZypp+hIKBiDnnYM9TUA0I7Z0XGgpF1B2K
GkJmYa/BVYKVy6OLntOMiHk3+YsHlud9bUNx3yOJlc7XY+gO78tEtN121hrp3upV4UVbjBKj/kgQ
O+0ab5IJyK8IKUdUZpYFik0q9yWA3wq6ylr+0zWTrlGjbO8D9K/cn/ICcp8S8UDft65tYGv9DXXe
XT/Y9cewNvMHuOX6bVc6yF6iSnDQVn9M7Nnf9fm8Kxu1m0Bh3oYuRVQBuwEx32RvimwMMpnR1+qH
M2uYR4CV6jHNHHTrexMTpnSydmjNfROWNm7pOIHDEq27d/BO2EqROHshlwpcqsCq/X/YO5PlxrFk
2/7LnaMMfTO4E4K9JFKiek1gUkhC3xwcAAfA178FZdWtzHxWWVbzmqSFpUVQFAkcuG/fvjbWhSsJ
QPvD62AU2P2E588b3tmCJzvRWlK2xmnlpAUrO+6GLSRx6wQlG98kLN6CvplDiPLGlc+W+I2l+D7o
FghzhMIwzpazczTjLk3Z12I6GB2iwM7DMct7igqG6ywJAeyV3nwHJ+QgOrtbpexq8p/8nKMujcpu
j/k4mutZz8Vm7NpilSXRAFaZTAtlJWtm6f4ta+cXKG7jxlB+wlZdS44BM3N2HidzN1O6XqK4aN6w
L+rXEDBwBHfkWo961367miD4EC7K2kew3uFucA5tEcwrj/Dbg6Wn5kFOHv6AcTgyjd+mTmOQDza9
lPDiXqo02nuOfZ/20wvMPkaJeoBQ10cvJQGXLXdg6R+G3gPdrgmYhI72AL0oOsrIStduXPt4VG2N
70EQZJ8F8zqhb7ikrTbcirj1L7JnzKgsed1NkQfKAszgpFVfUqhmD88h3aeyBMlZ+sO3Lbt+NaUE
WmJTHNJunkCqigoyNYNEvWWHvk6DjmRknyUqk4vnucQJNK49QR/Bo5xDgpBW9YqxJD8JxVWWTZiB
/dw4kCg8AWjsajwZs3/FH+rNyA2xiX6LwPV/C8QlMdSTAg5MZBOWO0uzfdUMa0v2K3s6GkC7Zuct
YbujR4bX3soLs1+XfusBDKiZb19rmovrMff8Nl4V0+BoR+RZHbBFLeARtnxSxJRUBTuZ5fCQoOrf
mkVG0FlZ5elBZeTNOYBAT4Yy/S37B2pmGxcxLkml/uHqEfUk+m6z8Wa9uGp49P3qpB+7WDxjAMXK
SS3MQdK9t4c8+g4Q98lMrghzXv1sEMyTPz4yZyq/26bFED+BeHmDzEj8bt8456Aym1dQkWoNGXHa
ddRLDz6ZIK+D5HUmrQBr2JniOLPTFqZjZR9M25LPqHCLy0cm88LS5UrA/SpeEoCvv0Rj5yBKNPHi
CTPdZ1CligMRS/k2BQf37NSQIzHjKLV2Wa7s1v0suTmgNziw8fBSx67rhBnl3gFCIjkhSMgbutKg
3eb0TeW+bEAlA7mIhycRqYXJ6eAXWgXx4jKsdRtnc8lokIScpFiuQU0dSRBK7nU2bVe11/ZQZfk4
tSc8mvyKLNYFyVVszrxVNx+eBnPs1U0cRfE59Yn1IRN5vqnx8V/bic2rEgm7s/XUvR8605kBKXji
6DZJcgaQ17wh3ZkbhDPnHLNG526qupzZEh/zrapHu9x5nhefi6IZvLBxEufMTSS4qfh2EeHFMYcG
dvYwwX+0Q9zesbVuPMiUzzvNcuJ1oBnu/IQPVSPR8Erj0rxrnLb5cJYOM6zcmd3rXMC74JNN985I
yImrQVAxWlsc4YFACBlk89FNTfsyJHyus+eJX7URYxib+4SPFQphdIxRI7B+dfKTnVznbM9CUwQH
BfF5hDwG+sglI/ATqKmN0akxlWUzUVeANK4NHsvNWgVMyzVWWgQmHdgqnFB9hKO61o2HxpgIenbq
6LFxE6J1nb5+c2O2H7olYwIbwAzdZ/Ap7ZweF3Xc+YIgbz1axxBkr5aohT1BouOjr2Wci3GU7n8W
NiApxeceQ9TMKo1D/V9hQjzbligObb4gSdkPzgGx52wIJGXHX8CV7ZNno4punc0NpoaZ+xwZq5LP
BOdM3743yE8vtp0wiqbiYLTdcpX3ROYxczGd+7RMhifsEb0Xqpo3WTh6fvG7tnm3ssS9Z5WefKOm
Usl5csuKHElAcC8Fe9u3viv7J50I5gvQF/u87K9fO9jlL8Ie+EG5Nm0Dz4O0Q5GRnG3Jp+ZnyXSr
x9r0rc+AQ7QRhChGPj+6wDy1D0JPcPdbiles5/xCIT0+BjoTmVnBdj3OwOOSjcY+3bdH8nAVRqxD
ArVwDNmuINsQQ+1qNZs8ZHGXhKVpbnSxExqMVdNLMR3KYXATfneupFkTLUeva3OlcWYlZ1J2AW2U
xlzfalaGiDtMBd+1Lv1kOLhW7VdhILvvGr8jNHy9zEJRKvFNNJzxZMcwGQcljS/WgQByc+uJO06L
+bs2wQWERBQTEd1mTv8FE3J2+M6wRGpNw8fi8iSXO13lRgtCAYTKbBbaJeh0TjPPJfq68cVdF1UI
/8JsTt0wNa8jIUB3RufH58gFVtMF7Axge4a1LJOFKQny7FARhvkssAPqd63mS854CAKkYE01H55v
eTf0xNG26dnkJ/TN9NBNO6tnIGz5b6zqdqcI7MtuKIph/4O9ETw2ry12REh7hA1169qy2QKgl49t
M4B5xY3dxTX/SzYNC/tDY304Qexs7YZ9W5heOMytEW/iYLk7g89rxUTTXuf4swD9WOV0Mcp2vP2B
lS0JqU9mEYOS0up7QH03xO+wZaLrKb1M264VTO2TQP/R+2Q4wqdp+bG5e9YVUFqAy5wbFlugo55q
NyMLZOdqcqJ74AD1IRjTPubQLWeCeBg2Cly5ByftjsM0FeuUe/NGj1V7TRxcxSYKTiFKfUrAgPEf
Eup74MA7zr0KOhBxYZ8DGZ0i1Q2ONOIZZkuKTeUarI509tU4ZvYz9TZMBn2sPwK1zJlqglVRlg8i
qj2mZQkF6ZDV07M/qviiV4naemOzd+tCrAPQV/EqZV3LV/M7+l/5mpd4N3nm0FqZGsuumUuHE3rT
ZCdhludgMTTdWg2RRnZEabNZAXz3KjGWqGpCNW9Zv9N3VpbJ+15oLkddEF96yQ/pnci77WG0rhCm
8RER6vkepIH7BHm72Kep9zQCM9shlybUgZRyq3LxSdapSm5SH+GmNsxDhCv3I9EjtR18Td+RKUVq
dUrcuxq4GWWTkCqaIxXG0+ReUVzYz5nt7CpnrLfcThzAdUZ3GrsYMgOCP7+HvDefR4BYp6AMZlwL
pf3QEGQVjtSwW4ez66qMZPG0YAXupoFvyRnkKLYedeGq7Vq2ssmr+5oZNZnwwbr0JDIuA9KeYrgV
Y8WCbtMAgrDLTIYj+xCQwuFAzNhke8+loLfj7J11bzaSsM91xLyR+21reHUJEpx187mDCr7lVtxC
b2UfihkbBZnXn0rbiR7h4lJm2AMxPJ7OuqXfpRdfb2c2WCz/Sk74dCM92SSsaa9yq3XOZePUdZio
wGBoUcyHaaqHGxf8REWNpuXccG5F4tKYQQO3gHCB0l7wym1FW1poGbcRM7ThBupE9lKatrtzDAR4
pLWaJ9bcIDT0qTbeBpElrifE7GU/bUjhwbTEDgYq1S/snR/bzBv30dAB85H5DVBN2D4VDjhp11B9
GPAshIgOHmc2rVw4h8aoBS8BM1P6HPCO1cJNd+ZQkP27hDok7LgNnfECqbo91Kb3YczuV9TW4o2K
tXgrJFkEGQ65R68A6m4NPdvjUGLuJpeKpZhag6F30M1hPELZpxwa98Cxh/SoWbWy14OnS2/v5QuD
sLLd+qyphcjANnZ9RlRhS8f0M8Ke+2Jh3dWGk72VZVbdmexl34E+g6HyQ/vKEgXLQJo6oV5Z8imA
b7Eop/GCAhfA0Wmz+p4lEF+9tFQ8fG8pTQ6U34KnhAY1rWjgvM0L542nJcrdXBgAklnisQ51lJoP
1Md0pmD07GOcjyAccwJTZL8wsGCSld85bCYQM3MXvekyMz7yH7xwvYAQJavsb1DBaMLtKNWCsJmh
bmlOo5XsMg4BDurcqe4LMXIwyGRU9daLu6He2oFC0YCdyuWRmD0FTl2B5E/cHih7ENfRm2M4/Jug
GcEIgGDKnTXQKC6jypq6fD1I3iWYaexS6wqXlkcTM/JDs9Su5FU6Ox19o14NRhKqRpF7T/HKK88a
QWwHWyF+gpwKJm2nTUsJ0DEhJQNnBMSQJbpdrV0IZD2sQMLHCZbgURcWYx+9De2Q4NPs02VnNXbK
b7Pv+am9sCAaKtsK3n77MJ1Bi/uVxXiSrTip40zz4JRA1ozdegfrMwZyRbRFiBbER8/GfnXv4B+r
dkWaIffgLEhpMPORgG4DFehsCmc0tp0zO1dT29X3jsJRwVfIvDVUkeD3yz0HPaRt9Dy7krgYhl0J
HCq5YX1w+B5clFks/wSA3LiakTyAfzCJLwXYT3S1d5d7gWBZFu7gA8uKcsJiapN1YPf80ntz0HmP
VOW86xT4CV3eNFYa8z/gniHfCfcu2n8yrdFl+BQHUFAdhwTckZTuJV3xZuFbyEF+pWRBFLugb2HE
9wHGdMjtqTmGhc79Az/SYeGiQv87Kshq5JbWHRWdk9hNdtDdFhGlZbbCNqZInZZb3abh5iHM8yss
e6BCq4p17zI0Z+KBzslg6QQXUUIWBGp2bOCZyaOREQ8vilo/MpNu96rs2feN/ZGNsTx9mudEPSqT
NbIf6fG/HtR/50GFlMM84197UHdfdRv/0dRu/PZv/ulBXfaEAkxGJtjpH2zuPzyozt+IoEWa8PD4
LH5FRmH/8KCi/f5jd0n/G4YHqCuEgkHvIV75P1hdwv/ONOZ3ui4tDxZ7XkxHQka9dheR+XeOp8Cs
yUqogQBZfvyq8mRcdZJziCHhS6W59y2xedWi+/il8UJJY0DHmrZsSB67RSOiqjcPFnHDB7koSBU5
ModgUZXwo5N7vyhN3RC031OEC7JedKh6UaS0RZtipKxftB+9alGurAJdrfHTdBtp1bjpY+/CZpR/
q+aUdZsOkKtKFa/WLy2jEBupmWRMLmoZolYohvI8SdPBN4CiliGttYvG5gD0WNee8kJjUv2DmQaQ
phdVLln0ORuhTi2KneziZ9cuYUkuap636HrdovBli9anL6qf4UrElkUJpJTf2EiDPRJhv2iF06Ia
lsiHdW9AHUD7JoQHbTFdVMZ80RutRXkEUUaJsKiR7aJLqkWhVDYqCbtGn92iXtqLjpkuiiZFzbtJ
BbnIdEeeFIQapAiV2aKEzl0Vb/hWV2pRSUvk0g7ZFJXlHC06aq+Jcd9YaHKjVxuXYNFbu0V5xZez
LQN1x7JTeclxvVynhd/2q4yJdk5jV9y0jRWrDdQeTplK5C89HeMdg3r4AFLrQsuqKIObeGjvhaVF
96xTOld2PvFM00qn3RNbLDh1mvQEdVq9RAHHJUbV4GksrZx4x7pHuKlRvZIhIMFBwR0gL8u/85Ti
nCssConCJO2gswAme/DvXAqaoXiq8grWQoHSr5sFMJvq54kPFzPfxnrTXiMW+WuA/gYfXmD2Bv0m
+oE0m4rttChita7Wq+NClhIr4VeeIN43Vz+kupSd/rq+mhh4bE3lZW+eSX2xHqO42jCIA2O8pOr4
MJg3Y5nW9yRVGyfLHSG/Lk8Ayt3srWkWNmVgeDyy0nw2tmVGSnWH0Hg7OQO0AbI+KmDG9khqheT7
U2W7tzrFdN3B/rluhU+SGHjMpwmZ66PtAVtpJPhkABA7PtW25u8kwwJf7rUQYRrkEXsh0FxrB5Nf
x0vimZj6tV7BpjVjLk2nhzSxd+TALy+meLoQlc57LGudLsrtqTDZHMlDa+J7II6cF2QBDnQbrPiK
JJByWo9d2bwm3H+71GW+hgWSjjcaU2ilXtIVT41RpSciD3gginnYGb3VfDkj/WTU1835551luHP9
7dAbvHxhmt5dPCdIBE7ruKEVJf6dPS7SmNaV38VSqFVO1T/IzFaQ5IlRCNPlF/9pVJlYdo/eWPIX
iygzD87AIbLGpjtt9EBiF1R29vZzpbHkyE+bsbtBt5voV9IRUKhvB/VZNWT7rSjO0DgRWJ4o18xn
VS1zjK60vTsCXO1DvRCGDWo6NvnpSsy49+x9M/Cl9r1dHaE+8K2ZbO9vC9KxPjsvSU+VXrtnqGHT
lYgM8xLpmX9RQis3CVckKbKBE70FJjqZcsoEeSkaeaHB5yd6EzDYIk60+3rG9Ti7VL2k0Aa7mhW6
zc+3Vaqyvk/jCTSWzKOqCw1cmGHNihG4Atu5NoS0IxgXbJQirvPyvWKM6xUjVz2gP1Zn/FcfyS80
RQ0eLZtPskpOA5uovSYfBkGtPjj1W0WyS1y6Uxj4N2bX09fHt8mgs3HaJfsya78dFVwFFh1JR0Vc
md5llBbdQwIXcH6KW+muHX30r10EfsRjh7UabWU2Ux36ZlVfOp5j/cpcfNVGargXqp9HaWQQegfO
8Nzw47XrNVZoeLgf03I6pWOwVmO2llF9tCovujU6bTwbo0nYRx0zrVG+m+zcOgfMEQz2hvRHRBWm
vfthYJmyA8QIdorwlSoeQ5JtvkQ11FciSZurbO7lpjJL44DN9ldrdPvKd+54TBZhPvQWdWkcvWqx
+SI1/9fUYzWfK1KuiqEANjpVGIFLa1rTONNGkiYzhI3r1ve9Zdshe7rzZzlACJyZvy1T9m3TjfdV
1jfHwMsRAjogkc7MF5y6xnYUfbTK1JSz02E8uhNFO0XrIR+n8kCSjrVXHMJr3e8b9pzyiFVYkn/j
mcTeun4Ves/EsKr1a1CR3rHlwmd64eprZ4hedaMUIfCOVW9M33A1L03qe1+AI5FAldDfPES7tZHn
Dx2GxndSlq0N9zqBQJYg3aivGEAgdB+JlLDFaphnzgNrKPYxQfIUr75uhzPqUhDdi1J+JlMXbfTK
n04MUxVLHDGjmLDqTPLhq7ntN/NgVte14Z4Kzvw7Livy2d3IuLVIEN8os6/YnoNHus+rvFnbUhug
wpjNl4TrtoGWcpjKOodo37z3bE+vhS+DdWYML3oEiEWvedoH9BIYQftfrGa8isTa6ZOIHpUBv9Gy
8mHloG+Gtc1kubXJu8X9HLrchnRWVfxCIpcMK2mtO0wE18CA4g1Fgv9pe85w8eixHnPWSqkhWDNn
ouhOR9VFLHoNUGZHnCzZY+aRB29Lu/ySLAB/oZcVR/i63kI2ihjPakgSrq22ueTfxiVZS3Onn7wo
q+9AIWIzSgSVlbX4UprWPzVDo94qfSreFDlMJ7djV8Shwlq1bjrDqrYw8JddinqcVDAaI+Ztwcod
s/h6YFRiHKUJ3HOVyBl8VADY149FqXNLxE+dO2pn1wDrnVsIpnyJRKVHbaxBc836a7xWNldMBQij
BkYOI3xWPAbHvj7VgK+ONnP+TUT2FGwmET0FeDUv6EtptpmlqCqE8ko7dbHvHKgU8p2h12KTjgTj
sZ1c2+Aux+8K+M3ZKOPuUbWp2hPeKJ5d0TGW5Sxc0xbS23oKwIjdpMCL50NOssEVKrJ21GsOsMYw
xb7GpxY2bZcx65ki5l6Gz9sqsEHYxYcn2dSTbaTOuavpN21UteA16nYnTOxdvcqjkJrhZmQqj4F1
F5sxfbA/v2ZtWzfrrBoYYCvRshKeG6s0kcW2tHXCTdrc3s31fDOmCSSMBdNo9mxsO4UcbuecGi8f
asmTa/DPk2LaLzKpmFfm2qvVBSeQW/JLLUkuwp26bQBFctsXUQOhXQDbJBRhTRYKtzim+mWGceEJ
Wp8rD0hrE/TTSurKebKacTeqMV5La76fXMs7jakJQcr3sx0OyZ1LixkWRruphzr+Ah28szoeeYOo
i82QZmxL6uN4TAdDhn0mowPko+s0Fhc7cpw1ObPZYZrd8SrKcK8y2tCS3Ngg616CnNPVuPJ6GDvL
nk9SGM0uL1UW31luJlgH76WKGekpe4BspWkxj4RY6HS7gR5PCAWqmMbDSP07XzuUKqSPxmXubCaZ
Qfz1GxOZr8/HrFjx3O7rdemmeK9kPCTTryRnY99eQWqtzT1Pw2d66TtND4ZtWQWL5NOr+4ho0I0x
zfIUZ04NT8GxbxAWXsRspZu5cS9pUGthNndQA5harovAyc7Ca5wPOdZTmJnV/GFIo7tRpadtU2P4
auOJYZxjDjf+MFhrABT2keR3tbTu8hahx7xGcBGXmFJlY0ZIrpPmvbHqFq0E6Jt31cUT05DWhg9G
zneppe4qznSdTHBZhcOQjoRbARtvoqZgn8NOd7ofPARaN66c3L6aLQptZIFPzwRXYJNwcnKNPCxq
+1cCZwpNPg2OUzy7FSjbpeiPkVA+dMTCTy93smulKkkdL+29RV7QAYLYvc5SjQ7kbZg1ZuVdfpjn
CKzKPNvTtc30/Y58rvm5aPXiRiblLxrQmPxFU/SIGN2i0VRRvU6r5JcoS576mig/vYGQZzIiu47A
vnTYtobevlK+uBuTycOFBOA5pAa6WGnmnMFQxZKMh8I66nYg1t40c6f1lXpygXteiQbi0lwMPgsn
U1ec80p4Do4VK/nAEKIDvczScUtuGo8CPVjYcbSGNXVAEfifLEBzcAyxY1yYNfjPsOWa19kqWeJN
GMIiz1u2xpHvLbmGuqoeqmWc7yyD/WgZ8UsORvIZ50O6jP+bxQhQL5aAdDEHGItNwP1xDDhVAkYN
MHCNzFlzCcUUJdmPu6BajAaIdovpABjFjweB6nmxJIy/GRSsxayASjR8J4uBwVusDO1iahhxN+SL
zUEuhgdU9eu87Uv6LMwQbqkPt2Ckmwv0YpTsxTQxL/YJZzFStIulIlvMFbyxRxq/iLiNpN5qGRaM
4seN8V/Vp+rSbvp3qo/1E3z0r1WfPfiaNP3D4vFv/+Tvoo/h2KAHoBV4CKTIvC7uub+LPoar/43h
ABxd+DHOgqn5P9HHNP/G5qNHQPiyJ0vAEdrN30UgA8oBEP9lNRJ34+Lo/U9UoD8lHi+p4j4uc96W
i1GSldw/iUDs8hQA1mPzXjJM5JlDmvQErw9xKpwLFOTGxlMA1rL91XjYPJIk1y4UF9OusrUJ4l3q
O2EhR0wipIyqteYaYRdoDcXD0LxKXed1uBxx3WlDnd5mLRCnFcHlqPUJBgfiNaCeLSYDU9MX1jWe
kh/bQg0a5rJEoO6DGIIf2OH+i6AXmOT4Du2zxsP4PJI/W1DudOo9iJvp3bOSKaWm4mMLk3ig7W3z
dt7SAYujM2nNR28m2XsXq+mW2ENonRSAr1M7tyGYhNyjKZ67r6GNDfoXgp5i9mHv4sRl+qul6apm
aPG4qD75+ncq4e1vgtvv0dfW4p/8pw738xUsrli+VR0GlbGspv9ehytnsgK0CDPO3JJC6Vi9s2nM
EV50UI9gryxTdGARzDK4rb3GvK6Uya/WuH4N7SzX6R6TbNp4SOaHYO6HmzlykpOJo/DTSHONhAdH
XpIJYYJggeyGhhofv7908rTU/i5OwGL20qrPvt8+doXF6k2jrvEimg9mYu4g431mwhUff/1LB3+0
zfJL2zp4r0XpRFa1/z/vf4NpN450QnPtuoxejeXbj+vaeDFMe7zVPL099JnVHspMAQxMqB5XpdbN
W8nTBFDqqH80ubGIL44azzFUl6OqLec+mviTYN/vy2xq44qQInVOehewIoEKt44fPSHGmKxpI5Xk
FQA/gmL0fQqzY0eEjbbLGZmvF9z2ZtZLrmmr04crfbY+K7e/Vq1p7Ls+cvYTFFKmCKwOpOOUb0YH
FKSOysBg5rUgl/Jo27X6lSaA0oiRVr8azuuDNxXtvoWqSfwrBWkz9NsuhebNTZmfvEHjZpLsj+XW
p84wAYdC1LpynYNcvSJSD/o1XUe/TlNcZzUzpJ0+w/A0U9QZr2JGTtgBOauwxbObMlnmjn5hPk/Y
kb98UsnxbGBUZaHDAVXF/MrYVomUe+Zo6VXRdfrNTyStXxnDjUOl0tGyg/fciGTO9hP22iCc7di8
aGk3nmVn8IGai+g1+8BIneXe1HKSJ/BlPNuJFB8Bs8Fr226DUEcpO/31tfOnM4s9e98knZGK2IDa
b5o/TK7fCdcmxv4ohkF+STp9vsOSUe00Q6Kijcpftx4sXPZquHbaev6FPw7nKjyRKWRdKfkkCmI8
Na4ZHUWni2dP2A15N4W+EyChRgyba9G75WMpeJV8aMlXyQZITQXf/XUdMbTWiUHaSCceQV7W5mXU
6Q8IMuRXnXptumGLIw05rqbtwEbCcqDWOT160xkbp9PMTYqizmuOw3gCBTrf/Vy2TYYBLU3d6aYV
4CiNBmpRXfj6i6+V8jnAzv4Ma1uAYk2Bc5X4+RIQS1X6Uen5TtStRi7aGPQJW189btdphvaU+4l/
9nWBVPbXH//Pyug/z6vl41+W8tlJckGsMYlYbu3fffxKwF2M5xYfUdsAKevw+q+mVmj32RzwGxiZ
SZctpPaQTemQAAloguZmbInp2fmkDNGacw8iChUiOvr50Lzng4tTOaAkAslktNErshW/zKL5HkTa
a9v//Bewl8cr3D+ey7gO//gLVHMuW4P1h0tBdtNmzIzxJJo43go3YswsK86ZSBC9QDwiR0yVwDwG
NNu865HuXBnKjXBULXxVc6rfrdEzrl2FcyExcfhsReFHD4UnmB0mZOz5q79+7z/P4z99+DaEWsbs
JkBnCAJ/fO8oyGk728q51L2Dn4vUl+ibq5k4kxZL5JNBcPZNNsrxXHhDteuwMzDaqCr34DfpcMTk
DVYUTfJQOAqXAPi2h84tcYEoG7pWK/rqPPsyvab9GG9VGRSMk6WS33DF0FRIkfmQkeoPJGb5+JIX
Z1qP/7ViGc5r4Vxi/xoXwbPDvPdsYlvdaz7eITKbYeUCldgWkoSMpkjGV3ylhAmrIaL2JvNwrryK
UG7THL8MIGTtyixtoGGyMY3NbDUEeNT5B76lPalkFai6vGkOhY3iVXnc6tQE4+3PrRcFWvzZRloy
kHTP/+zRz47z2JoX2iek8jKDIItslHzqjZy3GbDsV6684csuyuUEWT4a8nSOoFbmGxs6ElFkJSdf
syxVTmaZP+iNSViqDUT6xSuzX1aNr4Kso/GQK1OG7SIMajZtIgYBuXYQZE8AAnmW/PWFQJHIN/2H
K4HdQGoGFrpI5KAc/FPZwFkNxjcfxIWunMCnCUcTVOXlbC7UiCTCUkX494y/OYm3lGLNu4v1mTEQ
ZxIhsvKQaMIDzpYVGKuQ6PD56mkeDjhcSmyO1bYjep3blWCxj0npxSPHf/dh0ux/9alna2tA66WH
CdjHX1hRjt0MJGJtSk+fuA7sCoZgYRVRsS2MCOtBMJeEsdA5rae58Q5YWx/R2w22O3ARF6FmktAn
XO0OJWTCWtzr/SdmXo7IvGJfpMacNRozO7vctXuvSJeSc/lecUR0zwTg7YELMlQZzXTeBNb0bDQN
ILrat1a8n6RcITlUO8CFXKyZKe3QJZ33F8t55bodhvxYM07fz0FBcD3Sh9jNyEb1jTlGNkaQPk+e
eA6kT1LLWIicG2WBwUvL7FkyYmDKkQs33ifULUzvLU4D/CFN8qkFnnHRBrUUOJiDjroPH1GTpbtu
ca7HKysBQ838BWovWyYceUW9OGmkavlz1PWLGSFhwyjE/mnba/JFqoc47uQhwvRsr2Yjsz4SK2K7
OmZXPb/S4NtQ/gSkLHUEMmxmtJiPsqg5VztRsgnAyU6KUwUYMXZUfpy4EJD/FYMwzZ4S1EZWppdw
cFbLJ72f71iXiJineBlpm9SW+05jsrmScp6/TTf3DzgstQ2wN+IvfIRdQirbWW2gGAehD2o4YTWI
zhaaH7dRKqgyVyPrlB10YRrZJtIJCpqLbxjcF1pnUlwcylZyMTH9IR3m5cnzyuTWLD0V8jBAxZDB
NN/93Ej/9TP8u86WhwgPj3/d2R4+35M/hGuzULf8i380tgZwLJhVUKugs7q0sf9sbA2P9hU8HqAb
GhtaStrFLvnf/7FJ3abH0Re6L5ZT7rD/a2ttA3gfi2y0tct5Rjf8n7S10P7+dDour8CKDoAuDEfk
Ef+Jm5AbkegdL3JPOG60QxxVo7iqcG+yF+BjJ/diHlRlbjFGBURY3M9p4wQf8I++Era5720vt5zQ
qK0HEHzjc+5p6RVbpiPOG9PHCthUrl9yoMmgXhOOOHUXjI8x8M5YKfGoVyLSVtWQFlZ5lQep3DGb
yrKTB9CLYSAlwhZzdXUoo4nDLyPTspyMeE30pL0GSOFs2UGjLybM6y6H+dmuMl1F1wWDkGvZm91u
cgdxNINWfc4GNFjCpT7tQOqvhaq9nd6kzVtb5nqIau9ip5bvVptxa7LEwvjMM9vkap6Sca83tb3l
i9JOFe0nBm1v2Ca6T/0VtiBch5Y1h94oh60D15NyDRD9WUsS83kglgcsWbOGk0JwQZroRHous75e
VGs2S58LJw0eR2ecaNFhoDZm8DyOvrsZ9CmMrKG8o98Ve7tvzVNblnR6jNlDPSOfvBxqdXDcJL0J
tOI96ATDQxZkNw4BC1eihJpe1NrwIYl2OUyRs8QKGsVXWaQUEJlvfC2Fq+Doaet9YKZfPWibDX7L
8cUxfEWwQ0pSrGj8OBRl4b+ZZg9UwMsSPpv6uUzLZ6HxoyvRsLmZqIGddKDlFNr1BrKHFzqNV5IY
oCoGZnDIHQM2dVDee/PIqjwO0+awXJGPYpDuFqcuPkO8FfmeGb0gaNfzQJGRqbGuNJTlnU6rObEA
Oap+5eZGfLFzI7+dJjmfI5XoYTLb4jqxSMlbQbN3+ClWjfnDs3d2Rp4b7bCV3itXFtcOa4LXCWOB
G3AzUEqSSN2qVrTbSsrxV+fbRbWim+rCPtea74A1PtDlyjZ2pZepa4YP6X50KnndwZHlgHZV/Jlg
jA+LBsc0EC5Ii1PfeFcGHW69SjtPP2Fh0VduG/w/9s5sOW4r27Y/dOFAv4HXRPaZTCaTIinyBUGR
ErqNdqP/+jvAsuO4XOeWb73Xg8sVIVOikmj2mmvOMWc6qwpTL2Al0u4YeYQU4LHCAsFDaJK9yWpU
UMo41mYU99s+NsnraDkNhGVu+qc+z1lUt5VNvIBdRbP1h/Gc1HxTonaro5on9RSh+OarHkL6rxJX
ysbzpA+UHLhk42if7uyAuojjFGp8GGGzbmjdhLzMuGyRutmKVPdfsFpkq74RpyrEzpN7GEolgJQf
PdD3rclW+iOrw5lDYt7zwupjd7fgZ1csiIfvfmlbqEWhgAHghdsOmn4UFNkwncpBs9vAw0F19Nxs
qNY5h87NRAD1Skiu3Mw1mrPrwuRoR4tcHcbSm8SIv/Pk0D2T4ylJChYkg9OQl6Ggke2kVRjCndz3
8sDz+Su5JXsF5iRfwSIZiNs0/bShmSVlcRBOm2Tw5qd+rOnXYCbbxo6OD5SiEgzZdngXe0Vzdd16
bVDS+g0lyL35VrdvCmu+H9DCg3IUR6fjtsYzZY6HJMxZWw1ueSVIrBEuNBSNM5U3PWZKVne56hGE
zDp9w4Jfo/Oxlu6GZjh4UxKHh4KmEEjJNdhjlmHWWOl3bFRYDpfDQ2TXzXlKqzTg4alfVMePGwNL
HBR5YvFQqP11ZA36Ya6NT1xk7qWy6+JAsNk85KqjZNBQOa26lYlyGEa7BgLWOkwqOvKqiSytabWP
rA+nn7leUVOjiWk/UW/4IKY6RwI08EdwoowDI3GynejGap2EPMh1c25PSdyNT4XU7W1dFRFHwt69
0/GDYlniQeTDoFmHhDFerVKP9xP520AbJbAdu500nACO+8pLcN4DpdV+GiktuOMQ01zt2t2vNNTK
i005zU3ViKIVABbOOPp7NOfRpjakBJnc95DZlMbkxGH9lbGiPTe5vCn8PsfYd4vAaprqRDyjvc4F
+61h9OarbiT+vYqbbBmzwnljR26zy212pOxevLXKvH7didj+GS2ehUGMH91CHc94ZspVmA1x0GB1
P8caG/6ycoaXiqBvYBvVfIPc5mO8Kd1X4BDcG5ZbEeP0CBgl2XhXUDPJAysineEk9lsme4z4gj4C
IyyK3ayXxvuQRzYOovmJxVgYmMNk7p3erXKiwqHzmCTGuKY8naoeX95m3ThwemAuaCzD3WT6xA+4
MB1/LZL+YaAC7gUCOYyIDrTs5BbxNZVqKlZaHQ3PeuTWR9+qxTGinMjjCRr6e56bhB9a/ayEZt3m
ubvSHUfuRJKBJKmWBQ7XHqqEmS9hyxW3BGOLbxCDmqP44HvaLcMXxRa4KSHOWmEUEH/2qJt1OwpM
W7kh3pgHuheeMSxnu5JMFifx1MPsQFxmqGis5oaKt13OPBS11AmZoyTI64U55+2Gx/cQDu9xolc7
rdfd09wr8UGzqPzRqEq7OKp5UFbuPBLXftInG3yaH9as9CzKkVpt3nmd6Da1I/onlcfd0XHz93RO
20OcQnKoM4jfPSvWfTdL4p+jFqkjbdUdlsXIvqmoKK/zEo4kUOpQ85s+EA0yXwlyDWeCCgg1mJb6
FyNJtL2ce+ecV0l6NBNnW1opZdImORfXfh61wV7p5J83SWGFK0FDxTeq6apdR+runugF1c6qIghb
hz897G8B3qR4h3ODbSI79b0CUHeObXs4VU4WfachEXO46st1NZPDsV1n/kVk/lucFwV1Ral4zEK+
hdbIcCGSFly5qXXX81TdVLHxFioWYnSJEKSsSsZe9LfRHc9TaNhPss6w/pE33IDL73cQ8/xtMmbh
W9NN484ek+aN/RvLWZ8mxrI3+4MY0m4rXfU2GDxXfD03thFL2GzZh8ouftc6Bz8etP2V8NL56Puk
67NInsb2JErQa4Ae8v5iSwguUIzIl+hCPqWaWzxyqMpORe3xqncMBqJkyLz0fqmZ34G3qy7kr7a5
a1U7DznxjmwkKIHR0XZxaudbPTajs2AS2zRm2u0j9qF4UIgAX7FqjIfYlhiKaGBcT2nq4Csd3qhW
SmkARnXcsbie7yv8jUHmUOpbzk2xdbxhfO+80Fta88hPhplynVUmQfivXJx9a6ecx4+CFqQ3uvIC
nWPuex754Zpv5BcluvU2ZQNfBlOhNYdJ6V6Qpxl1OnNDeYGoszxdGXZW3NG7jNMwo6pl6HPECFJU
n2TKTLIP88ArzcX27viLMTFL7zn3Bm2iy+1AYGCrhxVv0CE0jjPPARw8nDZjVgn70NL0Xx5wk1VL
I9eqazHslW4bbeA7UEE/dc0GdtKDQ+qakmd9wtQQqsXUauK650f9BlMp2jPVhxtRdJVaYbBDn1XU
n+LGU+t6kLirahGK73WsL9VYVAKT0NcfRMULaYXHLiV03RofYyUk5QZQpfXelPgaM3MbFjMQiUdv
DLsUxGLvxeUHvQ49vt68kH7+TYzUXtvH0PGS7NSOnl9+owGbT42QyqhpKGwFJ+VV2pA9B4otDdEH
BVGCNWHvTKynOCrWWhumLQCtafxZESL+HHy+Q84Izne+pnzTyDRvJ7OvDlhkRjj3PZQ1opXJseu9
+q6u+K9L5ZavFneeldFfzZ8IecNnNd9hftglsB9LKnLHAh1NN+7KZPQOlFPN3MHsKC+ic7/NxI1X
NX7OT1tWKqQMaq5O0B+HDR635tYs7VGpS82Ellf5gz7Qm0Cuc8JeFA/d3pYtTG1EnzWnPnNdUhuB
/VotmlOS7d1G2hsySuZJLxQpKZ1NWEJWboPVcVw77kS1l9D48/SsKkFf9vYLDWW0jKmkwnqlDM1c
1brMAp1P7oZQw5pMttPr4IT3UQqec6VLf3zEHhqt+5QG+qDtZv1uqiIzSFsq5Br66nER0zvSkYup
UNF5C2PvxrVHgArxbKWqIj+OeZp+izzZvrYcPZmZVH+Zijl6zJ1Z0RvOh03RRboDUs705Zg5hMmw
H2hVLkbEya7SqYJW9WMY5nq7Bq+e7josowfE6eLWRj5Ahdqon5u4YStGMvV7UUbPIeLa2aZYLMGc
SIeVZS5bWypjAbD1+kn4efVISlsV6zCsCnFHKMl+KOL6XcwNtsVqHiG6a7E+Bx70hiRI5sgmH0o2
6D6Tk3xJdQyaXjqEO3YwlDVNnWHuGIXaJ6wJw2cP4yCoSOsRy4mqNd9RsU0bbBFr9P0Zn1rr4Far
ybm2NZrvGlbp8GPm1MeJX6MgqynH6VoLj8qPwpfJrYnIheq0emA2TCkqU55mbEwBKgaPeHKI5zk9
w8lKDrlFEx25NQbY0eVi0rUf0ivnJ+qbQmflGi5/OeyO5UZ3sukl41FhcuUPejCnYr7XphL/HOC+
XWv28lYs5yRr5rpCSm9XRq2D0DMzTGacfNnD+OW+SEODmCc8K+bP5SBrOM3ZsThcJ4W+pLdmnPhT
PQiyZJB36u9lO3j5vZGlygKy4DKM1QZvASLwyKNBF7sYuYg0uvOnhgtxuBo+vkc3xmSaFL02vbTF
WI3f5kHD0rzSWgbe9trpivXFputo5K1oO2vG4cRH0nggHyJA/YGljBIH4v/J7V7FNkbZyxyNu1AT
9Tcp8/H5T/LP/7Ko/uoU+LPi7NF6oDvwRDmVoe78lSJW1eOQSssYLjCLnbXmm9S4mD0/kfyggecJ
ozczt3Z9ah6tzNlqdrN1YmPjCeoHOnZmJSWYvbbz5xTgwN9V5S4+hX/53tjnGEDs4I/+lZGbG31d
6KE5XKqquYiKs2K4T/q/2zz+L38IWRngWTiVdPHXD4BmkZGhtx8uiQkRmH9cTW4LUf5jQfVfSfJv
JUlvAR3+G0lSyqSAlfNPdhtmYL7od1XSE79h2DbBxTvkLlAf+aXf7Ta+8ZuzsCoXbKkP1HXxWfyh
S5r8EmkGimRdwe+3qIm/220sqkhcAfacqBRmGx3/zn8QuoKw/c+XEHBxagSw9ZD2EiiGX76IPy1P
EzdBvjFUfBxrciP4fksqa7Bvn6paIPVMo2FDJcK2V9Fnj+keKAfaWO85uIUVA+S+MXL4o14p3eM8
CzvcyL6ch1Wr6+MDXvTc3hmpmLSHzE+bl5qorhMACIjSYAolKKfeVD0n5dyrVzJkWll1uT4TO4KD
d/ZTV/ByG5r5wI6otVdFWvobpgmr2fQgaOLAGkp4Piqs8CZ6Gnv+dBIfXxGE1vMJgc+6RflSJVsV
TJ5jOmsDock8+2Ybr5Wfu3cDtpBV3nd0BZnaVih4kysOchQoUhaUPFZpOj2Msd5emsjMb0ueptiI
sdTI3Htj5KwKR4+Y9tLqJp2K9Ek01Cgi5bSPoF8fzapJTjx2d9hjG8gbZVJunYLUialiAsjtQAHq
enSIkdutMF+kj9k0sRr5aJigwvzYfotgPtw75eSvMfJZ185Mm0NfTvY6Nsxr7M5s9ApXbLQJW+dI
IevVEpq8WMVwc3TOtI6UAFGqUcQfIBCqnS0AYqFgZScjz2EeuGN96xse6nTSJtEdx077MsTLoowz
SHfWh01tluUlrJr8V9q7/raHoL1VDvsYhDB1M13/wwnxYxohJABXi+maUvwPOfAXn0zbqkGhDCrp
HPuhxH4LpOcxbZR1s0Z/PFmVGK6J0iHAZPGPFML+u1O6w5qXxglpalo7BNRXbJNt3uSV9tCXY/4o
myxH8ZLqYlpZzIaW8H7oZw+NTNuLNtLnknDHPuFjpDdGmeNlAtO0riCwbQyH71SDtrDW+zD6NnuC
eLH0agLbaVEyaRdpSiKgqoyTFdf6kZXTp+S/v486Wz6wvyZVTWLPvwlAVA/0tPdIYGGK/A6O7GJr
SJppxRslg/mwm7WuuOkmV7Rwu/ZsZrZ9mlhfV41lbzm6q7uSDohXdEBwgyzK4qOd0mgFeEiyTrZ6
e11n2bDj4B5ttbo7ufRuHPXYvet7VZMzdwtIN6VHH1s6cu4qZM+Sj2sQstZEaDokJoeb4FnjjYAD
/wbsUN+G4mT3S9dtXeDz79JrbDX3GtYrA7/I2pf2jbOH3BRe9aEqIXA7lc/TgsdlV/2Wi0ZuSRS3
E61XJpXDqE+EWk5y+tRofV+VBtTdudNf7M4n6jL54b4aeu1u8Hx/E3ZVtE51+5WHobo3q3zcaqji
NItEzmEiOvRsw3ABTiYUwiWrbQ37uZtqR8GRbUWQ/hUOSL3pRN7scDOYHHyPc5uc27yNVxTUriZS
YEXICEFclW4ftqhouflmGKpkmw3pGNgchW5018mHynOiA7BcaFlMZQcw5eNDPsp5V7QZyDpe2Ls5
G907u+lhKFjDoZlo010jQA4P2BKeibJoe62enAuidVxwg5XKHnTSNezZ/XVtMBdfp3Cw8jMp7kve
eD9YFjsb1539bymnwi1tFRmMnyS8TpaX3OPkfi/sCrWmJikzJ8a7W/UONRON3r6phr8y3Kdq3VTS
PEWSQiVIvVzSeiQpMbMl57tYXiceu6uYFjeWttSMBaKY3ubOhyIa8nzGzd6ek2mc3vxphPpBI1T9
WDdEgnRcWlQc5/cl0Tc4dz7n0mvkhKSSKmYitiU2hz3p9Gw757Q8VFkPdycpWtj+VeHf2lT8qkr0
28gkRT/EnkRU8AwCBhDFKLF0i7wMqebMu5HBuXMQ+6vE1bbGDHfLM9t8O8WADni4I2eO3XMsJ2XY
+4nV/ZEq7rjj3aLVH5kGKgWzZQq8cYwZyu+zxivJjJajt886BJDzaDfuw8gL+9FqQm6RbODSQ6nq
ne/KSJpjPOeTWtGM4PxoufqTwIDTjg6rhcKGB1WJWw0OkCEB9/ixNOmBqKeQojw/LaJ9WLeHCWrk
fSw7+Qi5yRKrhprwXUxD5xD48xC/Vp6tNr1p53sjieJ3j1O/vwKyBjw6mlr7HFmNgbpkV8hh80AH
RV8x6Q5W3/crjJw433m0/yoym6M5hOLhru2VuuIBoSFdwAVo2LAXFfkGB9/nCvZy96KD9HivGz15
5Z1MuJPQ/R2hjPw+7B3/lz7GHVg7GVps/bP+RcvkfMl1OqcZUH7mueV+OoXvsAvHodeBgukx8EMo
PDhlf8h52gaK88O0xim4rBdDPkWEuth77vrJOSNNyU8t1VNiBZ0J6NOtkuEhrG33mfeIv6nYe2w7
Vpwa4o+oQmoycDkdmmQcPzKmGpuHUUR6hzbE6ygYeki1xdo1SV3atkwrb16B4GUXS+KF4ipubRGY
fj6T6q6zTxsvCFYL8BdKUiZMa2p4YGGVEyaLuVkrOr/u55r+6gC7kDetTJiI+WYyff0Ou8/w6gzT
8DP04voNF3K/LbSUAVeL/IjGiHrSjtjG+ivcTFQcSzXah61P6n6CuAL5GqbSvhMAyPZCG6o3Pxqx
Ck1z2B0qA3vlOk3SGukEN85L7SW2vfJKq71R6k5gXButmiRVJQ/cczAaOlPHCjjZTPh85/7GEo3+
GvptaG+KRM+oEe41Z9dJO7mFfoUtEHgsJdQdPZ2kdYnbWDGCr2P0bJgyU5ynoa2PRty6tH7a+nrq
qdaWJheckNUcgIm3N7VOWAvIGUWWMfy4laGqB6NT7VqxCT9TjYjnXxBHWI8irQ5K2E2xymXRvGZN
ujh/o04Z+PtU+Z0C+arYtLA+aoBi9fwTEql1F+psnyzT/WFHsf8kMMu+l5Eqt5Rx93LNIz7MVxON
iRrOr4wnIotZ/ZAIXdz5sy3eeqeR5LEq0qNm5NBzPVmT9UMM7Inb0LCefaJEycrLrRFhrGH1WZSU
UcOZ4P9mc5d5exg5083LwroPRkxf771PwVxVONUb03n74Pjkw4J0NPXXbuYAuYn0oeNa0lW3IpRt
fPo1e6VNmLuRdiRdEX4nUlE84cZ21dbC1XTqVDcxV2oaSKRGsS6H4nhIo+yqz13yvS7EJZp6IAM5
LZOetiHKx3Jpan2K5Hydfuulp83PWUM6hOLvYcloK8+IxA4PF0XVTtPbP2glMWFwY5V5LuxJsJbL
B8RlQ7OMKTBUogNKiqKLas15M2DJOZipxHptO+16riy57XS9OxtsAN2uyX/GqdnByO1cAXQW6XnV
E75dZ27bPEW4En642Fy2fUnx+oqfJsXRVWN3d7E5Uo3JMYsUZugg6SRNlNpwNe30syL4VKwYPomp
aLHk0WINdyVroxcZjvIbAlm805fq9MYIu3PDTgcVliqeU9bkfhDpnBHzITp6M7jYbYHRb+8lPjV9
VMBk35UnQKKxN2YLECcOqc6qMt0NW9H5lGlGdRywf5z5G8qzaSfJRzgnLVyCtgWsWPfbyLeKQy0j
a21m80uFDbcLDNNo3iMWNFerrlmO6Ulz+Br9/jsl//2UDPnj303JxWfyXrz/ZUhevuaPIdn+TWAZ
xNuG28a2BFrKHxwS7zfiZpzAaMb4Gnb/5N0xfhOOLyhuEw4iC/yS/5mRxW+AtQBEcyb+x2j9n8zI
yCn/MiNT4Mnv5oModz3zr310HdNaMsejtmDOxjU8RvnupFi+oWrpNFvGxIrBqKoJY3eHuy7IIszZ
btzkd7Mb2mNg0LG1gRzVfwoMLPczufs3X0+hqEV+BpCMr8rXYxlyDRdz8ZY7uPOBpJj3JFNdECJM
aHc4azCOZ2nO8ofSXhcagvcoQPbcmrHr7/X+PS8b7hkGy+eWYPNrmSW9Fsy9xNaa6dX4jmsmH+mN
0jBDalYE4GP0UR7JFNBotKncOvsRcxfjAmxywFETTEdid1NCDLweeQJIv7tbgCUWz5ZwZivTmB51
QaUnGCktTOHwO1JrV/sLA5MSuPhspaL3NrywErgchaQEM9Oy8mPBBL6WWOUvnZr0oLOkOtEbPXyw
CSxe8f1CPuIwM51YS9UPU5VG7yQ/mIxTs1xhhIfkkFcBaG2dRJs3XGYwcle00BIQiUddNLbRQezk
mGQXz8rHB2qd5m01tetJlQchBiCANJ4FfdERarCn3WAm4gq+wDcpRs0/RiUx0oy5d3Udg61Fm7aP
1oR3NlFKbTDtW/twrgwJ2pKNntNGYp1Oc3fyxoE+6lkZ9bGfJUgoPYKCyKqgFmdPz80iaLRJPlt5
1T3S6MVJqjPA5ELzNr4nVHl8bzXWZ9XgwBEsfO08zKRRyU+49HlMdjCM4XyeI6N7kdlU1cGCgT4P
YVOfWET1v3zML0DHp1bL1kqygeztQm4qTB8pFbA+qzSD5c0d42yz9JF22Xv9FdeEmufsoiRH+DWh
v76l+Enlgr2qq1VWWxEt335h7JE+k1tcZdaLGeXJgz87/GnkaZpHg9Dstqtj+2SYKUNC3JXxnlGY
jOVEjtls+3o/TEZ/i+IcNDu0v1etiJqjpef+Twwbotm6Omv6lWENXrKBp+PfEH7oJgeFU2rf08hy
r7GdMDHR+qUVK1/N2YddlZaPaEEwP9LnfO0TI8JEhR+Vn2NG4l7FVzGm6k4ZU3wUmKD9jVEOOJjC
wsYtMkX5msuVphyr1hfObUnUu+bXjTKy7+re7soNYnh1SZFTE/rEcu7y72NhpDbIvYgOXD6ekUUC
PIU+0flXWRhR265Gv59SF8uEP+ryXKCCFYRXgNbMZIYxIoU9EMXbNPTWdIwp1tjXg3s1vJQjqy3m
wLIYzgDm+Y8jtu9+o8ZOvoYhq11DhpyeRIezLsgqs8StopxHII/kYqfEaIOWXm6C+Il+sRmvzy22
tZ0N9nClSgVRglJx+n8p5IWtzKXI/XILFV6oVYIZ8Gn8GlcRKvT0KhKQEv7arhjmH+1Z4fGXiBiF
QyN2re2Hrnm2OUI/aJm3oN+XCdliVO6jwr0rl+k5X+ZouUzUVZdPD6gUJukp5u1ymby9ScmHobGw
H/0+l8NZsny5EYT91lScrkA7JmxB4kuecn8sE77OqN+nR9ZM/E6WVu+6RQ3wkQXcRR9wEArSFBEL
PO+KQJvit1nUhEVXiHGMAvpHazAW1UEs+kOCEOEvigTIJZbti0qRzkbILpun9YSEUSxaRrioGtn0
2aj+1M58hmGrn9IvAcTwM32rq/hp/FJHkEk8MaGXIJxAKaBCJDFv+qKphIgrjH337pCm1xbZhfUQ
y8XpJBY9JtfLxz6x8lU+ijYYFuEGGmy/Nr/UHKxB3l7ExK1xm0j2aWrRfVCAahxIx8ZSp3YRhybq
zXbmIhgZasKEY5uCcZEW+2MTCTvhr1fNr6zg1J0/DvbWJTpuchmd3EWW0qPGxAyzSFXwuneaU2hL
XoeriRXVZfpSt1RJRsxbJK96mvwbiyrWZRhZ5EO2iGOu33yKMtaPWRIZpzn3642mWD4Bhx6pPuoL
CDSQzKfomyCUvCaTSqnfIsfNizAXudF0ga2Ocao3mqc5o+xYc/CamH7y4DRazS2BzIclXqGkIP1h
SMofexmGD84iDOLaJLNf6tPa4sfkM3uss0VIlGP4Hi/SormIjOYiNyaL8OguEiR0vTxoLfeoFnly
7Lh0KKp6cRbpkiIHzqbpSMGgy3dqZuJjYLS4eZjnKakZpy25TB9An5C/XBUWFwzmahFLh9ZGN20W
CZVnjHZO2wRdtY7z+gYySq7rRXa1FgHWWaRYf1Txh/2lz/qlUoHIuhsXobz4pS6v0EpZIy7SbrKI
vIahX+mxsteL3HnIFylYepa/1rpFHh6MN6dvOB8bWvaYLyKys8jJLYvsrfrSmHkcLnozJp8AV3Wx
nb70aAq9d8YiUWtIu0dHDRMEmmQ8uC2vyDGb3YMm6fv4R770v+fkvz0nU3v4b8/J5fCXQ/LXF/x+
SPb13wxHCIOD7p9PyL77G1YeFsomlYrC/EqH/7FFspYtkgERghXTckD+nxOyDbnPXc7cIDzxqi9f
9R9skUBt/vMJGRQ9hUGWy+nd19knfXWz/WmLNOVt2xcigcpc5+NJSxUA9czMbqPlZJ950c8H4Azo
N9go0HKyL1nnS+D50npCobQr8y8KEGN/f7WtNnzOZm7vU72IRXGLT/pQfqk5YcHzPwB5irRkhAjL
1BA+T047PHRA49joT7kEj5568rNfRKq+7rznGMgK4tmXitV+KVrFIm6h1RziRe7CgCY36ZcG5n7p
YcUijUHSkj8L1LIIhOwl9cf+pU1q+4bgh6rW9VX4q12ktkjr7zIMWSgVpF1f50WSswmEvoxRDTBz
UvEvKGrodjCxwcE1o7hW2JM58k+W4k6PxrtZNDRP++QMf4lc0x7KgubKlejz6NJrJmW1X5phhBrH
iq607DPJ8YyKVR4Y6FUDZrCZYra9dEO1AbsUvxqTBW/K8nJvp5a934pll3ycDBj/nBjQ92i+3SeD
jHagbryjwy5jp5djZa3nPHcf8zgCok1HkRSricgPBFmwtujL+NsJBtil/zkZOm57kscCb7jsWVD4
TRuYYVYfuzBLNzhTANmzPYJqU4/+aUkYfW0WiUn5lXexOa/z4u9Fd+tFXu8j8j57GNaKKST02sBP
CAoFNj1cj7Uc2qMhPHREOLQPpS8hYGlVIe8NjFE64Nc5vSetWkJhwY34XXYAn9zObj2WbyWWiHie
xoUpK3yOnW7YwpMe0o2EUnqPiRRhZEwQ7HCX4vgbRkzlxELbY5vmVrxy4zG6em31i56Iqdvr7Vwn
aw3k2y+Aw9JewWWUwyqx5/ajaDh27Mk+yuewG9MDQd16QwY1XYoc3P69MnyGiqFBGkKN2vqa1QhG
jtraGqXP4DVSO3g/typKn2sd/lv/AFI3gZljzCyIdsLok9swifiKWX0y5Cc/XcJvAW0aCZ8tATcc
Y2eioFMJTdAVeXiJFGbm3Cgxn9htj+VoIHg5GeZT5PFnAE9aU673aKsx2gwFFougNYy+2IeFsbC9
0OnYiLlB75viiICdbQED59zeFKcRSgesnQ0rUSDV2D4Oc6VXeVC3RrhN42xaaaIlXkwMeNVEVr6W
mXEyWx//lm6I1VjaNzwNeznoznmu7JB8V4OyrxfTnqUkn3sHwBujvT2F68JruALtotYvGrtQd61U
Z+FFDnFQpnN7NPMm3ySsfqno8IdzBwB+PZDO2NUOaw+8/XN9clXdHfEr5rfJKOxilZSus3PTgqSM
rx7mmBszK9NfcF6eYDusXOlln15T2ms46zQqJqn6pnWmvJBlFIEqUKqS0TEegeLz1PJw0zGXsD7R
XVZNWO9icGqRF7AMwBrXZVcslM++3cggos5gpZXWPm2jm4uLGLqekQYh2KogTfTeWTF/Ep6dXYy/
mbt82uXwjex5vNbZqR0E/au0Pbs4tc3UvLm0G6x5PGUbhgbngNM/p4XD54wZ2aq7czinbuoxxYOK
C+zFkrb9XeROuo4zzvQjlR9H0bXiGxpLd6oGV448pBTPFI4pKP6JE2ofOmxlRI4smu91OjpY/UTp
de55NmaY0fYluIh9p/mwfgzNHzeRisZtaM7ULxd6HlC+QZlbktWXvIPhKJp8kQDNd91lpsEO3W/H
ECA/GIB2g6cf0J/Fh/IAwBrJZGatiWFX8mmbVsqNyiHM/0ioouIzt3p2TMnYjkHMWHhO2KLdp8rD
FKYTkO6LbGYQMfWN7pG7TG3RbRvl5d+ZRrxr3Eao7hE//u8p+SbT6bA7Z2Nxb/TUQk8y0r+RXZG/
1GS3r8KI7EdRj8VDXVMCNbEj3UpCInf93HoHlpoKOiHKxgZCruShGyfdY2Jb5DBiZb1bikvasurh
zB6nuPOMSgHacYx7pRzamFr0DJUP02Nk5K5HisZIKHrwOZkzrJ2Vg21Ij5006FOV4Uz0eGTK6N7w
4a8n0D7JgnTCA/nlCXZMVrQ0vCKVhG08H3VZxdscyQh7kAyfYlyuMWF9R71x/IP+Pmt9cjb7TO0B
tdUQmIzxR952WTBb1fzN6i1E8zAVDfynpI1WolZPWN3N84wwe0Y4B7ElXT3leqvjm+N2xiMpLRP+
a1pBw63ZE0MYi1+qulIQ9lxwKqpENOPBVO95o4/vMVz9b1ZsA1SBiTGyrLVwSZr2DG21a49gqB/a
DjQX87lltO13vXaXw+3ECJPp3yfQvcWe1EiTvIA2WJCUbel2vIkyHTfzXMb4Ywsc8pvOIHYyWf0I
Y1Qf50+v7d1NmE2MwaTXBb0/NhNO0wzhKoqnbjfo+bdhJLOcZAMdZFgyD/wo5Rqkt3ywFiXJKcSx
i7RqXUPODv6rI/9/oY1QNLFA/b/dVqf3Qr3/s9fqH1/yxwnZ/s3xSJyRK1rq002DU+ofaCPd/I1C
V5PjLo4n+C7kRv84JeOI+pO3CtOVgRnTcjndESH9D07FiND/cir2kcA80iKO5Zmu+5fMZ02FrEyj
0T3lZuUZAcWzBtxhg81jHXRKq9qa+CNrw4F+AKsML2Ux8QpuHF1DOZhbrspHSURHy7E4ubgtNxrg
ADvceyFXNLppj4NV1HKm8icm3Cq2eYMfYLi0gN/J3k+m4HQAxhI/+rZVMnfPvV2rj+z/sncmy3Ej
WZd+lbbeowwOwOHwNutNzBFkcKYkcgMjmRLmecbT9wdWZjfFzF/5Z69ro7KylAIBBODwe+853wmG
W0BvioGsZai1E7pql2IZQthTBZvSmqd7w5vxZM8tmNJ1hSOFcc3i5Zv3TFGWGLdRpORbNSaDK1XD
Ej6klddVN/g2k/u68vVTk842VTsvXcFD1sflBelOIQ3lSX8ziGovOMTkztsRokO0R2tiAreZ8mwL
U9K7Tqrcfapo1W4MXQzPSKp541DT7opuQj2NBHnpilu4pgo7NDyMTAYcwDlLjzHeome3kdU3q7Fp
Fwty194K7b2l43TlmTXheH0CI5w//HPfuTY5TpF5IGtSbNvY1uuRviR/hySw2y4mk2VtThMR1gMo
0RWbcJ2t2DqzJDo+edaDkP0BEkp20zFA/YJxnjlcPQ17lHDTrW6s6cSLcelIA+I3GKIZ0SFM4+g3
7gd5Gyf4Lrd9YRnX2EsQiUkXnEQxCtq6bf4QzootOPGLN7xi1bpHKc1+2GutsyN766sBAAoaYWXZ
14UTdBtdsl3OFKqdPhIzEB3JCDLqnG4rrLwjfWxxC+Cr3dkDFKvUiUccE341PxtTVu68KDX2SKTn
o4PB/412tTqG+DbuZ3PyrzqjKi4LUheyvTMToD52s9sLbB690+K7X/3xv/T9nD48G3JRga8jkxEn
nMleExt1issmGPITvb0hJXOdjM1Y71DF0VjBC4sweYD4MG/hXwjz7T8r6n9vRUU7+ssV9Xvedm/J
9NNojk4B/+iP0Rw2eKUFLrelSWB9mMzpf0maESyzaEY9mnYsfr+vqLb+l3BQ42Ott0HykNT6cYUF
taURnAqkrYjU/1HfQdDA+Ciydjz01ahgJe0HAEzWOxnoQ9vBdu2w9gi8PfWCHQ+dQqFuBzI9uMfz
dh9V1Hu9+RobA3OVCo8XaiFPQzTt2wPCxH5vV6La01sGh/nhMv6FNF1anzoifDVOjjeRabnQ583P
M8OxkZNMLM89Koj3xbVmI37tzRAm6TT6MlmJDpq2cAxnG9UkuwVMM4yyx4VEweT/5uW5uG2IXKjq
bTmpTH2dSyO4Qik1tCzYjXjKCKskdDHtS7L5wF8SmSMBHV0zFPAaA+Naa3gHGLPzxjGTHLmrIG8U
OUkBSqB+DMlVZetkgDNba5lWCOOadNqwE6MZzVhLn+Dxi2X8F2/HWj+wuofwk/Xg2TfEonSPuiBC
CVN31q9YwVNGoUNcvWYAW4C4EnxF4YZHhVReOrM0f+kE70i/DtMTbs6UFEUS1qBOoQ++BaoJTTIY
EAEQWuoHxr6O5vpUBbHYd53dvEVmWF9rMoU3btxc4IA4lTgdH1QeEQqoYcuqpmuxVREHNhq9sYnU
zIqbMkO6qohaJs4r3BlA/KhhOlHcGY5+Mu24WRkRvtbNnKThN3hFpVqZnRzOBjOnW1QkSBhVODXb
IerHy0DN9+Rwptf11EXYuXWOr2dwRbDzEsPBLYnFTJdhsxol9lvezGQr3pleUt71uBIJovGyG9nP
CtsrErDkTFnT2I9xgBBjhBp3Pc/VlkLX2lU6HR4mhkZQntAwjG4p9zgn8l2pWuK/Re1264YWxoIn
EofR9ksSNbWxsmcTXycEhSN9iGEtqsC95apXF1jB610McvAUAC87aeF6p1CYKcnQuZl+AwPWPBSK
wrcaBJjTpDNotzTRjITYGi/t3lS/BSp0d+hmqi2zVwzMFglRJITWWysqWjgDYe/s5grEz6pMyvAl
4bYHRVWP65Y7bTWz6t+ZCo8CHon+Qg5Nt0XMpBlNhekWF2mO1Qrb9Zy3Nvy0jCRuc7ZWQR2F3NKw
q/3dQIkyrWd0Zd8kH7LG8sy71NPdVpKj/GIFcYjjb5q+WwDTzxUyxo03jvUBRSXD+JYOxhNvYrCK
PsOUo9W7cb0pBnsK13OLSnLPG5hJq5JN462sKlMWs1VibFYm4JpNGqTBjKjZNx7k2DAuc4y0JUqu
Fhea1C4JEN1Mjz12pmaViTS8DKiRCXOGHGA72KHXTr/0wno8/pMlCff1fOcNKc+AiSwd6od5KPPL
JfOMyzdXyVmiLIAtpXEre9HydIVeheSG/Ua/p+a2sWm3RGcoooHkXiWFe0wQ8ehwmF9VPxNCNjTO
UcPvX9EQo8dYCmzfrITDEwxjr16VngsqIQvmXGySqE7Q4uC4nZCw1uo5J+m420h0ofijcED2V0yr
nSOYI0CzcAAUGp6+DbPLqaC5s9JT3x+LwC2Ig2IRwRpN6wu1euESjhUF1jWD6OHWreE84w4Le7ak
eZNewxcsGbp7IdBcANEGdblAt1zS87hyWQ4ushAvFhLmNPvCRqgCpWu3hN4CHD/DQasuDTjdzUYt
k9tomeEqtlDpRnSRszGXGa/LPYo7dZn89rOsz4MVhjeRNSSP5TIh9pZZcUD41iYrB6r291GybJLk
LQ4ACtHLW4bNNOfcmyaaUuMbdgXG0eMymbbeh9TqfWAdkEVb75xljl3PBJ9OmRiesH+jXljm3eQj
gDZkBD4broF5bpmLm+8j8naZloeaFBQ19PU9wdwM033hhrdCWtbXos+iOzWNmTg0dRPcYAAqMUqQ
zJWuLdhUzwVsrWzloAWVpNsAXfaXeX5Y6QoqtBj7c4uSAnGJGGSIes5j9JNQiUMpXdQBskfHywyb
6CrWd4btBsmDlcJn7BqaQwTanC/R2dq7eLJJvUqscVsNqBJYG8ZjvCgV0JIK/uCmY53nIU+Y0a0m
k5SxVbdEa+BVRu4QL8oH8S6CUJO1CCIatBEMIamne/oeFy1Ev/efDSpbeJFRTdD2sznJXqhtE7pv
sc04b/CcErTbaH9hyl0eY4qFG22HgqNmbxbjfm5EmdjXo1FeksjHkiPTy2DyfJQcIEiJlFu50gCQ
LzJj45nQW8rSia8mCZzGoXDgH8yjdQ0cDxHCsAhKsKGYa2As1oa4UabKNX9Enmk8x4sgpbbs8cKR
lZOuCTZEsCJ1/9YvIhYYPWpTo5vdL/uS13QRu3CXSnuNgg8NjPOuh5kWaUwDayFErmLXF7a3yGuk
HaKjEc2sHFLPDRwejN21vZtqckE2SH3NL27ctvm2WoQ62EXQ7Ezv+p0AEKYP/GHR9bTvGh8vVAO1
tLcM4N9VQFgx6ycQP8kXtnD8XHjHnbi/NqB23U2me5+MvtzH79oim0SgmRSC0D437+ojBoDWtZ8Q
mswWq3ieFplSuwiWUPDwe8EbQMdEbGr+bCNf5zOROVmL4IlGO9N0tcigvKoRlw3LGU/RIpMK3hVT
7LtQT6UedtWVUlbywoDrqTEECR6TsFG8xLo8xWg+FE12z6DVjvooXEOrJwzAKKrsDi5Ne1UsHh1n
ceuM78adRYMKyX7x83RNcxfogZc1LsIziJMQmRWP2GXERE1uGMEyeB2cCNG8zBz0EUt4ib94iFAm
VK+erjAW1bOhTwxfAVUwBQPggytC0wVcDEn14k3y3m1KenEste/mpTJKsX2Mxqwo8OO4v6zEjK5z
eLc91e8WKLYn9Vfr3RjV24tJCr0mLoR365TJPeBv9eKo6uOaNwESx7w6AIVxxs04+CEOYUTk2A5S
27sfF4dW8W7WchbfllcnLLShXtz7hZvG5zqcknHN0p4hZvHGLzW45DvENuq5grS/L1zUL6sEIMub
I/xF8KqqfF81NQMyI8jIFA3FzCujUmG3j7JS3EBaDbMT/EaNMUZB8MlNJyJmLjCPpRen5jonaWLV
2B0ZICPKILu9cL3JYhD0n7Luv1XWacujf/VfN8ouiw7y6mfJ5b//1R91nfcvGlwWOiX73/Nf1Ji/
98q0A0cNRymORFfYFuPQ/1fZ2f+ikrEgkHnMm7W1uAV/751ZfKCmcmQGjYaerdE/6p3Znyo7IXjA
mSYz8aZSVIwfqfw+VHbRVA8dcRr1UXLjeps4NsSdGVYzKQhRuSuq2IPVUMKBbAzlPwCFhvyQ5f7J
qCMMgbz/GTUDQi1MN9+TidEv7xSS1D326w9embF7CEt8V4XZ6rVA7XEtcqjBcY1wk9jM9ItjMY8o
Fzop97rPzMrB60/aUE9IFtMvEZj1AM3UmA+sQ+59l3fj33h7PzUPuQILaB0StYWVHAjd8t8/XIGY
zRqFKlRRtprjDYNdvWfPotdW2y7nxff+cIv8Vcn6cy39fjzalaQD0SQlXRuj6sfjWQbz3CBJyuNg
wJIdg/R1GVUtlOffG9xv4/8KvtOMSqegyD8Cxj/JaZcjKdtiXgs6jtaC/enMZnr9M2/3FE0AtZ/F
8s1OEroI1LXoHnaFs5/C2L/7x6encOLSL+Bm8rCN/3x6sWmhY2P3eexc1sOVsciGGrQMkpxUCb7s
nx9N0uHAwOthAF9cvx8vZqC9IcqzGFCROcjknNfZvMOqzXi3S/XDr48lljbyB6v5cj1BanAQZePi
RSDy88FGmC8hfL3oWIVjylw0pJbfVFVWbLxaMLMHrnfdUc5fDuBZD9hn23JLfFrzj88ZFzH0ZRyz
C/ZNffpZMRGricjP+Fh1xN1ueNE3BIH5/oN28Yf9zcH+fA9JUyy7YY94QNIiP7XWawplu63dGMfN
PN8WXt1sWoMnGN9IEgKBiZhxqpz0pL857nKb/HytpalcISiUXVpi5qd1KQli8m5dIlPzoerZlPNr
DnY3DKs8Aq/06x/207EcUhAYgS99NH5eYS7ynY83kRMZg+hDHR0j6nkkc5MCmGHW00VARtPjr4+1
fNaH83o/lgRGCNxdmY4Un368OGupUdi7HedpHsSmYLdwSiO7/1389V8++5/bYss5IStDj8Qiw+1q
/XxOnZs2tVuMEZwqUiDZzVBPrJwpZ2TZ2/I+jKIMDS1yXHgiNJCI88qC8Pzrc/107yznitCChQ5z
PTETn+8dirMkqmTLd+gb5h2CVLZVMBvB2ben7FQEHuWsa09/s56/X8JPl9hiCQK1geUf9+Cnn7MP
XHZ3voIiggv1aw2O5uTaznRVMmbY13ZJ1llrFCMevmkM1Nofuqk/Dm4+/oYOqSLvAsnQieQ9ZKrL
SMjHz3by59i4/fXV+avvKflhGHmwOwAw8OnRSqTtD7MyjAOscvd1mjqnXvdVSpmFYX9wmXdQgq2m
2FD4zoshOcMbgkNiEy907JLCucBe5R9R5ttX2nAbtQNhWMS4obTq97/+rn++az2Tq8nIDo6C+6cB
m6mJz8H+F8FvM8lySjCBJdQuTbv99XH+/CTCYOAnowoB7gBp/ue7NjIsLorRRMdiAJGvo4XCnSeF
vGAEI+9/fazPyzm3p2cCeLDeQdrYoT9d/8lrZOOMMcs5UV+bwPP7DZN88rJ5VBBWLEz6Ed6j6Eb1
ZGR5sKekaf/mwgpTLk/iz7erZzO9JNqFTQFf59M5p3VpWDwZ/kF1Qz0dVWqxmLZ6tMtj0JXzLVM8
81Uu6QIRSClGXGUYk2EdYctdERYkL0jN8k+666Yb9Azw9ZsqLknHhd0KGTDJ5nMaNij1wPLczant
/+gRTn/xpnQ+I9QjdUpXtbvILhL0PZ686GuTBRephHVHRJd774aleWgRe1+GGOTIHC0jAwTjMN9O
gW93q5SG03WGg/ol9QkznckgPzNzpUjWY+7/yDxDlqc8qxCf5Ej5Dhg3nIZWaQjq2lb1skcocOKu
8spyXkK8r295l9mPA0q+ajX6fQbaD9vyj7RvnWGTAdUMwQXF4Rm/QkZCHUuLqPvotQtZvIsmkD/o
LHsWsn22jZRjJtTXIdJBB1DNdfaDY7IZyhUR8Z6CPJTHlXryqqH27tAHcb/x9AfJLik0h0dkb8Af
aFg7MS2qpxlV+WZMdHBWy79tKHSx6khYc1U0NGi0mO496MKezrxn0i9VNQ3X75fXd4kzsfLQvC3t
KgQ6Pqs0PALOdu2Then8nOBThPFHpAud5vfVCvf7Rd3OrFCeGI3nvEi4IwtzBOSdpmI+dFHJtZsg
igGfN83wAbSd87WrTQiuVmDmN4tNdRHk8DlDGIVnzLAEyVUqeq1NDRTXr+spgMpDENCKQb68xwFi
P3p5X1srw+LaZmR9vKZBZu0EAq0X2kxk4PHQkJXgR9l8KwcaXes2IQPW7KvxOpoYSm6UI6Ln1G1Z
mlBZQzwwcc7by32YLRARr0OwtZ5Cr4028yjYwIismHek8HEvqaydz8EwQVr2Kb0mMgh64kWkweBo
MZVvunAJ9Ig5AbrA8QAhveEG2+IQKF/CITCZtXjcvSSqjTe1jxz10EH6vEJgbjy4iOUWs5AznQMj
jU+Jl271TKOOWf94Tb5ftcNjLyCKgJutSJFeT0ZRQ1QPo6Pp1fkFw5MlqzSNNq7VmGdh5/Opq0z3
gI7YfwhatS2cxe/j5sl54mhrzJzqOpvVPolm5vsEUGLVjO0nDwvTCjAoStAJgWVCmJxpjDNNR8ta
Cwb4Oz0inMcPDM2Mq2p90VF/HQX5dIqF3oUhSka0qAUgTJtpi4EzhXA+vQJuHJ/SxKvX0OZSPMkL
vnlJi22l81QzczrjKbquR3ABTMTHTT95zpoXDqGGVfTo+i7G7aa0LlKMYWaXyHXZ5sM+0YRJknK8
yDtNl/k30YeRDu+acHrFVvtSdkazjclI3Uwugj+LntPRML1v1aLaZ8Jfputp9HirdaX1nNnOaYbi
A48mugrdCBeB4z70vX9R5Cr41qKK2IbONJ7CNGMBdpY9UmZNV25k22fMIdWtiNLmZPQALefZvUxU
NXnEemcALTQY0coKmu+IOsvDJAoQCLnf+/AnAjs+icIpxMo3AnXZyZQvVKQAzun3WvOjnB17Nw4p
1My2h1CMPLO6ZqPkhJvBXQZnihQEkjCCR1qWw/1USPYPRQNRekW+3nRO1GwvRma1cxKo3HGG63VM
XSiNlc44KLvocx2Yd54chjs1TNPWnrtuu7x/ECIWJQDiqKyym6alKah40tIjI0u2AlYC1KGe2Isk
HsOqJHebtWuqiKUoH9Ae+rwRVKDVoYwpfVAhJJuMbd5Ozya9LnIUy3VdWtl1Y7ZfVDpDBWbQduVU
M0CTAE9hvGmJy4h3zDSRQJZNssvjRN6Y2M53ruqCr20cDBd2N27ayB9O8dCZ2KzAxT7bpI34K5lj
+Ac0VBvHXNfhCf0dxiprwLk/9xk3ZszegRIhNW7TqVbbbKrh2SEFNDN0siQsez9aZ0TF6ubCerAy
qb6Ow6znvSkjA4vQgJy46NiPwXE/lPOsr0ajcoHQMKmyi6JcG22lDlTQmkwjYbWrUnT199LyvG05
xBNhP/ZZZY551n4NR8XR4pI+cs4WJleYm1J9m/oV6T6+7dsU/3Ho0KaoxYNBlONatKk+8aNiEpMo
0XkJo4eG4u28jbPZ3CqMhMexygmmLmDeeS63AEpXbGJ+IPcDgKCdiwQOW3rkPCaYIm+IcLBxXYn4
6MeVteS1RBsb83rV+2LfS8mNrfOzS/tg7WfaugmqlFiuStmXOsDnV5cg6n1ZiU3mDcU+NUkGTufG
e+kWoz0LTbXuG4Z8a68taji34Cb3YZ9bWCgHRkNk02JyN0f7qjO94tqcgWHiOCjcVUm8BTHgiVE4
uD/7dJ8muXqS5Kk+cGrBBTpKr4As6KTHydDT95Zy/BJVf4e+yYBbSU4LI3Xm2bzTSdmul86kvKJi
X1JDUcr4vShOqZgIvejb8jzEWXpTurK99ppxPNhVExKDpL1DNs71cfDgMCM08C4KeCXnuEOy4wR9
9rokRMILLnX11UHhv3PdOPmhZQYoq1SMZHFX0UsCkv5FNeVzxkdv66pgfKDlDKmzIT34xWQkgTnQ
aMgGKDv2sp4g67UiV3fjkBN9AWqWGNqCabzsom2SWW+DoSFHwxBEVa9tgqSDYDozvitelcj7E5Hb
TDs070AasPN+kuioGby1N8Lsm9e4TlizSbjIQDDrOgnade+ASpWPrdnlqnnDc+LB1XXyMfwRGhgL
26hJQx7sNqdMao0flRvm51GW1lU0yO4RAlD/6tSR9xR0Gl7E4mCF9QBbmca3xJOhCAzLs/xguM50
Yt4KnStzewLB0LuaSQbB2+vx3cbVMrkcErFmF4XgwZrUpk0ruhpW5WNbSEebb9WOByePzbMzRCnC
8oF3BqMs8l3TriOvncUpJCUkrsaD8BfrQI3ndtM6VsFyNkHE9OzYAgRPHtZR6pHXiKA7xH1JV56o
+9l4iAj32OkEQmDJS2Fvm2V7KueoeyupjZbpSAo1P+Mq1F707FvLrUxHyTyHqrQg8jP9Prim7X+Z
pGW/GFZpEE/SDZe+hwtO5nNMlAMfOzqjfiS+vifBV9bPfulEbCdNvWYC/8jGmABP38VRm1R3rk2Q
7cLCmFle/dTnpsq+mDI3VyaYaNWT8BKrfF4jR9wh0YIkmaO/RZyerUY2JxulyN8VeY1umhobWSxR
znqMXpPUCvO1QZ2MmbYteFUuNFrD2nXu8B1Ujt5TyzvriqHBjnR0tU4y92Q1GWEUxPeuMrmkOoOg
R/pskNzL7WzGo7iYZAY8VOBK4YPDovP21lQlqyyb0j0G7/G+ciGgW50XnAk6/mGUjBmqmTADt++t
U0Rjd9vQzTpF9ZQetEl7wBp7HBpl3e1LUtZekxaROjU+bx02Qifsug62+KjaZUOLB6Id48tEjPsE
2vPKZsO1pqh2kfGN1wOyJDhCo3uQNRBgM+s9ShNC10CM84Io/JtRNCaTtBhVXNt8b2uj2JZGMe+F
Gy3+c/1cT0a2q6fSvWhLegczgw+s09DujJfIdXYF2XXsU/QVDl0Cd6unIZuvO2KfkCc/Er13Zsml
YYSo+sKt5x9xFXwRWt8pK9+X7KahkBE1YUaoCAGurFRLDog0m/VcLyo/Q8jHYsmXMAvrddSCjRVx
lhsvtMhZrduNtsxd3JUoENSAvt59y3pQ11ZGVxtrIxVBMHTd19me30Ywpm7cITohvGhYT3oKvpqI
9MCm1l5yQr8D1GCacEpE9l7M276KvhETB/qmDS9l9Wh6fYcwqNLbsInulR2EBzXohNCuvvtmWLW3
HeG0HnpqmMuuqyGBwOPnMZ/Mk7Qj9c1tiD6KssqFER8S/hVVLu3RIV7KCcJjx32BoWALp+M9WYjA
ZkBORr0Ls/GOIDT9Gw4XOD1GmdLQId+58cy91VuDfcH0m0wJnJf9eJNa9fJ5VpWQLk/TeaBxgVbs
GGAN0IzfE8a/dDUdCMYmHMQdNGbsPwn7oYOyO0WKOPaIaNMYRQzQStM0dZuBkpMUlXXdWf6TFyT+
j8Z3eQA5KiMGiQaiZitCIUWiZ0FZFHDbd5uC5YU+0zLTmIrOfyIe2Nj6RkWNUVgSX/FM6hvvuC9e
5U9nA1I/YYqQXtupcs2r2JAkXrdL3FDWKZaloYntNWEjVCfEnvTf45loydidwKKIZN6JoCYBLiHp
KcgMmtyBo8SdaGS7dcHLlPS7EMaRKeDKcxv2S8mrWwKoQ1k2QBp7tg6p4Zr7UhBmxt6ej4YbbmCJ
p0BnPIvETglFfQWf4tlNM2sT1Wz/Vk5Y3sgaTgUuoiOoqhiJTVEfraThRdrY/skOJU0B1MFn4PH0
CJZJzfvx+tIxthPKkaPvkm9InYAhjTCsb+9/hQgKDNUuZf971KSScj7ApSlfmgzQ5HqsLboEnj1c
DzPbHoNik1nPnLv3OuFiIhiWBKi01e69UUzGCWOUsfA2XULfOM2iEnpqFOq9ofmKWUgSlTu3+d7N
ZPO1iFpOIIr5RNaRGVVeN97IKBXfss7kV88TskH9YayPtczHm2RkvztDND7MSUc0aDlNLZEjnJcD
J/OhlJR9VR+WZFtNcbVnq0Zt33Wpqjd94g8JbG+6IjQvWQxgHTNfRwteOL2sjolvZhn3vzkbl7oI
yheaf9HeTGI6it58oeu6weeVaoLzeHfgms+Dudi1YNCcy7RqzSuJIOSiiGcmZLOkeeXPyen9vjMI
l9v1Mb+APWNYhxk534Ztg9mnhwLO9wvxOhoMj2mKUGbdpt1yTdKOKZvg//JbjVeFIrTMpUm5XqIb
zlYu8j2+5hZzNMl1Ch7eNUY5b1MQaL1zHe6A1jH5bN0vH5jG7n1gaQPoZe8R6oC+p1WltxlzZX4j
BW4mWcepjypf/mvRcrWEO3LDCltN554P2iLw0hJeumF+CwnBgOnbEs8TNdz3ocH2mtAwkEfvjSeI
3P6PWTg0lWKCS+2ZDwWiWLzQSsyBBuVW/9ha6LC1GPxTH/rFix8SCDuhdSuhVfMIO3bHbHJo/ZNf
iuIlUQ2isGo0bDgwfWqiGkh9cUdxwBnmSEQXcneQsANGu7DXeWRdUrfUX4km5i9k0MFPXcFl6hsi
PIekheSxPLBWk4S/ZXNWvsAR49Bj1/Qn2OH+saXlCuXRM5qXGVBWYNKRayv+na4hubP4vnay6Qn+
JG+ibMu33PQ0lkoCdpu+9k9my6/Ttj4P+8gT6HeTpmOR631b9+02KNzpbNMCP5cZiYb1gJZ1Pbuz
uEgh21zntuufZGrzzVsqH7nJWQ73pi1pfjAW9TZyuQsGLA+XspS0FHBrkPfhIe5bDbrjLlGz+RqY
MQmWrmeAKgxLvVdFLf1NQXWKApD1UTtcKegAxgP58P4PRT49CLp2uQdrkxgARV7bCZEZwZYejvyD
oZbkWU9R9nlu2H/3XOpkYPVi/NaAjH8ee2+JsmNDXtNKLYNtyLaCNyPcskvR9PlVOLTdQ2QO3m9l
7/g/omJEPSzBERJOxJvJiYZqN0k14ePF8njsdeU/xe4SetkAsyDwvKDBvUnL6I+E0/845v/OMb+k
Mn/onm9e2pf/gWSdmPSrl+z7//6f55co//6TeP3f/+J3kYMLK5nwc8e1rYWzLDXzg99FDkoAluL9
gRCd3FVvQU794QeC2Cw9Gv0EYPPKsEykFr9rHBzkD3LxFzFG1gwEkD/8A3/Q56EC0wQKZj6HWRTq
dffTPGjSoLCI7UFB4KPk2srpjGvtw9W4+Xe3/uOk/c+HQOQhoW0yzEFs/66f/6AhYIS0bA71fOh9
Gzaet4L1TjAil/T/ikv+P46yfIsPR8GGO44y5Cgqf26M52L83sp/Jk5gKPnziXwaT6qocCjdOUQ3
3yrzllj1an799VksH/Fx3uERILAg1BGxkGFqfR5fu8hLocF79WFwPOj/BkVNVBa3WVbtiezL/mbA
8qdf5v1oWjC7wlfhfp7tqlGOLQLE+jAVUKRNxgOrKFPjNg3KdPPrE/urQ6GyAGwjiUembv/55zEb
l+CTUXBioRc8jLED7zXuxdlsMY3/+lCfJ6vLNRR0g9meaM0RP/1MpF6YE0D++pDXeXeZpO2SnhET
sjfO46oKxmyPaXT6p/cGB7WELWyUTPgwPh8UHjk2NhhNhwmW8IosCMApNc0L3+CPX5/f5+n1cn4W
CDhcVKhkHPfTpUxso5zL0qgPgEoJG0p9MhOMyouPiYVkH5ZLdVNOYiS7Zg7PXTqOf3P8z/PO9+OD
wmOK7C1L0+clI3DK0EyC5uBlxrh1c07QrYbHX5/kchKfHwTb4sZc5BxMIq2f75dRFC2oSqs+tG0l
9moIyfYIlO1fpZY5H+YJK37fYfQuasT6vz70X90/NgwTFGasWWJZ/D+uJFo6owgsuz4gtJ1ovUhs
x7EB8FQZ5kLFDtjHTyE4yF8fVuBL+tNJI2d3OFmLl4IQn/VmTWqAmeur+iCNvH4rUH4MW/YC1paS
dj5IH84exkA2TmnH7rwxu93Y2PwENDv209gP+6is6y9WONsCFm0Tb+pW3UJp7uWGMnS41LUb0Rio
zY3djj38b9+/R/5K4aWyLn6Yli66ilV80bg9k7WCPqFXQijzGgh7oj90UM5xJYSAsZGmbBJDhWfy
ECcYbV2xcqO6oJfQUQmYqbowMRoxGobMsArlFJ7NynDZuqWYKExmIqEhAVoFWceNOoJxxu3SXXaQ
dR8haKabsAwJnlHVm0vQLTKDjKQbo+o3jZqx/1nNpZNY7eOYT87tgBF1b9Cu3hZkelLhYN9PO+Hs
CH1D+jqW4uzR3NuSejWSbzr2d7Zq+RD2gpdqjqdtMXvWxKijEWcfuOKhoC+4DoouvPXjfnjTLfiw
frZJQ3L9kdugxxRkRPP3IXf9b2GJiGtDdNv8iC5B2tC8xPe6Ho10zQS9/WFUDhEBY5y2XwjfJGVx
dFvntsfTQr4RFxgB17mgQ9euGMkCFJykiyPAbwEb0+LEBgBq0cfpDeWEQB+6ta1CfBwbV3HgfG8b
BMnD1Ha/xfP46MzWdw055mm0wB04nRF9axMIIObEzGdVhzxI+eB8X4phvQqHaj7EFStGzFx/pGMA
p70z+bxs5HvEo0pOmZbNl2i59cn+UReZ14Vsxgd/a8saXxRiZBAJZEgFud1vdF3WOwwV5h4ny0w/
2HWDtSZuaeuB1qUGT73gJJnXHfBucQBrdtdVFbd7YheSQyzj/j4p5u6+xe5Pm0kTtJjA+7pNA6Td
ZPEkJxQtoLaMotv2iEauPc3lJFNT+JuMMc7GYtt01Q5kRB5jJrQEqmMlhaMcEQrQ1RRCOGEC5vKR
eR/nXTKuALnJaysV8T4MAnMvnNp/9eHUALOxDP/KGjTjpSRkmr3YHKB80+O/nkKyuqZgctfQf5zT
VNbVZWUsfY1s7o+uLt0b37CNPap8+0aJLLgcHElCUUVphG0C7bnsTQav9B6PVd3iVehGeA14pf3X
FvEBFq6haFe20Rn7gknwDydOvB90ttt1A9HsoobA9BpqU2yDrnKgKML33hpNqxkF6eV6+PAxNmIe
f0sZ08brph/TbRggUxCNmA4ZqNJLmL3OA22DeetPHtAB25Bi76m83ks8Qd88y+9x4cjw1swq89AD
bnA3TjdS0auoZ0bDgONNJMBpKoLPrsCADy81gbDnvAv0NT4d+4H6n3EyXiZjO1ZCXgxWMN3YPT0h
/CreDfTf/GUK5XBbT9N4M8ZhezWSCHkpRippcDHyIilpwIhK9mtQB+59iYNk06ILA1VIk379f9g7
j+a4mSyL/iJMwJttWRS9p8gNgnLwiYRH4tfPAbtnRipWkPH1ehbdEd0hCQUgkea9e891dJML1PCA
yAc34Sk3s+6JFVjD3FsJ13U2SH8q7H6j/ttO3a5cJUWVAJsfsp/O7LYhROt2S+xqu2dooFuAu7qT
Srb7rhrBMrYybQnFSPBB6HZ9XowudpWkqpOHmcNevCLhj3/TiRJ3kwWY2FETzGf82vjBJCn8TOWq
PqdtqNaFE6X1OnMFaU9OmQUHn8PCDruAixggDg4Oacm7jjICVIjFdpjkKcAbl7StNQ0CKlyB3m2h
+DWHfxWUktpXO9T32taL+gj/G7lda7jkPIepYoNjUiC5EWwCvgO/6JjGhvy2ANlBbB5Bwx2zwCvU
85lwP88LAbkNv3C9zzsTwdn5e7lkrNLCX8GWp66VV8Z33GloDQqO7b/bAHGMasHtoRek1rVUV0zh
OpCaKIsgGCupQzveUgBDzAzwvNsOfs5JlDH8Dj/1N7YRL03Z5ZK0/SmqUoAd1r0yObZbxVJTz7v2
mUzpdsOxlz9qN5a2TbGRXb5X8sw2Nu9oCHHqtZPqaUjLct8FvdhTjIu26WzorNUL8aWmg6FPyzm/
6t8wA3cH33P9HAcUwXF+lOvL8p4zeTbDVUC/iUJVArGlMYL00s2xLxkacWMrGuVTWNHWM4l9NawD
vhuII1SdyzPYUpQBPIL2+qU9NoedkPxgfXLnkGA6997AqvftXaSR2ktR9l3J7UhfsJ9xqVvMsuey
4D2is2n225XRUMvC+KA9kE2AmlObePW+BQOh8qiA9oWV/HwvBuVLoapsXOc8gtlEfYJ8NmyHeHmI
2Pb3HESbgyW1/GkM8DgKUVOCrF1t64D0pP1JUTF+Lx0vi10b0PzUMsqoo0uh1zKomlQBndiEcvKN
RerEm1HWxHFIBjhmmvxsZkSv0W+CyrF18StjDT8g+Wgf2tydnxhI8Y2baPF1l/UBcRR0cF0b3Xja
SLH3G8v91nEW7VY9MZxk7gi24u9FHzPSppuuy+fbWdOHX4OItMdyAfbPXZcZG19z//2e8m6Kfiud
HzvZ1rjTbWlcUQrVHmJoKjeYwGgqFiawAWdKX0Tf+rdBNZD0gbP22eqV/Tw0mv2cOVJdsVK5u6RO
tI0i4XNDWZH2AUkyl3OsNXeg08XWbOBBQCSert6feucgyqla3782F/imEBULX5udE2RqkIQCHEH0
2PQqBuJuggh57tE+3YqAQNJSddZWgoelUqwTYIPNUZ31lNCuI9+ID6h96Li+j+XZNxD4abbPvsK3
z2dwiFdeK6ItHcwYdiKevhUln/xar7PyQCaD+y2IsGZ2EapaIJkshsQX8fpnvAp5W82XBg41PJaB
RTCjopznzMZSkUTtlKvpiklBHUyCoK+9Zp5J3XNALyJ2UU9kyDjkC82AymYgONTbc+D8wMQgBnvZ
NVBM/E0WdW+7L2kfjDNuaG+kpdDI6br2WpZu0PtQw+qKquQ0l16+gd4Rgc43yBlgbRoOQYNCYRXZ
Lb3vjqTItfBE9dAjQt31TDjsgegFn2P2765rOgZ0PNwBQwS1WzVCYa+Rj+1Q+pMTSbip9tDqOsU1
vIfsmG1YfMVAA0CPWz7NziGxcH6XZftDTbNPDhQgDVE86XRZtqWkKG0FqfH9XQdll2hb7HHUvwM3
pXY6pZW10uxFLohgZJsiDKfBjdSvyT3vzB1ttfU71YA2I2cSm9iARq4MXHxQ3YCIbyWIxLjVXTqh
ONUKysYR/+PBJrm3I9UiGS76ToPBxR+9ySy8axCX6yhsgf3uU92aD5jQCOEmI265o2svmcw1dc/k
yphTs133aXlvTnmzRbYitrNMtD1n+47gCEeZr0oon+BdUd9DVEInm6faOc3ymx5f/wpCZ4LPTfvl
19BNDFt8s3q64AXBFxfcRr4p9IqZ04nbZuf7zbitqMDuo4iWMUkU3Tm6vwZlaK17W3aICT1qAoq7
RN2YlCHXeeuWPzyh/aDcfz0BRNmZ01gu+7b6gEeQZKI5fRirZF43vhaHzFZ7HsSwRosuNjESHlrg
/jdNYHiBjVLRmG/raOOPC8LRoteo+x3yGkdCAfck94sf1WZXZRIvCnOL3gdBeyKJ1zlo4K2bFoi6
K2vooaNkyWvcD06YA5Ihu6cngJIo6epeYomZ8aaihVyVZnKeZK68ESKX37Q4FytW9RKHoKQPP3iI
Qw0UcpvCl/mhH9RMOHCQ70ET96GWgBzYEEpo39h+M99ksdvcSzBkW8Q/Hq3/qSk37uy628lronXU
kAlcANDeDXVONU4v0jP4A4reWkeoWDOX5+QjWrR0CidoNmMVWyPd4X7K8/NWfGd7b7xMHMcvjaDv
9HVjEqY+1Bl0HLPqx5toVtWhUzSYMi1pd52PGsosSwIVcsy3eBUb3uIGD+Z3O7HrcT1AGry2jS67
FU5X7XrcUC9uw/5qNRmJeaX8oHsBW+CdkUkpniPl6dGqhov5pC8rpGuUkm6Xn4STEP15kvr2ZVK2
3TMOeycEODaeFU48nJNOnP/o7AyVUWLwcqu+i24GT5Y/yxam4+Aa9ht91Ap7LXSEMwO2y0XTcQJ3
sQrR5xiEzVm3BTCjtM5+tIRXbpH2GLSw8LZeVZr6lQ+e/82sPIGeZyYyLC7mHTrNbJ0NpQKWkMx0
UROyo1e9NoFGUg0zWVZkITFaxJa5ns7rZbU9U5wqUJBbM8gdn+A5OW+wkz5oBS1p0VHQYpZfUbP1
ifGkZZ0b8rmxMouEC1o6CEa8Gls7O+N9FbjlQ5WX1UU3F+ahaRBvsJ8vkUbh0s2l35Ol1Y5aGXJc
crVfqisQi42g9Yze9Z86DZA6505/zylmXJlaGj3SCOkuWBSLG7aK2dtkWNVjVuf1N9kTvLaXGm7W
VRrVaQ5pYMH6guImm1nrxK1tGaNYv7cn8sYlRKBvxuxsMPtf8ejTvqeyezEFvji32Nn+EBJ8rwKW
unG1/GquBhgFraUV+w614ZqGcHWRD2Q2oZyW3RWFwPgqYzO0yuwia7e+79Ro/VykqQ3gQL7/nwD6
MFyzpgWrHv8tQomOGOmq7W9yfFQbG1/R09S0FgsXeCRDlNFtK63qO2WwVztrx1cEkfcz8Qj2zqPl
stHotuyzemZml5pFNtWSlBR4IEuQhjZ3jl605ToiRMVNen03DwNJUYx43N+VvU/AUJGSBpl9RbQr
9CFAxiFQ7/g73SdCXpgJV46lgdyIJ++Bow7rCeLk1yWBdiPj4NmeCPHWJfmw/Csmfpm6u7dT+6dX
+M31QFELQ1s0kGCH7o3nprLLgNSm/dB4PDGggHuQIxMZQAEPxYq8Z29I7Id0qOBn9CkfbBNg2Bbs
qVRCEJ5DKk9nJeYNZ5AnJuT8epKze1ajLl11Y+duZSGityrI53VBT4wyoZVduTD8sRprnGLMht0t
lJh6HQ+juBNwMtjhatSby+7Q+aq8jVLNvfFqPYZ74ppXRjJYv40YTGSVjXLb9CkhsdBLr4UzJReF
kzv3tkTViIh5BlD7kgkgGUne7kum2+0gSayeu0m/jaLeBbuJoaDq8mqvcK7fd8y4q37CGh8Eg75v
iv4h7kFyT57unllxpfbd2LwmgfDCjPj0NR3KicwnTwvJwR0u2Mp5Z6ONXquN65z9byV+9102pJui
k98tdP8vrd+R2kSCcJJ/r/Qs088N2Ufn/hhlG6olI4OtNR96U5vUmiBXJ7hKCyIX15WoCWO2mko6
u1pQRl77SYOyRjXFgygDgokcFeyTdDHyUMJ6QAH9a5rQF+sQqpCiWM2ZPo8/PIdTg1OY5ZpNFYek
GjHRTDjuoUwDY0HVhhqatDO+fwc+pvtUIqZb2xGMXHaFxYZyx4/WTBFx6Ir0y4z1VY1j2E/um8cR
ZCJ8zGn0W/ZQLpUzykRa7xs/7KAYz+3KsbZubVFIycHNxpERDoEW/U5cy7mB9GbetlPwu55s7Snm
03s0Ta9JNk5b1bTGmynatL6xpGc41V4Pph7oSi02AN0gsuNH+MKj9LEKatJ10lmgKXFjgaf19Wf9
1WoDt/JS6q9enRVnRjk8Qumcw9jldBt4FPI/r7ue6kxgFMZbA5zax2v89+XiptYN9EBcru2ch9qs
95wAgE3A9P2i3fLBVLNUzqFOmTbbcDou+nFleZ7/XdR253780b4X6VXU/wQfOq00Ej/wS6B3cf1Z
f0uIGQq7kXrc57d7qnpPII3rubaFB/VD98CzuhkvQIMuP7ZvHXgglzKmTvr5VU49VF7hUsPWaXwe
u2ttPCm9XdKDeW+HDCQEoC5WEwDgTH7x/k7dkI1wwLctSnOYFP9+f/nUCzhOI52lsYZLM1avrl+9
fn47X13jqKVE+JPp8rU2ISJq4nSave2XXznelpd/3PFg/AFAYig63ofBEWT+2JhdE0oWsMu4180z
ExYj4Tlj+i3RaLUgUdIXCimUGgu1Hwa+r1o7Hz89C1MydVS+v4Dzy1Frx3Yk8sEqgINtQObtICut
oZzWxLFlKH9kIDb/9LlyPTKViKZ28GIff3s1eytfYfoJS0GKt+2qW+BI3hfzycexaNFDBw5HfWfJ
QD76wIPY6AiLKOoQfizgKlmlazwFF15GQfPz2zlxJW6CKHBAH/iavKNhErRpOivlVyFTG6olrT0n
duhBNtnT59c58ZoMzzZ1DHNLm/g9KuqPXrcry9wKGq8K51TfNsWb5hfEsotFcHX2+ZU+EuR8cHV/
XOqo2chB1V2cG1iFhoDqnbDJRxy9f0XMYMkaxPyowD3vQfdFzaa2O3+jw958cdm3bruZeL+MFtDe
bDlLl41FFay0EXw5fiahsJFmFY/JfBkVbAbtWliIRSkZs7nqtoVJ5tGZNxTT1Vj1lLEUvt01Z22A
TW46f3GjUFWPPz9amRT3dT4AA+/K0dwMvVqzAtHzTNukew4I/bwyBv+O0Pr0rZx7SLtFQROlQImE
133nEX9E48o9uPiCUof2jFHLHDHxYxmxO+pcsvaq8k6O/uUccbosq7zetojEV3UKCD9qMgsd5lih
0RrgmmuZ1q8nu7JDGlzjpuvw6HGdbMM53rvIbbQMWQ6EZWK+3gTxuJ69eNqQP1QEPC0TBE4wt/p3
bxF2fT4CTow1Ez8/Cg7WLNb9pVv6x1iLyqGmDat4Lhlc98EIrANvfQrjrEEkTxDXGH5+wY+dX8vC
omw7OHggeBx3fvEkDMMoyyoM/A7qV1qV2xo4zIVryW4f+XF3kVB/eYDeFp9/fuUTny9tbX2hRSL1
+CC+aIhL1JLeFbgHlfo2uCSa1BR9HzCqZ78+v9SJm6TLy2zEgYf/HPfQaY6w6VS9CMuhoTSKoaOh
ZgNFHatJc3DbnGzrli4bdFeTyt3nFz9xn+yrCMoARsxDPraee6TbcPYUImyjKt3Xo3iIF6+3n6nm
H28D7GWSMjDwwmNwjvEhHATbGONoEWI5elZKjBvTn0DxF5b1j4cp2w0EUwijkGF88ItLKIp9PPQF
zcWe7G6X6ouVXY+j4+44ff78pw/Q1i1uzDRsCAzk8f39TcRpIYVd1NyWU1ohdl5R0UigsNsWS0zl
5xf7+AFyMbY2bA0culrHy1dNgzhx+5I70+yHxNKesaf9zCbrAUHgF3uQ5Vv+ewvCpdDnuNwac/67
G/uPb52giVQJjW4stsStRcEkqBxCt4phhpyHm6cwv9qNnr4i/B9kbMtHd7y82NIjWJkr1sZwlgfy
rVLGg9XkNWpft4CVaV58/jQ/jn1bZ+O9ELGBWtDy+fvVOdBWcN96eaj1/ZkqhtC2c1I79C8u83HD
uFwGjYy1ACbMY2XV4OtTSuZuHhKcshjCAZfJiRXx85v5OItwFUNnswHKwf1g0schMxGNYeRhY3Gs
5biHprT/7Qn3Nqs7umpkNVqq+mKWXHDoH0bJMnGgb3cgMxyjGQhKwAGQoKoKHHzsYxFwFhcyR2Ye
0KqbBZ2sVsFjXWGYIzQLNKik9q17+26q40NBM2lHfsjDrJz6DiEudAEp2Rws24J6MSGgjXEfAxPI
A45A54tff/LFLEFEdATwDB2/GPqSSUF5k2zfkb5MpoLsTJsodnz+Yk6OMnSVXmCAJv6w5SztmmUk
ropQdB6EtGoI9dx48L3uq13LqVdBAhiqSsATnGGPRrNXWELWgolokhbd7Cg5TK4+7T6/m1MzkMsW
APwCh3Ke3d9XmcEWTXGv5SgIcLQMHssUBkA09W3xHb3+P99Fc2ZEJsqSsTCSjk+oeN9dqI58oiqP
fi7Prknd27KJnj+/q1MfzwJG9pDkcjA4HsZTS4rQXPHxFKnj3+TKoM4eOT+puFa7Jnb8H2MBYQcV
S/vFUnVqzkNIarOvRjL44dBD/URPLHvIwxg4aSc0HBTxTmZPMpvv+RC/uNqpAc+xx2Swc7L8oBYE
hoCODOtyKGOZ70vX8W5HE1fm5w/zA68F/pHOQ/RMliMLmfPRvBr05tQ71N1Cvx/1pzTRqx3xRIhS
MmsoKNB742Nm+NW6r7rhulYiv3IKz9onJGhvZ0xsdJcI7DBqPOb4M2jK9n321enWOPnkPU7YfJmw
zI43Pk3U6s5Ylqw2k02tsKvfjC4AQG/5LdHf/jNxSXLtkUdzUQgrfcrHoT1EQfWa0Nad3cV9OZb2
gSpSsHKVJsHich+fP8gT3xqNLbagnmfBFjheEAuP35BObLdHMf+Us9HtdImiKipoYqu3z6914nEY
70JDZ1Gssuv++7s2oU/ooPzZ2kfGT52Cw6Z09LdWEWjikdiKScvtvthhnPjoDIOyPTsaVqwPW+yh
KdTUxBW3lznfkjSGxkHrnmJmM68s3JmPdTPWG1qyQ/jP7xVGWbBUpNggHs+UNgkIaeO3VchZ7QqP
H6G7TXGLLJm0tzx+UmSC/vN9GxdcygBA2AOmsqOn69JyaO26CjU9rteweGlNCqu7HYEehKXLQfrz
Ozyx5nA99lBLTDSbxaMvsIwaO0krHu00xEi47Wbc6HVVbyxkcf/JpQLc777LhhFc19+3Jj077UrB
Ec0IKnEDdBm3pte552lvGF9MX6fGqMUHtfgQFsnz0Rgd0MWImcpA2Jb9A1SPX45TP5DR0KzSuL71
MbX/48MREximCxMQGTry4w/QmCi4m+0swtmcEfp4413TNxtJHeCLC52YmNEWwyGzqDxj41je5x+b
bTnj1tMjjoBF7DzH07T35/rhiyFh8W8cbej/usbRmAg08vlsm2ug6jVWEFzlGYga587sXSAyxdjy
FHWsUWMjoY1l8WM1NnBuHRo2PQhXin89kiiR0u6xyS3SLMMA2IAbOrW65ozMreTWDIj4EwqHViR1
sS9bFBqcbtUaLVx0SBwftbY+YVY0FpoRVFvjbg5KFBfCgKdRlW2z1wfCWt6BY9eAW9kdVos5HC74
dTJ5yZ6wF3UoMIxeDVZSXg5aM4R+HjykVd6uecL5rqRWROo4aqEQhRLhKOMst1GfOCgG8/Gisq0U
ylHW7z5/vKfGJqu4ZzBOrIVS+vcbBH1Sd8plbKIVfKun7s1P5LVtaTurrDDVQiv//HqnvnD23Gz2
KN+jjD+6npMoQRa2EiHo7qXmdDWa+WHsxBeb14/+goV4aloU/qgRuMHRZQCOJFYzBQTw6fmtlGmD
cMj/UeePdKIu6Uqve8d8jRvxxZHpOL7TZgvBdanS8kQ5XB9vyAIJBkuODjWRSs3fElL4Vn5ja7eo
3fViS+OcM07tlPAI8qHeFIRT0OESTOS1ORwcpL5ONmoHS++1ndHZYh2hDmPAyT3GD9pYQfbdMQCS
jxN6IJA08SboDBLsoeZvYiO6N3N8/P7s1Cucj3aOqxB7XsbvAf0gfyH8Nm7I8wRmPWHBw9HF/1/O
zjppu2zrwS54qi3nq1dx6o27AGih3FJmsJYsqT/niFRvnVLkZCECEFN0l1Zq1Pe50Q1fjKxTc9Ef
1zneGA1yIOYS7FXoOws5mXrDmmiP7efD99TWxoXWR1+BfhtU0r9vRq9NWdVgm0KaTv5aLZZFHc58
DoE/adUXprOTF6NeyZklwN12fIhwGyYjUfCtaIlLmAjgBGg/O2RgCCq79IvHd2oicCn7s1pg2fuw
+S2UstwMKUXYZM0tQDTyjSP1XBXNry7FvJW4XzxJ49S48DglcYDFS+Ud92nmVhY8X/Zp2VRAE5lN
48yfm/FgUovfVJaWhLascXzLwLpL9SgJVYyyOa5Sov9iP98Fla0ePXwBaLSjGGTV52/65M9jQqSM
RP02OJ4YxylqtTxhmzPW8pcVxE+JOdwXFs3k/+A6ns9JkePv4pv5e0S1g6YSiSgn5CQqqeZ0b0Jp
46bqmy8W0lPb1gVtS4ll+S/v6Du0xgAZNwKssEM4nrTo3EZx21QOYHjjmnS0h7IIvihUnBrAf1zy
eMOazXaBUEcvQ3KD9sQ2/ArsAoWre9ZUwxdnDuvU+F1A3NSiwW1TS/r7OXZLuME8eSXTjKleu0T+
hglI4mph+GvKt/F64QMQCqSLbVovgmPNWORZDcof0EbPpHglz1EN1ao3kS1jbcFskHTNPam+4H9F
URA+0/q7yRv9J99h1gRo1aKa0NqJ6JultFmZv/XRRNMOD2GS+mtW9Vd4EuUW2v+v1B/GVamsdNuX
yryXKC9Z7E3ni9F06ikEi1OXEgfj9rgBWxSyJYtXsvOT82HuZmPV6fYz5vFzaqaELqvxiwueesWL
PQPHoEex9fixy8yIVc1mKExrmAOD7Bu5e6cTWDFwnVW7CFM//2BO3CLr+uI2hsPOzv3oTBK4ygc5
YhUhlEZ7mzTKvRQJOzSVVe1zBqeZRKrk++fXfNdrHG1C0d6YPFQ+UY62R6Mr1lRBZ7YoQ7ecg3Uy
9u69nRjDWljKOU+qoniCwQb7wEay9a5T9hPwD2U/A8RCS7TXRnB+Xzx640QRE1UCVZ9l1vY+nH3j
yZllNPBFt3OEns2K7R2qNGvXRk27h7lsrRgpyKccMIgkJK0VPRnk1/ZXKGLrxFy5+MKRY8DMptFm
/v3t6Ugj3LJLS3zLGRiVd3FzaoG+QGApnHNel3foMiSJ+CyglBUUkQ2tpI8KT2S4Ga1R3ykVgZt4
58t3s/6NbbHYJyNDCtsEaclT4OzR5f5SKDKZsoet7WbJFsGgvWk00YWJW3vbKem9jR+fm1Vu3eeW
mK75bHGiKD6E58Tvg7NC9150oGBfHMxP3T8dMDzo3tKhPy4cUW7LirazuP8in+7BlCJIc6f0OTW0
ZPf5SDx1KdSXaA1wo7NsHG1AaDrBI1+WJSCkyUbW/mLpmWR+FiRF/Pz5td7f2/GoX6q/FqdXlsHj
47/Q3KIfy5TDwQCMZ0UMlcLxMdvGPpLVAGO1MM6NSo9uuskcr0xTi2/NToNbYhVyLwU4l/cf9P/4
hi/wDSYlLKbB/0UJnMA3gO96Ez//JDj8+y/9m+DgOUsWxdIY1jlOUhxgIv8fgkPwX+w+0B3Rmlvq
/Ay5/8sfpMPLyA7sZev+J8HB8v6LvQTHK4qttsdqaP0TgsPxKkLOhUuZnNALHRnNBxO/0HHllkkO
+CA2nBmCuS0u6Oeqx5IQJtTOzlcYhOUz+XNkc0EPFjMrFr/8Y0UZ7GNCYpqrwmliu6trAwYfd0z3
f7yEm3/9e39SI45PoVwFVe5i4neYGj8sjh2duqF2kilUHZaH0Zzq27xqiILwbLnVtbFYGS0lLrvO
tLt29KbHzy9PBsSH26RMaWJFIkWRd3x8DAYZDe1GeV1IBE4xwT9N5l3hJfghEUoQo500Z0Sas1og
hoZiKoFkLhDKlJ1SS5f1Ho6nEa8qaHscmomwJQkLX4I/j/lOmTl/FgtIWa6tQpuH1SRxCGInbGHc
oLtVv6ks5HdW5gNyxZMQJjZGyMhza4ibTv0NS6HaL/TndCVjQ1HxqJnbVhRc51CvJ+MBTZ68aiAY
PuB3xlZlYRgf3Va++WWZ6oi9B/U7abmjQRTDU9ETQNdmk7iIDHzL2HMICh4rU1wkkU75O1XyhbAR
/uI4pcFFC65ny448ugsGoMSboZV6deBRiZJ8K52/GzH5WnuCuLlN3WsxsONReVCVAo4zVcm1gzyb
skyAyAwrCSJ7L21uq2IgMmlYlNpZR5x466IMmq0ppRBRjhtyOZqzvDfrW3Bb0RmSnGnv1kZxqJEZ
bQ2rG54yOHpPdTa797wdc4siBoS1Ca+3d6f6h6pIEok9dh7pKNQjDv7qhZg/3kzNfBu6i8feG+ES
WZ0ILlwiEUOi1tXvEZPMo97wV5TetM8uKu2LaIrtA8Yd46GHMfqcdaO4mKoquChLdlgb4nbtbGWX
SPhXbj/rsBgKuW1lVKxHMZhbiKj5nXQTJO9QrvFCV80PO+J/xjkCQSLhqT2GsENRnNt9TYQYn7Ov
dWrvpn1xqHxervLkSLBRBuCttSBdkHRFrojEmUblAv6vB3t0rxlRfhcj4YO1mtRXhGY4II3j4Veu
E6YkcNtRO9N1Jg2jek2nenii3TFfBvXAP2Ulai9JjVwZE3ccjJq8ivLlY9dq51qL9QFJJ/fi2lmw
6oKkXA94CsrVkIjhF+EGak/esH0d27yJCPHYyhZSbUrofyV8op7nmkMP84rAWRMnlcHanSCA4a+I
ojtXj+ofNJ/nSzEm6tFkId0DxsWJ1NT5DpRq91PPXOOBkLxxQ1IOqDmNZ9vGvEfCl3nUyxAtBEg6
RdTlbsbsEMN25E3YLkJyktbVbyKq5EsRe9FZ0eYvo9b2cOCb8jr2f8NNhJ6VaqWbcEAuTVKInVcc
x/US0tk/xSZjE99Fnu5NrFEb2y5e7cgbQL96kigFh0G5EK2mhBeFq7LbRbUtryV85+ugG53rXkXG
g0hb+dI7bvWKc4XR6uGRbcyoerWQk59nmLLvJ3/hN2sZ2CxfjNVbDFkKmZ+lNGTZQb55vzk/4SNo
q1a7m5QU3WZKs/mSKm37LDmG36mqM0Bac6QA2WtgNS2ycu2Oehp2lelhRoymdI9VkmyHwtV5TWXe
ewuDvP5mpLj9sA17iMdNq77qXNyd5jPFVyN3X4ZKjN2PtOntlxRbRh6HgzULG5nlrIktQruxv1T1
GDlnY2z19h3GTCx69qQeDZzB68rtE7EynAnZYD27O8ahA/GSojzw6KljaurFVV+BecYeFJzZWn7T
6a12W+nFneb0V3Ypyx0GEud2hnm3cjzQvY0TgwCOruBdQg2nxhfG5pwcSjN/bGlcbklt67e9rb6n
PkB5e+h/5olZHjQR/yBhIjkkM/0gYfTyoiImbls4wwQZN+5+GpjOtnHanuNcinaojQ0su3mwMVQD
HMFzYkQMcXplz/DTQeIOat3gJXQz/0zLZb1Ji1rMKxlE9QHdDSplbQJnqgOJKdOcmmRZFL9jOYMe
p4YIerm11Zq86jslvHRrllpwnmHhv6REP2Jb4YPF92mcpwqdeh/4MXkpvEjTGPSDDoE5LD3chbKz
/G01auYaeiyfpVg4BzpCRVMr9fPRSYOwj417q4yCHcWV9sIQgVVsTZ79j1aOo7t2OJaiXCRWNeLg
0Q0hfj6CNIwR3n4ETrMFtCpMvUfDGRhUSQNCuJ3IrTcqan9Y1djvYydmzWMB93fYyYZVQlr6NhNu
fUd71sDXlrc7VFsJUXG5BjbOn159EllWo5VP52Ja/AVFnr9gVai8tTu5ag/rHUwoHW1/Q4QF6pLB
ttghWvSCDBPqbO9Y3oE6o6lvFJMIjuhcmu1K8l1d2kUrz8HiY343dfOAZqLdWEnCV9Vu4eLVK0HB
ZQUM2DmTbjM9zqOVrZvFwEwTKhyLjTVoFRxfd36The5QbSvnB5nJCk9uG4TT7ASHso/UTZpb82aI
+vosL6W9ds0Cy4ebD6tiJDCxtS371mspMVfRojqIG+yQuvR3tTbQY1kSB0bHIgc5sLJvnhvjldXV
SPitwpoVDNqOzNoKoWx5WxgaazmEmEOaWjCJUU5uYi0OnkBtGPsiZcS7VpUc/GEiym+M7MuKyh/s
61G7IyvCvzLqWZ0tGV8FIQcBsIPabcpfdlxfYT/wLoIJ3fvaHkeIvQW6MUQ6SX4p29k4SLotNcnK
bnNezJH10meesleeMyLPNQlRP08UUPZ1ZmT6L4mdqCDWWbjTRs/04TDXdbCWpdbse6NwXsaiT8k7
yNPswu7i9kdpZS4JAq090IEzBOGdLxiCdNBReYuPrhKoULRJ5DsvcYbvVWZU664Yl32BrG/x3RQb
xPqi2mLST8/J6UW3iz0x8xh+ZXJAP99cBHVb2ShsKRwS/+qkuBQJn15nWJ+vlRml4ZwI+d2UoA1B
xKt8eTdw+5YtUpZZrENLyETmtOIiMMlC8IXsfvow4CW9Eo7QOz1vWXBQ/6rfnKOhRSotupN0HfgG
SM+48CJdRpvYWWiBSVrC2JbO9YwH/U6rpOR2UyvZ9eQh4jOkE7Qu2eQl5GlP8vske7pbCWILnL+s
zsiiSX1933zVqWk84Bhtf0ooPv7GdBLuzyiXatKklLllG+reT2Q4tvhv6xp3+2DnmywxiwOFe3FR
YP8Obb0lSqQamYybLM5WpYR6vUmclsU9KCvtTsRB/5SaVnwdl+w0hOPKq3h+/xVB/c0iaDZdRXW9
TMrkUvzuAAiRieCxPQnq2rhhGhQ/LelyCtaII2LVJqLFjZmIVmXDz1mM5/vE0PqnJIVJuTJqzRcg
khu1j0tXnesDMSBJP4ybeDGFVWy2XtCZlutWLdtf3EMvXjcVMAm4BQo7CK/KSf3GaJDupzmqSDVJ
A3i1I1gL5UQ6WQfSKqBnBfUXagcKax8OEeh7/EVvCGJiadr9Xd1xeg0ppcKcMuG8W5O/KrNtXQZq
V5H6sJEpitggsbzfhBcNIcSSeKcZ5hvi+GfACBZNPpYpzRnjTY8i+nJoTPtlkLia09nKz3W9tF5N
NHYTFh4phnMMxD7kWiPfkIUJYAPu677kFYZxAOlGNxIce1PJPqEogwsWbqi/k6XO0Q2MJAqim62W
N2tCDrob4sa91wBNklET6xDNhG2T8N0ytkGSsd8YK1LsegYOYFL2ShxS2A/GOX9oJkpRrBpgIBgM
lz3SJOb6VqCX5V3icdzYwFG+kaXermwiyu9tELr/zd55LdeNZOn6iVABk3C3wPZ704qkKN4gKAdv
Eh759POB1X1GoiqkqHM90RET6lGLIExmrvWv32zNOWquc6gNl2zAjXgktQZNYjI+xWRiwW63zeKl
tYjcOfWFcgkzjaaYh5SSp6DNXT9v7ThP9HBorKhAPGtlA3pxXJW0Tmy4ocp8qiPccjppodN2HVXE
R0Jp002k1v9HRCEVbXRUbk4YpRDtRvhInnlmstQh3bTmhl2QWqrVk6zC6j/hjuPKJw6ajx8DmpkS
yp3xHtEWiivaGB01GQVg54nuo47uO0Tga4edTWZKWPo4084ojlERiubzkg35rk37dD+MnGp6PqkD
XkwUcknlDE99Wry4LXU7eTDNJ28qrHTTLmtMxfrs/FVHelKKh89i1+4R1VpHgwV7l1tjuo/g0VUh
UdPFsSek4HUmtOVVLAZnslmYZlDNvE+r99pbOgDvskgd5fxEs+UUVfexIlTmI8mu1lGf+/qlX2vq
KvGLMCGeYgqFKmbMuYtp2BkqLo/YYFAtVq4VcGa5d6XVDk+6QRIQVrb1q9212AQLKtvGoGvZtJVi
5fW10X00Mxp5KYvmGpdrdLCRmOvXPqq8jeX1VKSREKgZa1uxRjqSAQwU6Pxlryv5pa5mnkqpyN6h
Kg/sVKgD80t5ko0EDTEZZASzv25dSYmbjr24NN6lKZ+hoHoXY6K9xanJv8RG057Sxa0uTsyDY9az
7CvdtMPaq8YnRlC0VdOS7r2182ZC1FyXOX25m9KeMAxS3z1Wqdqmnmo+5U55O85u8xnbbtoc3Y4J
9hR4CUwJk0HBD620tWBZf+tZrBEoHsSdNqyZt1wWayKwcV2qM50sB0k+bTD9b15sOeP31pYZWmpm
JdthTOlI16YhnXUap2QW8k6vWt5MnXEEvO2BTRVXWATG5kIuNI60a7FBP22hDwbQ4u4KdzmrGHed
eQTVePsMsWlkA48rrJ/mQVuuREynaXWLvHvrtCuLzwcNUBE6WHgQq0P3gWtHeigEB1nBfOkyRA6D
8bUt02KNxwAd1g0Benj0K4CiUiyM8oZGfEqS761HRIxiuVXhvMQcAtPqnebFoAZ6M+f3soF6gqd3
7q9eVzYMQrxq5IC9B8YivOJ40gvSlLgj5qUmzbNiCTLMBvqIiOeipdbJ6hnwzyftmDYSwGTaVph1
hVhB4v+V41/EQaO3AA4Ms8DaQWJwT5HPyhIAFHY/yS94VZJopffLY4XvQBCZbXHU1qYWJRHbGp0U
huJrh7w6ywdeh5dWWKmUn1SaNNlSscVZBpd/65td7IKu5hzMrKoTQR6Q9k3X1VqmuBqvryg5pGQH
seXvT5Mkil0jaMmr2ojudaOoLk1t5hukAd7F6zv5XBtgF7jGg2VAm6wuE1T+m1FQ4WLK3LO5a2b3
Fa1Q/TLHrbdpdelfJpd9tp4SHmFik+ynY+KGpjofDHRKJS20Q1nUY019Wb9n2a7bMIKRjri5AiTI
T11qjbzln/u9XM4pNIaHZEUbJ5mtpwCF8Yvh8UkINXRfB4l/dWJE8Y1LbtvOaNfvB+cIrCDAfwqH
24lW1OGtrPB8kCmsNvL7chrp3knz2TjQcB7ezgajB3obvDi5cdny6fcBr0bNFjdurNkcFZPvXaTP
E5ZLbj5MLTbNfonJlENK31HQhoSJkxkPjYM5TDrwIn2AueNS6NUFk7/qYpsUD+X6DhLqpU8dZLNm
16qaomgy2M2IW3laJsqTJgcX0evCfCABj82WfewZa6DmE9IF3M0Z7IRvUMzYAxZ5+Ouc4iqZMPkG
yOjYTZqQ8jLfrXmBO1nP+Mr2FJklCxtRvwX6VBcsikUf6xdyxAEGJ7A6K40o0XoKFgvXzY0JqLfl
sOfjedtmZ5enQcdOPFot4o90UwuRO2a51nEkxZ3m1ppvW5rlx8alWtLURKs4diMPU2d7S0bWUU6S
y0fdGRtqa4tvTdOj+3kCpzCLuUyPlbDlaWoKwJt1q0QoY27b3MpvsFHEedFJbdAGzNUs6XM+JLSq
rMkWVBAy/BoOY6DwkO7wzV0jv3p+dYKpchZu6lP8YbrefMarh5JDdqo4ZhWLLG3S5AaHtZdxtHlq
5EJaR9NLWCpjzjPoC50qdJzkM1VJJoJhxiM9wKrBp24Z7PQaO3Y22Ykshqe6jqzQX8ZlMw688MVD
t5CbQJlv//VtYS5lxhGjEZX0xZ44UxsOlWOl+vkWW8BlVyZZSipEzYJOhTzFrs0mw4wnvkHMwmhb
2am6ahxFJTy5Cw6d+fdBqNohoILG4Q2gc0ngEVgM3k9rFbDMklKYbK9hTwPHHU/kHGYI+z3xibiN
BMcEEPCeRnY72LiUBzlRJqc+6v/ELzPe0xxWHgUSKkRwSCAxhl5HDT9QEofaqkucyPuDSAGHQ1Tq
9o3r9OY27vEoWwRbW+JTfPexPt+6Mcq8rLMxpKE4iKOK3qWy5KmzxuVcTY18HgYhbnAPnB/ZEtQf
hnm/jJXXX3aV60MLhcD/i+MuA77cHTWrO2jpGlTWkbOwNPRiupElN9pAYwJaQSFqjDRFmMpRWgFl
rFlZ9WvWAK2+vezfTw3eRvY/z0YsqHMCChB0IKKz39X7MfYSpp/G3aEsLfKCoLWu3gmDvKhJG/dt
OyQbune1XZhFUugMgGxZw9t1k7WTQxRwn018VKhu2Q0iu/7apIV75zkxphg9hp2R1tYykL39RwL/
r52Kgf33+vZdKMS/SFZak6ChONb6Q6yZ8hTBNlmRe6pHmckWB8F1EmFJbzOyJ750C6dINVX0hUNv
/2f28n+jyj+NKuGns+R+M6pMv8CJf61+GlX+/Y/+M6r0zL8YlhGayygSlgIah/83qvT1vwSzFx9d
7Rp/LBwmbv91m/f+gjPOsIvwNKj5iIn+123e+AvnS5RskDPZEDzsFf6F2/x7BQZW9jhkC7AEhuJk
vL+f9suZUExZdMa5oqDpSWSLy3Q+tPbaqxCFAFWvThZ8kbLc0KbHdEY3RxObNBRnfmO/Yj9amQbI
HqoSLGszRyFZRYopsnNsrgGcQAs5QH/VMZf74Un/wzxy3ft+WNkEjfEL499BDw9/gF3n573R6wYC
EFvVnmnu5nsjqbTQniiOltHVOWCWqPgDRcXyVurHz5dEPYtKyKaOW3O+3/EVtLTAxHGo4zMp4Bfi
RnCHK0aI/3s43bFkqCQ1eTBaHbwIUYGcw0GMrjj4zjBGOzvGT+tI0vNqNDmi+cVUNBrU3uyxdfSq
FEy/rgiRQYpkPBSm0au9iKr6nHWrFjkmi2UMjDxqnUC2xNOGNj4b1CpTxbPWnHG+Jy8RhMlQ9iu+
l3VHaJrHpfwkGuNt60ZZuZlsTNER62udFzq8ERmWfTcMO9iBCxmgTARbxnaYRlmFjYEsM54FnQZC
6B5Hx9arc2wm43SJtzRxU7w11t9cT0TBwCCJzQeDNoWwTbfj3nCTkp+0BC/Z2Jn4NWaslmdsis3m
kzlO2B85pC8lN3NS8hv5i20dFzI758eWETPkYKlxRphZYnQQYBB0XEMbdzUyHheneTYpCpNT33Z8
fzGhQaFm4uRzr9qKws8qzPlj4xmE0Fpmz5NLO+wBAJHruT62DePWcMR8QuE4BbITFM3I3zYDTttb
vFcZmM5KAiZouBElaxPeOUGN4yRYHxh4uro62K9kwkZPw+L4T+NASh4VLllyG4kqDqIuP1rvJA+J
KFTegiP6vntOmDI2B6GI6tnyHK0htNM1KSUlx5Wpoc1R8mFRNa91XI05zhD1iuSk1lfirg/HxyeM
94fN1tmX2mIwwOg1FyuScbpKiIC90zwd0B4HDQIKQdg82vfUQBFIKBnVPOMh/OQQwLibejSLLbOx
eFMQzbhiw/PyQEnRX2uE3rlhmWH8SM00MNzKevtqWWLnSRtd43oam+IWN8/41ZzoE4igFV6YmpX7
WsX5+LGxyHgDeOCTTSbKkXEaey9MMvRdYYlbNPl+s2ODCxHj9aTB1e/vTCKznY09unw2GG7xeKe0
dNobgtpsmF92rFUwFQdpGbgBCi9R1ibjiyTlsJx5d6nViOn7ki1D84k/ltl3qODzfVrqNEIObKmw
jvlGOurwIUxq33hgzs/rKXJCOQMtmni3gDtFyaivbj7xZFhc5AGxKPOmnqJdp5Mx+ky27nwPNYKF
oCmXB5yacFz3OfXs2Waa1QTR3LWHeMzAbrLInG8xxpGHAbu++WJhbB3jSTtwFdLAMoWmsdP8LVQN
ngtRIPTXA16lZ9JyzPYhV0rTnvBOV/LSm63W3i4zc4JdsVhsv6qcFv8xFXqZ30djBogJZC/DaLSs
oyIwaQzUUvIsW+bIKfFSE+2n78c8iAa09hAVHrwJwa6CJaSE6hG+fcj5rPHisNRlHTvjuij6lgYm
mCegOzbz2nxIB40puGd4ifM8F95g3mQR5Q+ggJHXX1xrMq4Tx8uIEVxjswItj7MZ39a4zV5aowUY
DDAw7b9akdfnH1t2CAMH9kjZ7U1dVpXjBXOsRf7WLXB53Zo5DNcABDc7dZKkWtqJ1rjOiB2cP3pD
JPNvtluZpgzEImMsWPXRNG9Kzh8l6S7A9o5RZZIMhszX0fVjYlqqDbBEwAJdQ13DWF3RZ6axd11B
gnu2xyFa7WE/uMi0ppB85+ERYoS2pURNiO9putAa4uRoFX4E5wFPt6BM4b8alrFg4++W9gEbcGdV
tWRSSz/GiRi6nWhsp8oAshdShQviPpvG0586kjFDq9RftGokJonA5CBfKgxVk2n2Dngpxp+LLnK/
zTE5EsQJVTd4h12GqZXLNi/a+Q4jrvjFtsZqW3JIbZi8WPckw1UvhkjKnVnpcYS+uyQ7hDCsWz/G
wNZtcpxVMYAvrtImLh7NrHMDX+/6ndJ6XK7GGbkQjq94YE7NzVio8mIziN0OIEp3bOvNS+YPyYdR
FLeTq8/ZvpU4+8kFAzY9q6v9SBLgh7hzike0mF28a/uKIQwHGBGcUpFD6Oc7OD1ElWNssQJOLtve
aNUPHDrNc2WXTbLJVFftvFSvPyYwl3i0GLCRSGMPVeggwLxuHIZpcTqW+I+63fe0JemroJk5mKtU
F8t78xozVFdsEsIvsZBcKAc2XWuOZ9mV9d4r5IIhT2HVx9WldRfbxl0W1c1eh2W5wVCueQY4aSZO
qdE5VnABxu1SusO17EX0wW8SZ691KsfdDxI2zjDKg+LpONda0sszG/ZyQNuwHCfN8OEp5xO51C3m
qMDcoRyWDFyscx7GdFRfdb3Izr7nq3Nbtf6fMl3etYuURNA2V0Y8LC0Uxu9LoqWMRe+3vTiBmHGG
EY/BEcNnyz5XzWsk1pqJZIVaOfJnXctYpL+vyeDxvSuQUMnyH4PdEGO193RmWZeWR3oBqEbftIe8
guKgTxanoNDoT5g01mfCpds/XPUd/43bxmQEBilcO2Jm0HD/XAmKSCVuMtn+SYJVfIKCws7U9CZF
zu/v7h1d9e06NGQo7ik3TaS4P19nTGBIdH4cnUS+ljiu3nJorHC3PUfsWP/+YlDeafup0OEsvmtc
DTYRLaYKPXnF5G/rFZYkqLIItXTwt7+/1K+VNFxFEHOaAR3u9XtTGEkgd4O1OZ6OBEVeVyvcZSOw
YFjS1+duVQD86+sZNEIGnwlxOfZ7JQWqc/aNorRPak6ip7/PwIoEmzS0q45yqEsxqfvD4/z1G/Fs
DP7Qi6xpLvZ7LUFdCanPBdOqYUhXZzoAq9mY/mTF8Y9XgTbt4/2wsjHfvbQiMqcqSjvnRPosVnsp
IKTr/VGm8E9XoaH0sO/x4bm+X2VOb5nS1rgXhubexklBbgGW/z/eEtFoFoxSup2VXvrz157LUgLz
IakxI2ByyO28k3GB2Lldot647pt5VH9o6X7dPtjTWczcFuJiLvvzJYk8jpapcMRJqyPn2QBSPil9
pBQZEMNtK5B8M3A6xeb1+w/y14UNB923YPLpaPx/+SCxNkl11eAeng8srqhmm+od0h9Vxuzk95f6
h1vk44BWTw2O9uL9XuXCVOJSpQnuuyKNpVGfVddDexN8MPnawc3rV/P7i/7T/SE/85Ae2/9gjzQy
jbISwuZOhUOWUVUK61joXrKn0fnjQnuTtf/cJPugE4h2hOu73q8rLfFaT2c5n1TbARVnRmkjaHb1
4r4ZVXtdQ5CsoH9QJs8Tdd1ErdVdjxJGzE4wHKa5qO1XBmTdV4RdFlWnqork1sud5k9OHL/ue4yL
LfRw7OYOAM26zn5AV6vUnlJoIHzhpcWF0ojhwhr42QWYqPCpZT5l/e/fxFu23vungwkRUn0fJrP3
3u4oLsBLIo6Yk+Zp1LqzZ9E/4DYKW6U1OLGIVF2/9yw1ruVQyE8A7MrYWKk/38vOlAV2xINaw+SZ
VfXMjZPN73/Bf3om7JRvvpe8u/cSKF3CQSYS0z6VyqPo1u3sxYg164SRVpWC2Ot/gnF++TYdYg5Z
DUA5fKKQ7X5+CZIAeYp+bNpJ18RZnNl8Fiyy4jOdG7rx39/dP10M3Ag7MsyZfvV79RRhf7Ek5WFG
33+bVbAp4RjQ5dh6Q5f0+4v9sk1zZ96qodZRG7CdvStLylwzmi7SF0I6bBrLOO35sliIdIm/v5D5
Dio2cX0gd5Wz2+bmcIB49yETQ5LOTuNOHOBt0t3q9HBDqHldj0QcpW13brIRJETEjCeTKSkJpWtc
qw1ksR6DtZzvkzQHJ9AmmqWwMxiZK7dtD7rmAGWBelk7HSM12nNJevH+LTuor6Culf92I36zGcLo
gXMNS5j3lUhKKELjEph9MhXM9An3xzMz+nQf60Rh/v6h/fKhcym+AYGXJpDeL/4jTEzMfpwZXLb4
5TIMzLh/3Dn8LR5e9XkNtPkTfrieXj8sfdxH2Q9J0OP/ksz+y1uqVEnCQmuLkyNn8Q3HmfHUish/
egNEHBf34Y1UBTnu82z+4QAw338igisj5XIsrmxC5bRXY4of9jpRRH0qsFw4GXCISwXtz3MwlVgY
KVkmKoLI+wxNKRebse6M7tqPa1ag1cbpwewXGAv4YC/3+lCCIqp8xWskdqfU9UPLn9/mf23pdBn8
QSO9dQkwrfhJxHkdfCIaMoBLwp/u7KxTT4gaOe40DoP90rfkhYzt0nQBc9P51p5moLEuysH9coCj
KEjlGK86OJwVrvDFztsNQebl3QTacN06vbafCZO6xaROU3sSBXIolz3MXt2FcIr9fqZjpO/aA/Fq
JNdf+lzAy3ULvD42NVJPGmiVnmDsGCHjfJuwr8FIJHznQWIxDPatj5C8LZVVNWsG30QFockojK9T
S4zSJdNg94T+3KxgKPTK5HZcZv7skt9eHx3CPpAutkSJHDDQoimppOJvlXT/U3wS7Q3y4hdrXSMb
1lpSFTZSk6qDUpsT1k7jvrSznx8xYZ3vG+Jaklu8LAos/WM59ned1fFCzAar121tlE1+Xyud86Id
ekPusHSY73NcGi+x49T5vdsY3VcikLgLiLS2+mY51SCuWmmsUNSEM30AcYV/yK3brzbTJPyvDF/4
29zMxGVcqaIgGjB6sXAkyG7nNLCrNuAgIFe9SgDCvXJxrO1oRfzEwUki4zOc3eoo52zQPswEWalQ
5opTy9crAYSTFFZn3lTTaPf3RkoMxibnc0luaRfh3xiLC4GTLGxxHMe2I6qGgbwWqqaCAOOYq4mJ
gid0qoimdwLTnVL3IsbImI4JlJWIc9UY0+u6LcC0vGbo1H5GMGoGJIKAMsaDPrcPRmW3BSwimw8M
6S2W+lracja81QFg9nx90HGAGhKnBjdjYgdBDyvyGYtuAjzm736volvIdvPt3xCcXQz8MlaC6Edk
pv2aRkkSbbuhm5rD38vKMdlbiEuyjpOLoui1wnGJ+BAbp0VjNpL0ANoLNm/2gm28dWy+Iumt3IKk
sHmuZrdi5lbWDZ+XFAnNbk7B4f8ezeBN/BrZ1lpIxILazqtd8Voa2YrEtsDzQYPr0gFiHAj82/Hn
OgMgYwJ25V5sAsxUkOvpnO0YL+rduUSaovZlozFpKBbBgxXI2axd5ptxetdVkl/E0MFOyPYzO+IK
DDm/DLNraVCrXTvP770ae7Urey6QQGVZJdbgv3T55mlMMraZJ01xtxgNKHCyUBtjN2xMbsl5zBgg
qYm8Agbf+IJpTs4K7i33I4V5Tv6n3faQRIMiHRt46lGkSrB5rbCzU9F2oPUEzk4GrJZKeSACmYhO
pa7PQG0g5L0HQKaGMZv+PvH/b076xzkpq+aH4/dXSWdaVd+6un/9eVD69q/+OyhFuOmtRAfGoRZm
fD9oOn33LxMIBFXl2yz0bYb630Gp/xeKR0b8ZPyurZvLofu/sdxr3DA6QjAx2+cn/6tBKQrHn89v
/NdpgjGPpGFYjTTewgR+OEItCG8lNjb6udK1OpEDzEFH28B8jFDYGHOzzUnuroPFGsndnLFmQqTT
9BbBEwUcx1KlFXOmpbuCDCP8Gr53pj7OqhDiyfCprjZTZ3yG4xo/ljPsvDR27I8jRMsrZCn9rUI+
Hu3SOsMWrcaC+iqe+MtwdGa/2WtZguVon1VnN4O1VM6EdLa99Vmb0CicmUbNqIgcs7+MGSKWRyuP
BvfSkUUGP7dwpgE2X2mtkaXr8NbsZmZjtR5ALNmpBeq5yrtlY7W6FSauNXzCKW5i1jSgdrzKrRS+
mWxxetrlvNsPqJpKJ7TMqs4R60fpo5EsBPEw/yJOKs2AV1HnwoWENfHBEYN57Nw+2ZtzRjqmv2zJ
s1zVmjLF1hJYf5+Z6cMClenWyZhgHvifWFcoB6IScRqErB7/tjZoBWEavaG9zrmYA0/Pygnuq8tB
gYBmi1u2P4cj7KQNOKG0t4o2897QC/tq9JlHGf3gGsfB9yVdv/KjJ1V67ofGtaOHtl9M79hGvaVt
sq6xC6h2gp2ZcKjseYQrhAGX6YY5Bko8g2YMJGkpJ8evi3PfuDzLoSRniMomYja8LNO5H/rYC7W4
SbZu6qh7WcUi1fcREYyH3ECt07egRWY/YQAxqWoDeDQmJI7IbOctUXQQdWk+N8qCPas6TT34hVuI
oI8nNz0ITfeKp7TFgu0RWRry6e3AGTtrWwJI/K7bMxtZ9O4IJbDC9D0r7NR4jTsITbw50sVsDJ22
ZSdCE4LnNZmC03bWIxK6/Mo4gl2TDRQ5WzQpRZjn9ZSFqY0KRdSyhL7n9xglQOkJVtd2cnRsE7EW
uTooOjzMZjX3IZ9Rq9jmMR7aK3vNPlOTCkhwvxZSSRysiOiaSVJ282pXUZk+alpyNyPZDlous4vV
TB7vuHwy9IkITjeNdtG4fABN7whtxRkJtUN2kaWmHxtb5Ls+kubJx0whyClnt52Gp1Ep5vQkgJJ2
k1ejQykWddQlS9N0CvORQMmXqvdQgRmxG5B/qoWCsJpdXbl9f0JQnh2pyj63VBOnlhDgs2QysVGq
xPAfVj/js7ATzbATquH5aEjMSq0KY6n5WtDAgCIgL/lmQ0KDlo6wiukDPlk6XE3RIstBM4/wYFji
C7k9+DAh8N1D0frQpxoxlHVqBIwZolC0mXHLb5+dM3vRWgaPfXOE4DF8g/23bDyisHYui+1AkN4m
dzkgq1ghmJbyWE32B2kV90T4XpQRUZcO+pr5+5A65F/pnX9y4+m+86ETqtLcoHDaxih0iIZKQm8U
j52Ue2+ZrzKkcrD/h3nXNgVxohHDtDgST47F2J4gpG5jlMW3QkDfNauJMFaC1z6kGj5H0jBCv4fO
CFuKTTD1rkRDBmBWkrWiE6sQ4B0l7gj+ZLg1txXD0XHi22qwXeF9OHvqni7UEn84eG3xRbnYN1Dk
+ycC/AgDaJmYYX6fXSd+n0HVw1CCVWHcxYm8Gwm60jxuStXV9eyJ7LVYd7N8iNwm8LJOOzeNKe5T
UzqnuumTkBdGSYNb0ydXJs+kY1POmPP3pC+NQ+x2tCipLIhUW131GFyehiW1th3b+l1PBFyA9sY/
5pl7HzntHWNwfcc24Z3rTJvckFDO/iP7yrAxRzcag8bqs+vMHMZQ9nm/13lRO72WAxMtO7m35tm/
amcddoPWb0RG0F1sEsTtDzfLXO7IQSJmNmtc/MC7+46wOZ7QymPTsx2yKItfrxaviUiRciScDpLE
gtzA4D7rH4oqd3ZmqaIPUz5dNZpsw5l0uUdoLY82ApWg0MbXTvnPTow2D10s3/HQoE8uUAea0w4a
7rF2sr1vZhFPUYpr04jlfvLaLxXhXFu7Vd1B782HBntvPuCcQUKZFOPZlpN+nRjW/eA3l6JLnpyc
eD8TFp6ODVbATrt1NP9F+BOjV2GH+bqXNpp363XWvkuz+X7m1RHfOuLjyTbqveRRbDwXRPxsWstl
qWmCjtUdr9xl3JLdd6I77nf2KM1ziwQ0kGNDBDDK6iTMl8LbF/OgjkndH/qGnLU0yvcwWNMw9rWG
UaW24zArQhX5buBNyAOCWgziCzmR/Uo017zrReniLilXkrXbyivUc1q4TCMJwpmdfMZnXISTOVzm
VHImTMWjIcZDhf7RHxUHa+b7W7PtP5B3fi1Tt/wyzhVZC8tz5ubFduR+IA7UeYhpUXoeF+QkbWns
BARFM4xJ2b2eobyjj4lksxnows52ase7RbOWoBti61NUDw0x9QZJiRrD2Wbr5exMY2lVt7E2dqge
W2QQsNbDBh3+YantbGMYRrOrhma4mOgVYHmYNC+DjozM0h4TbVqPZ0RQteMHmmdfTzp2e5A1qhs9
bsZ5I5ZCIJNcVDbcV5nmHf0uV6d5tB7FrDefMYwkWDIq4UbsSCeG9m0VBg6iQtQoSjhnze3Y+19K
bbw1EjcNezH1951d3U6VptFAkoe2JMNNjitN11rtjsSt+oRk+aPX4ck1pyQha5BfAC7HjYnO6YXt
VRwmY4leM2W0W3hQ5PHi1r7N6jHZO1CkA4+8yLDMBTfbjZ/8GGO6Sve0K3LY8qcGkXiAs5b33cFU
eTMwxg/sxCpea89dPriTBpFk8D5Zud2E+A24T1C5040WOXpoukn2gOhDh08BeOq7OAVZ1lxvZrEu
Il5YFiAVhXDO/Jt1za8X08Fsy+xr0+afF11z732/Gj9a3Uhe4pBcQ662NwteYHBVGgPRUorRLE1x
K4JGb4tzp1QNCX8Q1AhVfGWYxaHPozxEPAZhefDre8gREimYlwx36LK9g3Id+VFT/oE4vPlh7PBe
InXZT0MfDegFV4KvMve+sDsXOwllcUMPNzymmXF2KsvfN367bGxIXtuIOf0VWj5n05PKHCa2Cfyi
1ZkJ0wLHT7zk5SUzOqI8+265lGLyD1NtzCgu5ZciJq6B5PUUPWIzGh/YIDsIY4NF9rXTT0mxF1UM
r6IUOYdXp1WfJJPDM0oZe1dQCz7pU2stqIMKD1KDWKwPZWIZnwFUnM/kYaI7Vmt8dJRImOQFBcPA
MzexyofrhBxSlOPJHZSGAEHfVJZ5E9GoWKzbqsWpA43VpqTyCBMsSOIkLCMDXPLcwpHY5eUYfyAG
FCzrikIrLJEntb46Oub0lTGWs5ew0Dcl87ItcfcrOYXsTDXbfsAhueetnexMEDhLJ7sp6jpDgTS8
jL3oQ1M1A+mpkUVIZR0FbSQ5//Ia75EKCUHU9AE8t+JgQTQIkjYbT5U+EfRrXWdJZkETIharaBzv
nCYlNMKeeVPu+tDMkl0xEryIXZXY68bnoUgomOBDkAwUPYI6lUEhzU2kCWuDXgcjWrsNPCLDoBUs
1daV2MNVfHclat2AwZoR1lrVhKkYN/CLJNsJggMIlCPiPvTiKk9eJp+4GAr8ne7xiNHbPc41emBS
SmAGpeV5ctJlgx05JLqZ0hBuG2zn2G04E4v6WNfi3odcskeT+qWohkdYNRheOOquL+lTzN6G1Q8P
EmFwv2nEQlBjY7dXWjuPyEQ084mhG/GLRVk+zj1Zk2CZHHULSW6ZQRirVcMNSRioBmZWg6yV6rGU
DYwoeFphWkfp17w1NsbsEoQNeXM7F06w6LjaOrMXPbpGcZHJIK5b4ffhIKvvFL9INpJua2SqDhMt
N3mlI1THLsFNbigfW5GRgSiGeCdF5W8FFpwU3Z4dLFpWXGHCsdqK5uUOnyN57XjRZ71rMUcl3Gif
TPl8JxeokH7nGOFSuFQ9RuPf6E12Xc3LcG3qdVjWxMWqrl0xE325NnFr0MgqwDK9thDoj1BDfHe6
MPX9WtNvoFr/ZHrqNW6cvWt0w4U2d+Fh5DBr1DHy8nELK21fJN81T2LK73T6xeiy5iDz9pb0JIwB
ErbHRHoh3AF91zS0t5DprD0eMHuztg3QquyMdoADNNNPeu49opvA0S1Vr7M7fImG+HNd53w/tXU3
9FduHT3WoyKSfK7iF01DuDmgCEKaosLYci/K9569pt60vl/vcw7HABsMzFAQ/JCJqBsXIZq7bKI6
07pMD/uBiOkgRzZ7nUf1RHmm3aLRHr0gL2fFkZBF3C4ngYQU0yS7xcN+vuULflna5JuFOJ/kz2kJ
Esvs2mASOC+g0Co/FXWGr3CaGiXe+SamnXNtFRR4detu8Lup7iZolQSOzBI/dSffZ6kWt2FjIloN
65yhrzkZ0PQAP2lyGvk4DV4B0JmMR6rq/OgT1L0XfiV2zaLi86QPzq6thoelRYWP6+ON7w3ZbZVq
xnc77YazSlLnhLVEezCLJT8NmBns7Em0D6JacH1szVd6+OwqrwQNfqzfKBWPKI3q+GKB2IX/w96Z
7caNrFv6VQ76ngUGZwLdfZHMOZWarcE3hCzLHIJTBGc+fX/p2lW77DrwPhs4Nw0coAoooyylxGQy
/mGtb/Uo2M+MjGEOLMCv7Ro/dE6Y7HaAXLPt2GqsNebe2K7QfFW2s07QDa5K4lEJgO4uQZtAUFDU
AZgh98RrcntjpUV84yEThiU3f4HwEa5Ky0e0W3DFKGrPVQ8yVefzAZg0ssVxuEZ+R1nRpghRZfgZ
JlW2VoGP7rNMEeU2bkUZpJf1KPn2bTgyTqTJIkCV27UEyWDhBobfFrFDybcpZJIDdePBLyuU2kU5
bC8sug1Pc8KAS7faFJihcxjRNFPBfZ8bzo5WmImLPeWvgwyJdo0dU545qjmFRrqF67kNT6Ayg1UD
yHttxb5L8HoZGYy8V7Ww1MmfWxO/bZHtW0kSstYknKMkNE+dVN2xre1vagHDggpqdektrCW7Fjzd
NxOO3dtc8zbWEkNpKEEoFcUYGajKVl6ddWuJnvs0OvltZiFulHV5Tjz/qQ7Cdkd9rYDLcvu307St
hLkjxW0gZ9WllwFTfSEX8K0QbiJ87D6WukFJ2J1n5vcrPcdMuG00wYQYs8+oohL33GrsUn49/Hm4
8iK0xTyVXTPep0B0N5gnXYqW+TjySY36C83A7Dueka7QcFeGL4Off8HrQzKDusWpPB2ydrbWtJAn
HtFPcB4rwCDThlaLO5kpf9QN7bji02BeExdl7YJpZIyycOgy80W1Le7n3DgEeb9ZBk9GQAuqkEZn
qZ6VYzA2Gccx2FrMmHl23ltzMvMbDd1Gfg+iD8Yo0bSDnWHC+8OQyURgLeJsPKa4bsgarr5UXR3e
5YnBGxm4OzWqdI3icPmEouKWuBwQPo2wsNyaWwJw/JVDojOMyhrTj4dfF9SYnz+WcfoRCHXdLtZJ
Bt6bLSym4m+dKHd9F3zTA74/M8jmDSknedSW4VrlVSTyJl8vavjWdODdC0N+TpWRbtRl9N82RiQt
MriLJWBWsuRhsq4qZgGpWChb8hgqa36rUx7QUdtrb0Lm6/g3+BWto0FN3yCrJfVnHGjKBzVr/hIn
OYJ3sBFmozZVO1V6nXY+e33v1ACwweUXefnE7maSRb9lioMCp+gJp16ErzihZ9VfsVHWOwfWTLjC
IqEPWaFYgPBU61bsDrVbUhqrFE0vFXn3aDhe2W7LALXnVhty1JHNiq0+efQIM48Pq8+2uRMKZa2w
SoN/aJg54HI2r3osMF9aOfmyA4MWtkwsfl83/3fP63cf9fVb+dH+78s3fqe44DmXdv/3xz+2v/85
+agv0+8f/rCpuqyb7/oPPd9/tH3Bl/KN/vE3/6v/8z8+vn+XfzmJZ7/760l822b8Ayb+x1n896/7
YxaP/chEkiFYFWM++sG0hP0IYzg3L9qKP8iK/Oc/hu62+RuuJIR9oYWe0PPd4N8Zuv+8MQ/dy6wd
nxNIWFStP+Oke7ML0m5IE/aH1XI2L8ARG6R8tnKKkG25maT6feoH9d4IKHF/uSy3v+/l/4o7ZLnw
47wfladLIpnAOmjbIcqpyz7gL/N+RtHKlQT1HMocBJufYOzHtc3ncikR27kdVudOuSAF8epwCArc
zc5quED6avrYTwu4IYphbPNM7CXhJqtQzCw1ZYz0iQkiRLjZQGjRSL1YkGyyfjnFmT/3fC4bC3N6
B/fNB1zBT8kDdk7JAbj+znKDJMOWXJFtutWpHeL0QR5yjy3EB46EhTcYR5aRFxDBd2Scj7LmWLsT
182r8KLzY+LCJJiyeSNgc9kiDsWtCxjlMCNW5rBJHer5fTE3Sa8fRLz0xjGgwhPUp7xLX4fETrzt
GPpU1uYQJ9mm7JNJc8ylhvuamuFcYzui5E9PdWez+F+N1NPjrbJ8sMF+EozJ9RIaabCtCXlK7gk/
9tCXyFI5pF+UJk/ylpnZ2khN2z0I5/I3E8gG/sukZVPtGJuipoFjArV6TnlqxqLFziLGYLGDCBCa
IA9wVXqx6eOVqpIv5TInN4M/15saUz/TaX9WzYpZVfCy9FNn8EQepw3rbkBf3rLu+NNl84/bOFfD
tU/J2kbSTOx9gb6CHsCq12McDy+aDKAgLHalLi90pIA1crht9BDkkLo9zjoqEuWo5pZ4c4sbpvEh
+PRZHRlzGN8N3jx94iCVL2ZKEIdfVGlkY7uJuky6H0Y15fcoeKYVpm21rkIj3KZAHQiBD+1XQEcc
emxI15mvq0MWVt3RiYs9UpfiPi1yeTdMyPBRgBMjWY0K7uDoUXxUhymcH2EhkH1jhGH7xb0ADEqg
JOuJDv0gE8JTzbErT+j1WviIDgPYJSuoxiEnKEOku2Sqw3cPOFdBQ6rz2wErz1sycPRTgMzmdTgH
HE5dLowj2A++ajYr805fEEIjWLkn2yoec6OxXj08tEkELec9szzx5AV8qJzRdraUE84hoa1mQD5B
MbHHjzhug7eFyeUmbAhbB2mYdG+MFzf5wjpbpKOzks14GpzUvSlkW2ztYbFp0JK43msW4QfMP94Z
Zpl4naw+uBZ+BULNGrtDmEswDs4c0mHU7WOLu+/GHt16L+3SPsE6nK5xzbBTSxqX7I1UXAOFyV9U
leavvKPFbpp6+9TXS7Hvq6q5lmDi35uk8+Io1ol/zLS93Cq3G2iqEHfijhHDKm4Cn4qmY9FtGIzs
DZiaZxLP7btwMT1oa3wk9sWkY1YHQZYdKxrfm56ByNWg7ewZCQc+fnsezXMjh+zcpVI99rIfH+BL
N0ccWtXGgAv6yjQ1f9KD1506twY/zaA8J/jeX6ytKNPyFr10fAA0P+66xUzQBIXBVqvB/eYOWu0Q
NM3PUw4IgkHooZJNCbMmPmN7grjTp+Zq/L4+q5KDFTan2TVnRqo2hbHTf+2rEYmCJAjPRGm3qly6
NSFaHNdZ5W+t1IQzP3nqC/7w/mSqMdsWzpxFXuWMd3lN25uSWLOvdW/fIQmeX/o6W95xLw53XJD4
ZkKF8swGQESDM5ZrPifdui6nHCack+8aJ/cU2IZafiIspUAXJPi0GJeUEF82X+FhdbsFBFXLwsC0
N5M3OVBTdHcLirSymIzOFwLokIINca1vi5WywjHxanIr00gx8HgEgzKc07i8bZhTXlu1lbxAHi52
ixuqLQQn5A/AG8yzl0nzHHYyvDbY3N3N09BzUBDGeFXXotiFxXRTqL4BCcYHFWl64qwXBsxlFI8d
RTMSoGNT09JgBMgiLkZ17hWjIt/mUcO0Fd8nggdLOeLBm1muRWZnxFGrvPkd391Er2oEOqPgzfN9
O7fqC5tKlnq5PHKWIHQm3fFzTst+KFoXZSlxRI9C5+194nf+NbovBmmwnxBFzVJ9aqs+ZNTsL+eB
wvStqXtWxEKM90VWM03k0+NfVeM4fwVplM8RAiV3X1XueDSSctjFrRiuh07bRzhHF6+PUk+j67a3
k0v/MUOW29nZlN5xsjWvXtjXX4Ku8r/NCI1YtHQtJssw+cr0I7/ANZjjdQ2xREF/mqfWXfvC7Bg0
8nNGodHSKQiZjyuzLYa3pmRGhqsSTyv8BAN9SOqoJ2Keuk3t48si/iCLI9fL5bfKQftEgIJ6DpLK
8zZOnZRf7CQJdpWa4nMv4uA0BJUBXmrRhzQMGIlLYCmzxfnGNK8rrjvHDG/yoGzPUszdpifgjAxN
ozvHHRqX3JHMygufTnao+mdiCFAtNcyVWR0Cl1219tjfNUkbXC1GOH+Ydl/0q7DPOK5DrvGpGDvj
MU1d71Vl5BJOkuUONTcRxZeHNpl9yxKTxmMGNSSWyr4maYTs5Aq2hgyKWazy2A12fseAjntizOzI
Cg08wII0van2gzeJNH1rZvYb5pP6bCSV+xAwCEfiM9lXYxc6PAZn6xbhnBnBlzhf3kBMN7bYLV0f
DXOVXUC71rkPuvyQWLW90mlV39aJZX/yg27YTL7BCFnV7s7wcoaYKIM36BAtrGIZUcu13WADNts7
+J3Oe5fqogNJ2SzrfhzCB+EiSKhUa21NtEyPbpynDr1q49zKWMEXsYYpvCsScJ1IRutoNO2rINYj
b3vpmKgoGM863nQMOyvYoDVTH2mfWR2EMMbQcaf8PYuvJmqLdo6qeG5vm6VoiKFs1B4en7WfIIFG
sESMaByXcNnFQvvP1ALW42SH+YyLE2xcUBr9awlpehvL5sVVhb8x8vDOtmBx8fuZHXXHSC6HxSMv
WeVdngJu0cbBQ3aBuZqRbcyhrZb3rNGlYg8cj0ern9ZuzfFGilfCrenQTuXSvY2pTbeC4LdTD7gn
Z6ut/Xxtk0acs+Rz+msb+gVNt34CXl/e4Md1mihmVbXjvKu2g9ODTexoy4xM+HsLts2NL/yJU8HP
XinQPKbNOcN0Ncf7vsljNtgS+KsvAPge3CIREXc2psC6QaOgnSl3sUTVlK9Di1uRVu/e0zpdjYs9
HjxzxssIG4bPCSJlbo7QZ6y6pEw/pbWTJo8VhDcU0xOVagUNzRwfBrNIPpmyLj45FjWgg1jBiVhz
qZtGduFpkZeo98SND0BU0bAkQAjQWdScYIyr40PWD0yKsFLmx7xD3sEqT2Q9JWZY7+k7k/bDLnO/
DfFgoqRHpgBN4yoe4JSgENNHt2BzjFXePjOgna9DxRA4lFkSdYmajmk1LpuEwv9lYcKeO95j4gHt
663sGl+B4Ld0jqX0xWfw6BYzFiJXVIyUYuWXOFuWwTrMhBCvhjG116oHztPYy5tOAeH6xl3QMEwM
Qf+sC0zxjNHZDNVdNe5MMiIiCT97okU4ZYUoNwUhcbwt9hY8uhPRJfdru6C4MYoM4FRmn1vXeRUt
C9Fp6GCbSlmspQyYQ5YFF6Yc2UOUjCbQZjUr1ILVkY25ze4v2KZJNR9ZeNyks2M92Rq7ahRMdRmZ
XqW3Ap9VtBgTTnrZ2+ulnun/nRLD0zSuliy3X2fDmhh6Iogow2AXxq5/M3mpjBqvQmvJ7fdmkNyD
dz9+hEPg7Rsjno8Mz81zWhbZekhGJ1oCzTHXptkha3xsl223RKjq3Wh2+nHV1F1yXeGh34Yyn29c
k18uD4pNtnQlfUKjOwaRKDx+3Rr+vS31LAQf7AzhZvw9XSqNGV1kfZAd8rKlrTMmiNV6CXhKu/AQ
HxyzoiOllqo4sgEh/frFf7Iw0JVeQlIs6+LLIuPuZyQQKjK2MEuTHcQEo3zJiX0DSZPeBDKU979+
qZ8MDJeXgu/Iv5fu9+++wAwVlgeggZdqLNCkfEZm/OBzUn/8+nX+Fs1xeSGE+JewFYAo3s+QHlnP
MyoYPzn0DTNrDETOweu/88Kz7lZpiU1jCFM28rNTvjV+Qkc9LuDGiFe+NNfs9KrN9x/pv3sydM7e
dd3W37ofZ0Hf5zv/HBT9/zU/+ldKzpZRj/55eHT5oj+GR+FvZohzEKMstyq37z+SOUL3NwhWIG24
k/4cHTnmbx5aAm5oGEfc05fv88coyfsNi61Fky6IKMBK4/w7oyQO2x/HOdguOD+4kdnm4ql1f/Zm
auHlqlcJVA3XZEtZFKBuu5UDsIEBrucMr2ZS+kAw3Po+a+bq+qK4XKkAmERUhX2+EX5mPuSdXOaN
tiZ5k1LkyJVn4PIPfb2bwsw+dlUvkKlljVq7Ad4u7s3QYYkAvGQ7p256GoqxvjITpKar2iquGsYX
t35tB7vSDNNd7Mf+zpFUklFSGoCqeJzslizVB6Sl3rlvL6P6pU2NyO7xTgB9BIlKfsP4WcLh5dwC
uRDZkHh3uXHZPEEFvyfhzxnhjIzToTe/SLnUb8hKgvMi7Zj6bAo6jmBcCSNS0q2MJ+9mjKcAP4MX
kjx4Ycke0E04e6kt433kcP3mN1l4Y+dVcKjjUn8kkxUrCKSNuM3Spr+Q8vS90zrjMZe+iYGBJzOp
Grn1kZs1CgcXBgZqNZs9PGiR68SsklPbLMY7Xa6m3mtqJPiLqg5zpl4Ghh8QuC64jTQYPqVN1z2E
YQd/kpQO/eXCMXlhqixp3112lswU8h4pVIiFLqgwOWJVWVlmRrXuhtJn8yv0m8Kj0TN4GJ950rKV
6KviS5F13T5csm4r6ILeF7MvrjJT3xhL4h6l7pqjjpflRF4EMVmu3259siCstWZvndLq9Zbm/Uzk
C6oJBFlcpZ7vRpwaoyy7OM3CjyNdlx6/6BSypBFxfyUy19jnrpnuJhUXjziU02fZZZyPTOZsVsDE
V2xKGjyBkAR/GporWwKu4N5D8uj0594Jlxb6pmnL1SwgDKXLxe6fIPKMxrZKKR5sCiqoLuO3DIEZ
R/50MfFVBUaIJk+r2wwey8phnXyV6HpZw3PtV5YOynPTGfmVZdiCPq4c0TUxSWDPQRWaPMWMDzy6
ksT5oqbRaZi8uOyNCzbpNZiRS1gbngmWhuzxgkpcQ6MI75J4TqMxMDZgyhGGzMPa0+51VoTDO3xa
eTA18qMxR/S5HtqePIgqnU7LgloQr0FXfQrrPH4h/SExjig7Vb4JK198RUfW9qvUHPv7AW5ivBlm
KV47xqUsBSvV34m+Up819poobEbxJhELsfKcu/mSUFMEe0jHIxkxARVhZs0tNG2bWUDcwZlc9bGw
n+zBTE8KxtEXFsbknzKNnJPI14x7mqQKPue+6Z+lO80mkzUicBdUbmi/ECtfCKnFUKxp52pSEary
DTNJ+InB7xfDHJu112j7LHpv/nAbjUS6FaKuNnEQVy95wooqKjShK7xZlX7tfCQCK3TPzSGI647M
joF6t2N+fXUB+K/ZHd0xfwwZY2R8ntnikG/NKboJcDpFrFzpDIe+RXLUZGsHBeVmGTvIe7Xwj67Z
whGy0zzgOjA8qfueJxpSGj8iN8HcDVBk763BcHd1ZsppbYRd7GwcX5uvFpGSqKl5mA6W2RCQUJVZ
Tn/ZFIdkJp0CMRWOKrK9unsdZA4X1i/zZ6jyitgJgVKSh1ncH+IE1jvkzbH5zJAWboSDdXGvTEgL
+DLn9sZptfFeuz5i0VbkA/3nbPBwWYDd1nRXGg2tM5Bun6rP3jiPH6pIx9fZqcTZpoEqN93YBjNg
2FnHURjbino2jOUaAGiJwGUkFNkyRisSZvOQyLZZU0qNCAU1CYsgTNZe5R+dZiZWhwDTuxCCO6Vp
Fh9yyWOzFo7aTWb5SLPc71pN5Z2x0UD7oqGUQMKZK0Svg7cBP7B8XaDUlJtBEMlQ2z2j1jodYFCZ
QX4zmaIY+pNTKI8IbUePTfa8GAn78ZmiXJovwSzplBH6sBnoQDnObX4TT4wIrTD3bkQOJWgRhb73
CJC594Sf3PJYnCjH5XKglH5iz1ndKxyr971oY2tlZnn8NEIKARCPaHxVMRM9XkICnoLKu2ySSfm7
D7KmujX7qbyFw8ZwJCmhnmbSwSCIGBeNBhI69Nk8tjntoqmcs+veCnvEbL6iF23L8joPTX5cTxIC
3BYs8Vu8f3zUWSCthG69KyBU3g3ybuvsulWMCmDp4gcn0N4hz+T4yC4wwCc2sF21F2O+qYykL3ed
oWrsfXN8HYLnf0Cx7B8SfvF3hJ3LYZy1u4NrB545VstnmuOpjhZlLPtEFDPrxhlJDrr/jeqIH5Ho
h4Z1n4nlZHWLf0gz5iHlmN+qogccpCz7Jq4R/vOQlRBCl/iierXOeqqTGqawQzZL0Ne3CWyo3eV6
Pup6ElfwbplMO4a/y0H13kg5DAgirBFrRrikX+MOhFY2sd1faTWB03NhGR9nZpp3ltTjLpzD8DCI
vn3ScQ29WrjDns+TN2MqqDUCJx8dajvCe8WFNptrzB8pagg7VHejbZYsOXKbjBpWdSQTZEB5VeHc
oFSIz4sfToeWgxEzGEF34FzfzToL30VrW/WKMHL1QqZR+tkcY0mKjdHs8CwbMF8HHjXcfimHtFPY
bkSgjL/NhlzeoqQdP4OvHdeyE96rVWfBjTVXfPLSy0MTloiV7ZZxdJeN1pZVP1Rz+AI5DHrTkJLR
DaVH9SIyq8BKGb+O4WtmxPIBA2+rbj3NQnNv+3DPVovnSbIXcqHMK8tDD4T4UFSmAu8GBfPi9+DK
19YyP2iVrKfQhmttp56/bULPj1JQU3GUJ+PdIiw09J0u2hLGr5G+uI3tZm+Wx0c8AhJmuhs94oxA
1klQ1eKdhZhon3d1IjOzP3LLWhpV8VAxH3hT8fJK2Ts9I/uv3vNhsp5CPCWPQiXNEQzbo6r8eQN+
tDz4qm0ivx+wW9bTvVcsrzwAvwF3fcs779Xvx/4LtBwqCIfgnFXr9q8+kfF7zw+KWyWKzeiUxhVv
DnZGDSW/wlT6zV7cgYFJoyRDbtSc0JX6rNhr+vE72x3lHCEFTdWq0YhaHwOv15tysZa7lCEWDKp6
dEvj9wb5f7qnf7l99wMgnr/ghdYVkcc/ueC+f80/mifW7r9h0PbQIV3gP7jg/+yf6JJIPUTxBBFU
mEyNaJX+6YIzTZP/BUIBWSoziT+7KMf5zYaxw0rAovXxICT9O12UY/+EGjAhlZIjzT82vKWAEciP
S/EGdRKJWzN0alR+FClGiQgMbIAbucqT894HblghN0qAMl8AfWfS5IyoQFDxtY3xX7D/LS0422aq
JtKdFEojFgfe+6It3EdVFjhIcZv5qkZbWDxni6Ou6nYxv+Z2MpER0supX5nA3C7BZTxRd5nh1Z9w
6PjWoVXhMByRAuvxrJkxbVI8ypRNqOFwX3nk5DDoiEQfdyv0XldmPzfZCiIkYUF5tVhrFDKfByp5
ntIpuqdhYqE154H4ACSBBOZ7JG0YMHLYsDtHWOV4aXYmE3o8MKb394bu9WGoyxwBS1ZNd4Mydlbe
W+vaCp9Hcj12qVF0yGaT+vJToY1/nlweB0ic0e2DCkxDwTLzIlAXAoGbiLt1Xxc5aypYDS5HbMWw
gzGtbhm7xShyVrzzXGVz6Wm9rMw9QrFvb4mKyr3TKHz3nStCzEAb5rF+XDxClAH7tYZz8nUyyU2u
CUl0RiJsdjpoUpKmJms8w+smp6i4KPboy6st9opyENHopGln73N2NPAiMLE0Q++fWJ+DMVsiQfVq
sUJPZZ9zxBPQC0ntIEqsJgNbizDHZMSJC5Tju5Xd95t1YzGXHGxL3LctlFDEwcb0laq+yb+FaMS/
EaHLzubaqlq3FA8+iustD/wLcwC3u//SjPDf2NqFwxURTvLoYVbgQmkZEw1c9PkhQzlpb3Qh7yis
9cbMqB7jVI437YxZwsyynNsS6eh6biR52mzOj0Eua3KnzGVL8I/cSXIRRdZM953XOwSTGIW1zkI2
GlGhuuQYBJTlkWNztSMrD+I9e240Z4U9uweSufWW52v7VltN8W51StiMKFsPpae6rMeDOEDgTLQB
Dq02FMfWxmDg2EnBRBZh/d6p+s9p7gxdtNSOe2twBV2asCb5nGjHPCW5U26xeRq7wXawCfJyZ8QJ
zU4sYrqrCJi7KIWpKh0R+4isgrFfScuUp4tDB6EdAguqXK86DIRhXGddnFMQdYVzBVZhOVKFoZTL
TdZGPSeTtnEfmlhO+iK59lKGEuve8a4AbcE1nWT8mZog3MIuHegqbWcjlayOvfCbT+AerolPc+8u
d/YNMg1zzUQAS6ES5yWnoeTQ7qLAblwWguhiuQKN+a0Ws3lTuzJ5SZoMUJ5yYCsOsti3BZK2OfOS
XZ4PcgdoKybWqGm/WiMoi8bT4UPiGKhCIPteASN/WizzprJzDJtYMa7kMrjMShVdd96Oz64ia2GV
y2nEmGNbr2T8sanuobAyXSxM+96znH4jICx+M/wA8XzH1djKJe8OfVe8A7MJcbQiTFgb/azClRw8
56GxxynF8zHU704wJ49I+xMT+Y92v6BVJ14CIybfozEOqApAQcITXqmemIXRxMIiJ8yUQZ7n5DMC
hrCrJNhPrkcCB2FCwar3ELV2biK40fsuO4kw7R/ZkqEb5Po8tpO647bG3mHNpEMyJXJlHO4NCPUB
433lHwNtwFWEJB58nbwqvQ2LINsPcV19ZbYVrguT0mfVYJT3NnPtkLxmCtKL8vuu1MEBX/O0ltzd
D4JIrJI91myxALXjaOxQSprMKebJxTvp+yq7zgEdrVgR25/rIiEsPu2xSo/CydeA5txXNxjDtS2a
5b5mcBbRTo7PSOaZoNt5fbaKhknH4E/vpIrh4LLs7luCDJvVhyIrrkhbsB+W/WJhVbxZBOOogbij
27ly660ocEtbyG5PsTGaD2yrFhmxBJNqW9dtsmlrZb4Bg9BrZ+rre5Ix6g6zVoq5GUbFymGl8w0t
rrmvhsp/tekIjPXCrbVZeOREaTcP3oqoi3Fd1Tz5g5Gxhx8M3tlSSxLxibTZUwnrE5Sh5hSMbnqs
Q91QvCHH7eBtcWXDdP7IZt09uPjX8khZMYmh5lzQ5QjcCfEEnFYAyT8sep77CEzGBxmx9oaBf0gX
a9VnDH95ZNhKX0HbHe8K39iw+g7ParDcbIUxMo0JozDkOTWFWgvmJZ+LdiCtoy2as98EGGdH0bLd
J/D03gknRoUBeoN6ijP2ybFDjAMBLDd6aORzyeb5OQkqfYtYO35qZJyd+gn4Z4re6pPQzrxJzTrf
zYg3N/HcKaQSFeBUh9+WtTKLvO5QFcuAK9LvPznkOc+rzGmrtcFaO/Jch2QVMzVvFRoue+Mz3zhW
o8EEtJTjfHKZHcoo0yRaBLVjcx278cWZUF27A5ZQLJDsHnE1LkeRCe/d4vsbUR1X2S0EvhEtqxk+
z4uLD9FZOOgDwpkvwURttkWa4V356CQfyQnVhFbBaJI4WRlUrINxuupVrbcIoECQ/s9q4b8kTb2Q
j35VHF9/jP+xfysblnmaDdLvetfD1//zv74zk/7cL/jfVwasiUBE/GW94Fu/uchFLYSiF1rh90zw
P8pj9zeIXwKdJCzN7+LVf5bH1oWmz1+HPCGoaP+95O+fF2ZIVPlGPPkJmAsCeBU/FsdI0SdEhaS4
AAlHzLfw5La85OkvF+U/EaayLPkBI/X9RSBXIU/l9/wbQbCrB6OBLUcchQSgM/ntAoR48CN0V93m
1y9F7/K3l3K4LL7rmL7p2nQcf1XA1iXPojyxl/00ZECKi4wCwsLoIC7P/wKg2b7EQEWGn+sQBYW+
8tcv/7fLifweCCQzCiFQHP9MA8MQHLijZ6G/qMZHq/SfA0Qiv36JnzW+weUlXJotmIUeiKyf6HNa
G3NvxkLtXTE+Tq79RDFWRz3sUspqxV36Z6/3n7xz4P1+vqAYBlhx0qI5iNdD89Jd/UVSbCcKBQol
wB6hI0k1shQNyVhGeZRuXB4LbPZOPCpGx4nqTM5CDEZA2kL41aXUpV63uNFWvpUIeFZEkR/wH4bw
7OshxP7BRqtetVT71cpSAppxyYBUM2g74I2xv1j5uEuGtkPmdMkF0J1pPc2EOFzUqH25ZnZhX6eq
51hOpb3uzXl6mmkcrqi3xmRlW77moa7C8tFD+/FMMlvNuBzJYpwQ0el2ZEN5Lr3g4OAfBPadIJQk
tScpoWaj01IMuFy1HfplOSBjOWO2GbZ2WX5z/OK+zpx3+oy7jh0JnUZQHhtz+pyg7eMlcm/Dsxli
BbyUtWwWtZPKRQ1XibXb5uMHxac6+ETMNDM4liyk2HcsUhrHevSuJ5y1SMK8+Ggl9pNP/PYxT7Mu
4rS5WLsHEFhG+DgB3FrPIs/RJavksfNgXPSBjMxwSCCAM4cmEHsgJq2INznM6DNNSdSnuF5i6K4n
FwGz3FAJdDNpo3MSItLNASRktR8+Kh+QaBogj7UC8FQNuQIQZBpBP1NNWnufnMo3nlM56BvSxPg+
Afi3x1pIGied9XvTJqUt0xoaGdTX9BSXSp9r0m5J8SN6m2EZt0ipmFbWBEflYyXYgvTWdsgK88mp
ySudBxo2I82s/rXPTPAWkTmLK1D2yWOWUk9VWS1WMSKpdaq8i644u2CsDR1fkauo75qFs7/U7VUM
fOUVdVH36OCd3WNTEWcx2d6+rLgXmJJl276rpl1V2q8pFS9dd4bHMfftae+0WXhnsp3bkb+pz0ti
1Ld9Ma8tlj1nJMWNYkNTmFs9EhtRe26SrJCyEjY7uWT/hU5/QglFHNuSercZ67c4toEPxp0v0CAm
iBhlylTWfZ6G5OiUscKwM94RE/uJVpKzfciNnYMx94TMREJbH6gue+aAZACInWUzH2X4X+xnjI8H
t2nVaa7NC6Mrceubcubc4I5m9kJmQGLe2bGa31rEXJcggepqSHLj1CWetbOnEN9QYbgVdjWIWcjS
/LUyFa+WSBsfT4jaFxc0pNO4SYFQGkH8GsiuiuIgCXdJHI+nieqf4WBP7YJEftcOJiGskgmd5ZiI
LON+ioh4pQ70ivG4WKm4ukw5t3FOGEWNe5iyiehBz0/fWO8+h4JtddJ15n3Gimpv/T/2zmtJbmPb
tr9yfwAKuIR5rULZtuxutuELoimS8C6BTJivPwNNSptmH+ko7qse9lYoxGJVoYDMlWvNOaZ2PsCu
uTSCMrkvGpMOvM+VxoZ5HtwGBV9cSJL2AE3ExLxhvAPT7y35ldF3+CmZUkYg4T5Bzgf0Aq953gRx
ok8xHfmdZZjvsJ/uB7rix9xA5towcjssRGMhFfS699DHfDrW/WhEbSebvUIe+NprCPhN2nq7ftp3
beI8CNGG29oqULXXvu5vldE69GXN4JRVo4NdOUX8pOnBpCm+s41w2+U6LosBtXHczu8bKygvWZAW
5DEh+iBbvMiGEZ8dBsZmpLjcQidn5muml9S0h5QNgHk95/ZNsiYdlpVVX/dVcCq1/b6o0DjbscUs
ETmYKwMOAjReorgwgqskLj7HzHIZK/Q7X9nuqzLJDs2Vo29aF3fXRpQ8eywJ3k0259Ml+N3y5FW2
PNKiLaJmXMbnZoJ4RjW00tiREM7b0uMBwsI6rU0Qo3yyAK5Sny7uOxiEHsIuWm5WWeX9phGlw9A1
HXYeejueE2/6VFUzg4aupsIllL5ADfgoUsEAKUQtuu1kuSKryDkHbit2ZQBMVi2+e0mA6dgxUVj0
TdUHxhEvjofFzv/dtxwmOzrkd+9ikeO/C/yHsp+sA8S6ChUEoei+nkFEFi5uRS9Mj7gbmotmUuIo
GE/eeJlVHFMjST4EYlcRHXMo55TLr9PpvcXKFeEiCvZcpPLBIUtiK0wLMbQxFPa923k7DwTk04Bf
5cOkvfTaI+j7qa+diCAauEp5K+W1stoBC37Oncd89Ih4QpJ4x03G5vmlLnqbDoEkIjeJ+xP743jS
ucOa0aF39S7w5tEdjOyyV1/rin874H/XAXeAqX5XFf1CgluL/PNn2X+ef6zw3172rQnuO7+FtLJ9
xra0md/IbX+IiHxBlc+C5qMLMn8wobkWjW6cYoRBUc75jks1+YeSKPgt5K8zTf4LtjYTZPUfDrxv
VRvmva+OvP9Wxf2sJKJuQwIrSO4KAuIGeBx+rOLsTrLFYaU8kv2OiLqWzrBDFSeLC7KWxAXNuE7f
J6LHdWVmqTrprB7epS1h8ocCC2WBKVhDAUFNi+Q3Vg64HtxTdjsl2wSUUvYORbiJp7cm8yKkQ7Aw
JrxOCgupKFKc+GGya/HMY/9aos9I+KseNM/n/VA0y7tehg+oNLA71xwINg3BlyTLWmggaeMtV2pc
vV88yLRdgQEwNhrM55DAFfJwjMy+q+uxOPeSPmZTBfgxVvHk6NFfAD4zXVdTg3PWsKy7eLENYGFG
+KW3JQyGtnFQfeoKXTw5OLRaMRhgL9NQWJaxD7eLS0T824V6Y5xLP/3I75/B9ux59WhpeRLIgYMD
9XrYbPNKnRYM1lt4c7ywFyNiG7te7cpeFVbhk86XLtnWZWA++xVGOa/V4VbYhK5WzNmPTPzpxRuK
d7dww21g0Mz7PhtCAoYYvG9SYjJgVGQZ/a6x54Aj84Aa2G4T40UpB9n7QDzPxlOOdSmDPjQPo7DK
x7koccHrRFnPslqL6GJCo8+ukU43QVsaX5Z0DLeT08VnMsDTTwaL5XWLIO3w9vn69VNxZ0sYR/z/
ycafXW/ekm99j+n73pSqPjDZ12BMyGTNGi4y0oVhR/bXap0bMpttC9FIulEDOcSXkETTlFwfq1iO
Xo+7Yp8KYpQOzrKWG3kMbKM2muK8uM1JS5ddEqQZS2WW2M8tZj5vb7VzAIWkIKVZDRX3Ahicc676
PuLdAcD0vchQe0D2o8FbPkryte5TBCvPXZv2lwH8l4ccYPgeNoL0IgpR54wQIrmIO+RM+QyBDKum
uODImm0DTBZMVAeqdw3oZ5svwtiJxe7rA04kLFyiowsOS85bkVbMRutxPhDYHR7K0na+jB5sLVxV
VdWQEEN2RJTYSAT2YW4O6XVRNvxdoSrbvdfAXrFpzaN/JnZGNn5OQmbR38UEvZPUPhZbhy0kWgYz
vqo8Au+IvRuDgzWE1l6WqfNYUv0fqgAGLAPgFf4yDVkVHArL7O+Hxn0mvxtKhjCf6mCaiZHX3dpK
Bh9Dig45O1VCXvi2R+m6J38abJvPyAspMNrqOEAOjnhYgl8om9veW6p3veHgp5xnDFmZa51VUjPp
gtCzq/BXr3CeYWeH7nLGuFKU9PFHZzuWwnnPQIVDYjWj0ScWjgcVXdvGJZpkW9tkKYD0jYt9PWiS
zZphjY+Mc/jFY2+ApHH6K8QCyE4CcutrYxS3NJbBLqUav43pk+rN0a2M801ghJQIEGlVNE6m/6wR
mV3FlpX8Pss8p4lDqtrMT7+0q4sUBvUIVaUBajTn4IW3Jq95XQjDoxbKJWArQkq7+w7/eY7k0Ep3
KtUAA42iXt5jBTJ3S96l15pDAtEPbUNQmJgPduebOGIxFoEZTFoTxyZpcYS8lgMMBtJ14ATViO5H
Fgpro8rRjLTnzRdj3DbvUuKenkK+vwO8dpnyU1s1fh95S0JoMR4Szr/eir0dqcQ31cri3ZidwuWb
+g2s6LqVW1na6YOHF3fhlE273ZZVfqGRf5LUKzMEgLkNQcrx2n4rQz0dUjOpt+NcvUJj7nYym22k
kp1/3czKeECAz+KvbBKVw3HKAbLU5YB2IVjkLVRpZAX0+qkPWczRI7Aq9Z6KX95Wlq4Y4i/hVBXn
suEJJevPQlC5PkWtx6I1of95lGNFJoiB1BJVFkwT2sHsMLLx6sOUsDy3NagSHofRvkNTwhsxQJgi
7Cd8klITvjuaBL3R3TXC+prdfr6GI9PMUdMsxMkpfNgkB4uLtxrg33Lp78ultan2ZxPpv5ZLV5+n
7Pfmp3JpfdmfmgFnVUp7wgnXYAPaov/RDJiIsbEJUPVQFq3xo39qBhyfF9H1DAOaWT/VS5RSNobY
AOU/DxbRDP+kXhI/tfHMMOTtBU0vITgD0Er8sVwifLxcxqTOLyWsh/nVZaBJDoLrD+7OxFrJYueM
nPvnY4b2pTJOjZ22Qm5p29ZHEPLmAZHN/EniZgLPYbZiO+WzXi6m2vM/c6jxo4y8Fbl0x5pTODPW
TVGOs3uPaWQJFJk1Cnhd/6nE9cyTPYNGFTti9vI0vDEzY/Df6UZpWL2tNwDyvHdqeK9bb9SD+QJD
uszm9USM61+mjVlX5wyh4nYKfE7kmpEhoXLJIoopvUQ71LXBfWr7JJPnWyTtrFkWABO6d3jdqv6h
BzVg7QLc+qX5lHX+QMB03erArra9WQEWzmDzo800u99To5d7v2vnW2GXNQLNecx5qTcby4e2xqB1
9e8D+H8bSlgeTdi/fgBfKN1/evzWF/1xWrF+o3tnBzR0QV98dTd8szz44W8+1gbXQ2H7Jsyhwf6f
mYS5PhTMUjlGB8SK/XlcwRPx/wGu/mVc8Oatwa5Ef5Wpwc8dbkt7nTbNhPoP5nq2LepE3DioS6+X
cvyHkVEuwTEOoFYgEGiNIWf8NP/g1IJwP7Dqk78mQi56JkGGKuNx5gpcYv7/uwyPn41YvB8xGjZS
KeRQnAp/WlkoRm2mmSbvV60Bp6PZ0kmBgE061UTGUT3E+EudKbAeAMzZD9/dB//lHPhLL1+g+6EA
4xSI/m5dJH/o5XeG2XMcok+1SACJVVmx8pSWDi5na4FQGi/hY2ybf/eVfxlY8K5cLcf1iM35FYky
9GhGxsAHi1BZ021BA+gTobVkcIRrakFi/tOcFChnFjcpb0dYFb3mn4cwuWnAleJUSRsnbi78ldIw
c3zaVYFDwm6svZe/vqw/J1K7rL9vsxjGdVxcNGY/Xte5t8wliSd9VM3UFYgeYhIiloXZ+UpfJRJo
Rqp7HZS1e/KR+9/BK6gf65b4GzjUxVIzZ+79O8jdttpILRSE3fWoQj9wega7+zd3gfB/uQ98gbiJ
Z5/JDm2Lte/w/UynxtuY5NWgjsIneffBqAA1X/RJiVw6aVbkQ5dY45mSeC6RdA7CeuAZnO/WuNWj
bYLIOGdsDCc8mOI1cXrpbYj5415Co036zRJY1xMAx/SsTZsMWdAd1nUFV7OCg7pGQym7Bz5jyAzQ
02yTTNmKybo2pE+6lMKPe9Ea83QHg226jTNaeZtF6kZ8DCixZ0wYy6R3QdHZ+YV0xHTrsUp4URYA
PzuS9mE8gW8O47tOUvICQs87BwdrPxtMmki+tazP3KUTTmYL4cmEvzrU7rupnsfL2kwJVMK9QleA
Pg9hWutCIJnmY/HVRL0YEA5uw6KTAUmwXfuichsYjjSd09eslEnr9iUg1vXWxJFWbcMOFukWeEG4
g9ooXgNJ6vfXaI9KxwQAp8N0Z4AoeRCDCqJsyYgwCYVNH3kOpxevGdjDkUciIHsL9FWu5Jty8GVO
VvaEs4R1Fj8CPSRiRiHceC0V1/Et1yOWrvWgCFO9W4IufBw7IrY9Zr13WdKHuw5ciLOHeUPGRjgZ
xHn1Op7uvt6rKeNTsofpsKqrrJgoQ/KGvoEr+LL2rNv+0I9Erm4NORfpOfTjrDqtKeLVsPHoWavd
gPX5KdVj+Bi0rKcRIiQS+Cr8kt4G+bH72vQBuTFJy8OPGu4ynGX42NIiZlhQZ9wZ9GEgmTNiAe61
ZqI7bTPd0mMgQUV7NpeUp7t9md7iiJOG7gwzurdMawDNJ4WKs0V9tH7X0Q1LlC/kAr1df3cakICr
wN2lhe9H9NfTftvVoXn99meGGA9ORQAP68aSHg2+67vUH3Q0JmG4V13PDYySkKMKeantse/zOL4A
EGK2IAlHBexuCkKoxeh36FJRSykAnoiMrgdmVNDngqqwp3tUnibajRjlit6XKNZWPvGqqQMja55G
a/BJpcdKR3BL38NSP8ymyseoSwgUuWvbWpSbtGHksKlTNcSX9hLOwCcAt+rZ6DQuhX7Jbkd8zONT
z+VnHkPUzKHnyInFGWc68GON3oToSvQjWnCd+4fWidPdtPrC4jqc9yHciW4VuzLxheQY5M61CNZZ
ix6PTNQmRkfN9OBBK3nLfuNnN+ZrVxQeuUWp9dybdhcxLPI24DgsoKfpcDemHUOtgV7jh8Et0LSm
Tk9PAGT3dKF9Qx/dAHLFRpmIRTdms1wHUiWfup5lk2aHf66z1LtuzTokenpx50urHiv4GhO9OGR/
CSq1dhk+hQwHyeI0VJJF3NwhgKFhqglj0T3tCd+PH526H2r6ge57OH4GKp3utbZ8YOZMJ91jhw+B
xHp/DZGW5ho0OBckP6QW/7JhXZ7u2Oa4l23iqLOjZ8Ts0gtJk1i8SVSlF/O4Qp7zFRhFXIvQerp7
ywtdSVTXrWu1LzNwuBKu+Pg6NUHymAuPBbOxC/hCZv6UY9Jatm/R8rHZk2Dpk5IdtKGZghKJ64ht
tGGWTfh3BmGl52ske4KHA4Hzf0E2tPSt9aGShrGcltRVwcmpJCiDLaFuSPOkhQHAsx3nI6RB4e1k
zaE8bOPL0WiTW2gP6SkJwgc/TbvHcpCvczWtq39mPTIbUlEOieea8RHrvGit7IyLxf6gjJi5H+Yl
uD7h6N8zcSw43ejxJBwFytoZOwj6qeVfuHEjg31Im+dmUvak9gsG/SoN2qiZetgBukKghsulw4FU
ukIzPI/rawbN7sfScvjzLTuWfC/S0I4/hsGYkQXXtXGzX0hGKKGpFgrOQF8YlxjxFZeuAsu30CF6
nv0Ar5xbw4pIHZNUjIGIUwtSNbaJuH9ppoBapB1EcOmMoDIKS/OzdiHZ6RkWGhYLt0zkNT3VGUFh
Hlwb08y2UCF0iIzS6z+R6BBeirfAvMJbuGloxUx3fWIGK290vZVoj9H5SxvrmkMsa2nn2azpOYaZ
R23zabwhDS/7kZ8G5GfIOliRpgg+cc1hzUADJTTe13TkyUlCoMRtRqi0XbDeSy2Pc6qh72jCpEF1
Cy+4ZCptbPOg4Z1zNhOMrPANbluHt/fEyAjNn9nHG8kbO/Hivi60vdT2bQn0mVDKHQiu9dYfTUIs
h7EOyBZrR/dyVIoWfynIbJeD0X+qnYKdw3Ikd4S9dOIVDul022eCdbp6y4eaO4SPK9LTp2KYHcs7
fP1Y1luAVZfmVBKxsSak+ViTLrqSAD+UANPtoKl9KwSXO2spITrQG0Whh9KVQIwrC7i/szVl2LyM
BH+kN7ZYowKzquW7jnrhLWsaWP6d27UliBJOyS6T9zJN1l7kGJja97fJ5BKsW/QobWHmzfeEDooX
L7VYWGeJkxTEyUSzHFn2mqVuJQ8jZ2RY3Sbh5u7iBD3rom/dl41hnluVGl8G2YWHVI3htOEzU+Vk
hh8+2hP2KiLm6SNsu3CwHhxJRO0moa1Y7KXvkmmVTNl6RTtwUfBKUSNuVRsQ8oJ+Yajv4/UXzdEo
vy5qTbIre35Gw+o4NQz2YkoTRUkL4bkMRGw+WsbsImxiq/THe8/JDHWPRxoN8jYb0yQN7hjwhh5b
VRsusDOCpJuz/VwA+bXe5wHVcnKYxgEoiiWmO6hZYpeZLhx2EnKyaBhh+o3ebB8qGqwjoh4SUwtX
ptdONehtZqTzjv8hZMDccS7zpUX0kXZ3TcDKUujUeJ6MMDsbA+IU3adsPXNQHREpQOmDsrMv1fg2
4/Wi2oSNY/rhhTv38barnHdJwJLuQNncW2ZCWNxiVRjBp+7UaJK1kqG07mqXJQZdCSbznBYn+X1U
JINXFV8IY0OtrZsYg3NTYSDqdBPxBI4AwOsvNf5wglVuwskdT9zXFAaqM2/CoTVv6FTrSJvV1uvn
6siMuNtRG8f3k6fw5LGJRrR+CZ1x3RvXHNwrSG31O35t9uV6Ks/sfBUijgK9LbD1bVB5uyQsr1Th
Eh/ApboxARa+J0pMMfK3netGw23cOolJATl1hzIs0UXoW6ey7qj86h2eT/ML4mpxdr4OCiqMlLjV
ap/UpOBo5MtnLC38IK7iEd6jxhvTqFJm2VBoGxrdFDtwv5nhZ7GCpKtehP2K1XDImwvV2UB9HDiD
V31RcpNWKatN5knuyEWvwNx4QsZ8OxdjzjSEsjv662PUeur4PmyS4FGfA4egscAU4BdhG4CZPGTH
a4+teCv6cbOAoYm5E//6fX45/fBGa24yfD8zcDm4/Xj6IdtwUHkzgIvEC4dpGpTnQ4dft2QCaK2U
1/Xo8rYc/vX7/nL0X78gE12PTEvX5aT44/tyJC9Rik/tccpL73UwCFCq+qmc9qOfsn41VT3feV66
cjL1WuX+9bv/Iozk3ddZMj4tjw/BQPmHMx/WW7onltccSZIAIQykxn4I1lUXnhCr/ZDgKdmYreRY
slbetovJcfP2Ef5tmf9tyxzfxXe/1q8tczbb9P9Fr8XPcXPO2wu/de1C7zc6Kd76263pcbbFT/yt
a/fmwVt/WpMo8J+UxLTT6djR0OaZWlUA3JbfRAau+G2NhaOhbtpfUSb/pGnu+j/eYqvqdaUL0cCy
aRO61s/aW9pObe9Nvn25UEwnyyHrk3lASmmbm2rurwzO2ru2okrY6ABO6QZY0fJi2KWH0DCzjr1u
jcuYz76bO6PaJ1QPyMqW/qpJ6iMecnUOutGPAOl6F42qjXtCR9Gi1glatixYjWGVd6+DdmIrA8Cw
UYQXHay2azbVus17mLY2/H3W3sbhCp5Oxw5G5xCDPa/ZpCI5Fll65VEzn5ldMk/q4nfj0t1MfROh
0jZXl5917HoGxAFlLpms3tlyEVepIowoLj4pFLmRyhmpVVrmW+nU8xVETUAloGEnbdIiZ+bWlb2x
i/Pc2s/mshzESiKsE/tg1KJ+Cmed7/p2nfSW7g6e5o0sZnfHag481B6cfelXwbaFv3B0Kqonq8JZ
w5Vyo6EOwuPcq+yONK0mqixrObaFjXygmVc3TquPmLdu5ByaSEmLhY0MLLfCBbxxzdbBESGcKMnw
Io2VmoACl/25yPyr1OLMxSHjLjSrcTdAewkrdcSEh7QRLOJmRr3K3DoxQa+bBwMn2BZ6+yP4UCaN
+LN2GGOGaMB0E5WzSrZSGB7VivpY9eh2pwnhLIzYi5aKbetgyGsWf29kjMQFQJUImgz5JnS4Np3w
jiG5VQM6x21Q2Ghhl9h4nJ2s2XDUFrhk8Aw5Cpi87ZKagnRlPtlMdR9gUCyn3gp0hN0bIMBkCRgn
xhz1k+mCqYVoKAIKH+XhzsOfuAut/ANJWu5FB4ifJGHiN4TTRQpUAqk/yYEl2kePBTGnLI1dkXcP
Te89BtNymdujv0lwVe2NOjN3tAXTg99WrwuZ5Hk3uIe8iSVn9BH6IWq5c2eHn10Ij9GgQxFxT6xa
tY03cksEMnkHQgTVYcLM1iakED7lsNWBtWzdvjShDIoTTTDrw+wuFtK5/mIyio/L7E67iWPVLs+Y
T4k6qbbLAvwfKyDRIHXeRX7SEg274BRzYcVuOb50UWHJZ6Mf0FT7Uww+ogfPTtrwAW2iu2tgTe89
JDL72MnfS/wBV/TKqr0TfEzC3iSZ3O+2ovWMB6JqYSwg9nAjv8yyu0oTFFf3zPzzIp0PUHjkg1mT
0sBYorhbmE9Efb9cIQMp91gZR07WqbdfCkbIAjnVrp6gwQy2YcJ9kcvOXIpqBzUkBZ0DgRF3J5pN
P/dOlg0nI0sCfbTtBOSrti96w1SRwVzuPZRDrmJAJo1NZOzWS8KR7B9QhaZoSG4UufkeWhCcY8Py
eHK7ZT+krb8NFXZVnFj1fUEuFehCZZ6toR/FJmSXJljcKNKd1xKCNw3kRxILUTDvh2/IR1WXPtp0
/qBxWXM6PQDTvjbc4mOGJpAQ24DMjM5PAP5oI/IXrme79OLog0HGgGx+meI0wHpGpD2R0/QhveEe
DP8JLKZ3DmA2rF77O4/W5m40nYZwiIlg37H0IpcWF5rr8HfsfncZHtXYUrcl4FDm/Zl1mDPjc+Uu
876UmBQH/zIb+fO9Xx8o68E0gNvY+0Tbbzl7tNG81oopOeQby81euwZPXBIs9z1q4KO/NkfKgpHi
GKhhS6E172zkN5GEO7o1E09ezba/V5X9GnbrSQO4HpiEXtzHdppsKz/cKbI3TB41fHHdZ92XHCgW
4BhC5mhmS7yt+E2LfV7aegfRkqp1KNoIAWZw5BR/05T2B8/rL/PEJeVQTI/B2OPjw7S7LWfHAxyV
1Q9hqJ9KeJoRrfbPYFMwicUo6cekfLAtdeG7g7xuA/ucNYj1RdOUVyXcGfpzt2VKuyV20mALu/GL
lCQsZSFAQrGo5uC6Cm+tmPNdNw7l5UxWD0mQMsD9gHmxxMzQO+kHqNLhw+yCBC5r62Lx0Htqe+72
Q1DqaAp4x3pZHjoEP7fk6xEyxSZEu2BC1oFkFo5uuZdKiI1ZifsWYS9txy67mLv+lEjYrTjJDQ4+
xGMwUDGjtOq8l7KYnsdYqaM/E5OjbDJfkjLdK3sYD1M9GXuC0cTWr3R4M5R0qROfjCnXXT84aXod
Z62BLi9RUXcNOUA7JlD7qctoh+MuOFmp8aRCokE6XM8O3lfWQqVOgV5IRc4yuUPn5x1Zf7MzKU0Y
NwxWOfhJ2A7gM3EGtrG+L47YJ/7okHzRAl9xW+uQ+PnTqDOBfj94mIf+oqfDTnZe8sUxWv9c1mW8
N/xy2bitZ+1F44NCdSvzHLQcDxpysmgANvEe+A2M82BenPojXZl6eO9iEsYbQA458ejHCQg/MFEQ
K0EzPnIOqkipy+nM5uWm4+6rAvKzZAjt00/tYn3IaPCI3jl2dgOFc+u3KNfeO2qsHfT48yx7iGOi
b1i9C5wE7ZgVBNHG4s5x0UDJl4ZIvKU+S0f3frjNm/Xwg6iv5JgMkbCVi5T/DsS/Gur+rrzGN8sY
9X8fiN/Azv1hGP71Bd/K6sD8TVgrpIINRaz4Cubk38rqwP0tsLBy4bZzvBAS33+0KGh3Q1/YHgW0
7/GPlXrxH+2ugwiF3HKH3oW/zpR/0ur+lXbX+nka7pPogEJYrDN3hnY/Dxfj0UiIUBDixHm4jSM7
Xwp4+W18FiCktpibkYo5OcEJknAFcgDic4A464WNeXovaiYtrpf3T3jY+6eEE/XfGN5+PtTy6WxO
F4IPaDuet8IQvx8lhsgCCa8P3VOu3eZVpO50ize2XjNh10ZnVs4HkFxUE22Dtve7X/G/jLMdm4v8
Y8tgZXqQWc2pCF+h6/w00AZsQVqcyjqAXPFz1cVEQo0qC6+KEPVY5LXCv8TbVpPuPHv+xeSGhDvn
MvswLfXyyVd9p6N2mZ1zUpKdWHiqPAylVMWObpz3zqeKmrcA6MUpHqvh0mqddk+tTEghAXsM7SvW
aUYL1U1qzwyBQLEDBAo6UGGgLPxIqaXCb0JzsNs4DDM3OvfsFzwc+Edotm+WPmA6Te97J5tS3aEJ
rPfN7NagtgcnKPYJPegU+leab53MNZ8MnB8MPv0HBcu73LpLxx7se21NjtuU0HozRvqIjaOPs1HF
28JYnE0O5Ro1kD9qEq1jio82JbOhsqf5uYb5LTYG7sFLMeYUfXIengISo/BumegRNxhXVmY/EaVH
FJfznkBDD2YkElvDtcce07Td3YXKyN8xq8isKE869EeN6UUEEJuSaN8p3I3Kkdleo2jAQ82jhMog
SBB/dp3HXNdNhwdLNemuHvxRndZoCvKC7Hq4mzJFmWc5I8CEzLPMPXKJONjU8VBQTgivtRB4J8sa
5CZNCpMks0fSPEK1YYhCrF9LMtaROtA2oJx7YOWFePbzOQAt5dW3RS0nyGCdLWFgp2wtEhjVJjEn
a4/ZTe7lgLp0Lm3jsNgBc6jU1vvCzPZg0XTEkxoSlehXdwvzUEZ9jcrPSx7kUSAG/5WRYXskY3nZ
hWU7HOcMTuF+sIeEhn5uw+lny58o5Dm9HtBsW5j+AxDfgcV0KrdJCh5TNqHSF+lndzT1jUXcpNhk
tV99Rtq/BsctncNxKCMSGyNZR2apXoSz8XyCYiOevXsmW4zsyM9SdLMJHvfGe/JXs6nddH7d6G2M
HSzZ5lOM2TFoh+JTnadxFmwGmR9ssxk/Qf6q1vRbwIfppkXvZV71XSizVxx6JamqtXbtm74nwGZR
iwOz0sn18zpUDy9nzP6vC91ORbKCmiRPRWcMv9exystIhkOHPQs5crYbiEEzdg1uxCuGxPWMnswf
rJ3SxpLdzw583SMaZdrmRlzT7G5qWSWRVIyNP5Cyiy4OI9sKmZ9FLbEwFuYReX3KVjDUlzIdszbq
qI1f+8Zf02fnklt9MpvTzIjoDtDMuhgSTkJKVFbf5IsiPEA1XQhVJeTd5Prd5hSHAgxNa9x1OCOo
hbXbPw2Zl7vgcjSfnoPPcuwa1PtZM7YvDOkZSWibeJtQaOKs05EHedcDozMYbU7qo5lTSRI3KgWp
I/FIq6+12+ZV9iXHv9Yo0deuSzldAK6TC4lnN9CWZw5hDBpNhb08lr1jQIovRoeI+8MUk3cGBdN1
rflVKCXN9hyQZ8g/CobWNDFA4lAhbxprGfVznUxl1mObEPUrNFZa4QTz9ReNXLzrrrf4xPhyG2M/
gurIN64h20MX2OXNXKcMpUl0IyUSnOH0TqHGv3Gbhgcro0y/kaIEA1InXiMi8t/1Ca/SAK9PD2l1
WaHsALjEJ+DerVr3VKPD0oSoSxLaKAhjFdW99D8QMDBiM8gkaNQyIa8TE643mxuVAoakG+OPLw0c
j+vUm7FhocxvNnFgkrtiw10uxr752FvDe0wd3kmHYS5Wcfz4TnmlU0ZG4cb6EKQBgT1WkBHUYjd0
flyRx3sLmftV6ugYvKsx15cp9fyDXajJoxRU4ndYZQScaDLA9s0Ig8hujGVbMiG5dJFGXMSpTgn+
WiR5nR0nu6kLWoElVloXDvSkU2jbiw+kLkZHzT6z8JXDOXJDYkIJYKp8G8lJjztRNTYIw3nw6/lQ
jw7wUYRwucTlDKWDYG0XMiALfl85/dO/fdn/i5ISfZhNRfe/F47vh9f0+8Lx2wv+FDGvSmWoCZgL
LaqfVUb1Rz/WgolGvzVkxEDb03SZQfyhorR/M3GOWZT7/6kYV2Ez0uaVAkatifD5n1SMbxXhd4MU
hhogHUyHctVBY4h/4cearGGUmDYzCytRWQYomWBs53nPNoA+oUJkWEwTc0edJO0FpP3+kzXP2WHK
kFvNXS2Pshvp/6+am5zo5V2VWdNdOs/ilvZnbwKILice+gIJtKk07qXKgwBwZ/jzVDO7DDVCy/cp
RtOqPXL+x/6UUH0wzytj4yasXF2dG5lLHFY2mKvgi9NCf1HHEenipE+JryxApbFPUifiogBbWqu5
yPdG3fj2riWB2t0l+UgDg2vpOkDkYxoOvG26Sdo1ZauyE2oduhzDnaxccgERRF/HVZUeOt9e8KFA
VHyoK+wRy9A4R75UA3ZYGR/HtMoekDpLUsWrNH9HrAOiTNmdSNBISOaM1StCUjAEfYXJJCuArXom
bY2w0YTaIqRafLs+5/AtBb2dpRhZlkZ28O4CfXVVW2vjZ7pOk0IbJ5o7I6yqwkjme2O21GISDVfk
yT52W2H7BxtomTro2GyGDqN3EltoHKqCYPiVwQgd+qqlLV3zK5ChY1f69O+K8H9ZEexVk/tXK8JN
Ub6mTfX6/arw7UV/TGnc30AQcu/ZWBFWL+h3q4K5uh48j2fcfvMo8J++rQpv1gYeV5+jDE//n0dJ
B9a8gP/OHMheX/ePjpKYF348L1kmzlR49iEnWtsiKOGn85KkHVtPntWd3cGYIodw9AH3FFCLIXgn
OBk0JxEmBmhOjAhYDqSnjPfpIHKsCG+SlYmSYEEkV4VZfDDI35MPgMTKC1gAWX47kLHxgdG7/yIW
rz6ntLAuhjG3o3CVeHQA7KozJAGszUUIWkrn9WXedkbzUqdtQxWo2uVQzXSExkVvkyW1232lRxm+
aMQjwREAY4LypJu9Zz1OKridbeHDushS+u64xXYOfgbQxQl5W696RaSqN1pqI5si2bcrmf5yAF4+
JHujrEx3tbdl6bSp/oe9M9mO20i77avcF0AtAIF2mkC2ZCZbkZQmWBQlou+bCODp7wZtLVsql/3X
vGpil+1UkpkA4mvO2UemnpAXQpZQL+/wmC/NBa8SCp1EUZdgdpozKzoMvSM6ZBnAuKCfVHhH4OFB
wvJNG+gccqOLZ4JGlaxF+DyJbpnLUbZBZPs6W6FpcvHBJ5Ghv0lZ9CSx5Elq02XlgDmwW1TMsPKg
HAn/hgk/VohWQcuS7qrIMGJPn3gLmVkheULWEuTOFBNfjq/MTNwcbyxhbtm3JZrn3s6DgcQjG8sn
iBI0GtYU781cRd0F16l21EmHv9Vh/22IyyHmEPbJJuuT6pho2rSP7cZk3E1LvRG9jigLnd2dUUh7
5/jN/ArpEGhIMRbBnM8Jdsse6SWyxmsgbWJf91ZJ8Pkw7vNqIvOrrWrk5VOxzggVCFki28uyqkPh
JPGNbfoVyK5ChY4V56E10MFkTlwf+oWgwa6U5XNUaQOo9ogc4wXxwk2ROZ+IEI7vYNL0tzKZ3Dt2
S9PnBNcjeW9wUromUXfr4bebpzqlVlbRbWHWM5y2RjMDBEw0P64ZhcT2uhffz6OnBMD8QSWOdqOp
aB2Gd6QWTm4nriMnKvZapqUL2wq2cE/NmnfuRoXzqXWM6gEEZE5yQpTEKmCbKVSQlp2rgnqGF1Ox
JYE4P/TlFjj5cJS07HtZ5PETYlZx5S8Q7jZGY8tHyzfYS3oNSmW2XV3xbkiL1li4C6D7uK6qbW7W
y2amaCCCE9ZzJ+3HDEpHn42WAD+o3GsDGQnRTClaKWyV43QzxrF5Bf+3PiBEQIaazXzXY9F3d/Tw
1VNHii6Hi9t8lUh1jRbCPEpV78Q3XW4xwFrB3DfkLcyFuoucPjmRv909xjhYX0axlMS8c7a9ZXWn
X2lLRXHftsI9yUL5OytrvoP2iQ5I9NstrEVsikQNP/i5N74QFFg8z7Rcz0IO6cpf9fLnFjsV7FDu
MEcbuj3yWXPru3LYpY1zJWtQldi6iz1MR0jafmWfpCJFm1CXHGwpr9UAiTN7XWz8UQwG9PS2ijIF
qaSh+4R+LLiKERUnpFsUmxSBT2hp7byt5QjTO8IEy+cyQAAskiDWdHarvcQE71chozXzyUK5czNo
3ad06R6yRnO/KRueLJuLSc83thSuHZjNwpaxy6yrEr3yNUKgZsPMLQrdND76Vu+eZ0kZUddj/7AA
UQztTq/fnFEnklsu9S1bg+UrRVfXbgytUACEZAMvM7Y+xYlFunGL/XENJCUievHjM8qA8fNAkHMF
p5Ako1IPlpx1Lx099tC0iV9ZP6TfC0nz3E/ttTlGcms7UoXJNIoXk17/IDTXJO5YyvnaVGuKZe4w
0RlYtXHHWYl+MVrWBR39FtJT3avv8qwn7qAZDH/7oTKf+rQCPhKlyBITyOPqYK5q9lpavceiUoqH
aYi8r7ks0dWM6Yhiz4OquoXPM99bWuTBx6zsV5AE9ZXv4AWm8zF4zoFfVLexUSHeZAAEBUUShOYS
2vc4G1p/cWOfeVY8AuI3hA04o0+h6JT0vJuGsJ9rDUr2Bfg2FmsSMYNBV28tZ969wYLrGGtRH/CH
wizIYGvYqOD2Q2upa21YfeP4RN6surPfa836ljateW24wKeCuWWMhyxz23YAWNMSSCHETO/sizy/
BiRIc5gtbwmq5027Sq0spT7VevcAhZtNtdElZLMxU0hZi+5Shs17PV38u9bo6q3mmFAcLVz2h1hL
LkU+xaSMpxFrtM7Ab2ezMY5tfcf9/paxxb1vTVRrCa3jY+ziJjaSrjnJjK1oh1CqONs1qCS7r6Zz
XenxgQSVmQTd0hn2eJ/qO67cEnGdL2/Tue6+tYolKRAHo6Dssbyn2ImsEz8hjCPonUFtozNgyWeX
t2Wk2bvCnOujUQ1kNjJbDudeT6+1DnqmU1X1fhjVGFqjGj5DskT06dVEhbn5l6E3vmZtk+MWNpfr
Cdn2uHF6mdxaHtSwqq/JgCkTM5iF6t8NMeXb0ZjHhwzk5pY1ErqomFko8nAP/Z8WPbCL6S+Mg4e9
9FnKzz2YVnhGwiBY1UdYD0jLw5uQaEc5XhFdkQR2Jb92ulV8Iftj3OGaz7+VaDe3xPbxvXrel8Qr
vnek+R0R4ruB7uZwhGz+jvQvfzPbCA9gyelHPSuscErJSEeza1xDRM3e/MwjXaBItD1cBFCcfVTc
ZUMhTpiT010zZO0RF0azHUGiHQSBkzsaGxVq7Hb3uZlMV2lZo6wrFGKCwdC0UJ+x4aumnrbC7au3
wZZpwM/+CJbKCMY5cQ5yEmhW7fNiYUKoUBei2vLNXW3Yb63e3I2kyGwqFv3Mj5Y9j2gNDLT2YqRk
zSQJG72UOKANPYSzzfX64jbdnaujHO5bcPclpGoglusU8d6DaXMiRjreVRCnN/jfzY2TViYhIVgT
lmLtVYqzKDXt3u/JYy2c0T+Q3hqH5Nje4Y6/nTGa7yA0wPuvNcCZxQwmZDTCPM2LPZL5OhyWpgqt
uGYDmYwweiaBHlZzxY02KMLVfc19xE2SHgiOr3HXGt8JpIO/MMOYS0vyRMy0sTnI8oTzQIx3Es3U
W1rOLRJmLj9iJg+Omqo7RwNF6w9QjCd7hfb7zXhUJQaxDPHQJk4X71SShl6k9hfieT79r5f6v/VS
9t/7VG8IWqqrnzupj5f8mK9Aj8fBR7AUyYoCXRndyo/5immhhROMXuyP8YqDFO3HfMX5l4nPiNe5
uqv/xtv5oXdjZ8fQE+c4uyIXPZz/34xZWOb93E0hYlvFqqy+dJMtCPvDn+cseT/S5I9+epvljG39
AI0YQowuzp0bP2os685y2q7fQ74jezCKfJaPFNypQ546CHZ1QWzEM9wFPr3aLPJB3PMkogB4ttGF
5HrgAFDcNFOVH5iG6vJ2KFr9W6k34A5wtAGeDzoj8XiCj0YdE+HE3tqb9rVvgeFI2uxUZpXxLvAe
gHHrW++rtqpKlePFJze32k1dx8AhBmCGoI2jfbyQpyT8Qif4I2VLwJ57HGlwOp4wxIp2NoNLS/vk
6tpXj0xEJP6gE4GpuAC2yeNN8adfq9xKjy432Re5Dq9ZliEv6yonue9cL4cZXKv5FqBi5IcEeZTd
VjT8xuzIloE5eVs0IV4X0ovoERmjrLmV0vmaYmz/1KOcyS62qbSwTxv3JuWJLiFrK5Q4hTPzEMa3
gn/JVz55LfqQzg+uPeD14ZuYX6KZx4FGzUYgsoriB4SMkb9B4UTPNfPjH1MnSq4WqdQL/BWOaMdS
+jGuxLT18efDBDEyaOLuQOuCyEQ0z3NHdRkDQ6aicBlpaX2l462ywTSjn1g85lLSHZFIrFlDRH4z
B3NVAvg0Y9jbgdxz58+s5lrYgB1XVmCyclGhXyQqTPVRsDSgJCKoIHl3OyRYSZzmhz61xp2MhRPa
K9uEvZl71y7s/vCC5XFozgN1moN8ca6Rquhla9xpti9JNy3xWVgugpuus51vkhiEkPHReGFKsCB0
nOsyQSgxs4TatZXWXEMAz+azXo2625xMDIdew+O36j20F1mJjILFUNXcWnnLyGCpUsPa6CKd44o+
FfnTZix7/CJRjrJvw5bFY07VGJawwhJhhbgb+5jvajEm9wHTBhmkrqb85gk7iwt0s4a5PicUhZtO
ZxYTIBJc4Sekn9acR1GHBaYhm6FsSV4KssLNXU7xmZSRiTldD5hQUQJqXno9VUNy5USVfDXLxKGw
7SXaUlwi81HFZNshcTMrUuULR08OM0qj+oCMtjA2A0HI5AeAfBwOele6uypO09tUYZOm+JogxdRd
VHJnR54bYU+c0yHsspWA2ETNNF0vS0qMralZoBMTvs2wmdZAAr3SumWT0bPEt7gAU9ArHGLuWS0l
44fe1vdd7o5ISUU8c8VZGrwhl+K80NyUNO66mHZTFBV0OYbudGFZePLFTHtqLwRgQCT1HrvZkC13
LGXftMWvuKfImlABatuZWWYtejaRbVIOu3ic6xdFUp618eaRUSjVGcKmqOmqPf8QxxGUC/LleBLN
DyBUVX00bQRIAQtA09kXemJKCKaROIq66d6hX3+yR5wqIrX75WHKzak5yDwxIO1Eswq9RmMb0vf6
eYHbf2dVkvsxsvys3GYxTzN7xMWQz222X5TwTplGchRIa02pa2UwjXZFXy0h75TvPS/qt4URR5Ti
fFf1Lqb7Cs3FEndaM+sQWsekCB0/M68AyPhb4WWav9VSRrqhlSjjsVlIRtBFYfI951acfe1aN3sF
yKR9El0xfaa2nTpW8pbFvWapCQjQIralQXd6RMxrBYXAFLQlVSDurvgPrJGujd3dBrVIM8cbx1vw
D1i9ZgPJmOFQNagf54KdNApTQPuoIUm4c7oYzydLwoPWdmj4oqGUkAtruxwtivdmhH9fkbFnzLF4
muTybHEJAzTuFTsgv9LNg+NJ986xWbzHQzSHg5nAlCWNQge9NZhbmJ4kK9ZKqvsq6q1LUZr4yplQ
lMZZdnV9XgY0aXuvrcVLO6iXWKnJ3wxOinWJCXzhYffUBzxXYP3Hc9mU0BFmo7/HoZLRV3N+xXeG
wniFPtEq5mU+lMIdXJu6E+RodGqJU/Qulpcbu//VU/+neorJ8N/Opm+/V9WaBPJapT/Pp3974e9V
lWuBDzeRNTHMXGmA3p/kTqsSilbap4BaFU2rmOdHVWVSVUFvQCX1+1j7jxk1xBDWXzBBPAPr/CpQ
+i/kTuYH3eNP2ytgCitD0TXgEiC9cn7VOxXsN5ey0dEuu1U+h9Q2XOJ2IQlWiYgT2PpongUjaBik
Ozk4rb8x+6470iGiEllasDxBUuiaj8p9KOwwQd+tbbC4jMgP3hqmEjfSAbTFoFkPrRTH/GbBQcsk
T+t7fPqzFS5OgbxcExhst2hSGyS1DG7NbZcly36dMDBAmzllV+wXKjCdbmNZPkWmBhXMKtxk2/kr
K4yzqyWdbyWI6R80MUOtYLEPxlj+wRur2d3JtX3LcWmhux6T6pC6S/odXmH8JhewZYrXvNhznY1M
0cGaETPN8gk4Iu5yV/g9E5MVglavODSoDsXVtCLS0joZztOKTTNWgFqk06pt6hWrRqWHqNaNs4k5
Adg1RU8MisHpQQKWeBfxA0PhWlFtXsfHDAEXzyTkL/1E1ilB6S54N3MFvZk+n7y1wt+Ili9vhxUI
N6xoOH2FxGXowm6SD3Icc7LqxD6Cs3oFy+UycXcmorIhWGM7ycSM9e3sOgziOlDZGVml+jPyqeF6
rK2X3o6HBwM2rLdHaAbVztSyGGvaCrurulE8qSI3d4AaiKMFIQkVb4miMwxp4NhCZ6BeQ/+y7am/
dx18iFvnwzy32ug4GautVRr37nRbrka7XhKLSOFza40gYdfaQFwYOY2f1+nqp46YzZupz+zAx8Wn
9d4Q2B/GvgSLn1jNfsAxIry3WXVHLp51hi/7DIDACYEW5yG8tnlXrdbBecRE6Gh2eZD4CvXaGII8
z7L7aDUdkqruhtFqRERKAXkT9UhpIVtORr0Oow/zor/6GDOSyXfj6m30pXwzIl/bcV5hf0xWJyQX
OTqB1R3ZL/gkl8IniQMuPVEopoW4376rudoCNPhXMKOTTem1TggL4WUpiexZVi9msroy7dWfKVen
Zjzi2TTYzAJ8T7QXWqz42KzeTrtomjOeU//ken0bZqsHtONYCIoPX+jUct18mEXV6httkNRsRrzz
YfZhK0W7h1Ji9ZrOq+uUiEoLB6pjlTN+VC9iz7xDniZXwZexWPhWs99crARArZ7WWQM38WDihJYP
Nscqzle7peh4Mkgdyra6naVXTqe7d4OXRMmzshYcoaORFWTF+yvToiALl/ef0gtRACYyygYEXQEr
Ygo6xN9Q2Y1as1/AVVfZUa6Qr03BpkXCetQXq9p3tdZND1OaWhKU6YfcKv7QXuVCn7LPeT50SxUS
sFq5CwPonilX4/hLOPUI8EIuszj+XBppXARZYlAG51pd4u3EsaNv1bwYNHVGqlb5vJzdOERZTgGO
HXbI48M8eNbnsa7k8ObmvpE7AAhgSU6bYhzqEyoo2CjI5egq+YtDLiJRxjarPerRgf13PjrUmC1N
b2AOHSsRUzPUb9rQ//n9/kmQ7IK0+7st8n1Sf/v+/4598Vp9+2n+8dsLf5zUxr+MdU/MIeA75m/x
IL/PP1wAXiBosEf8wHf9cU7zCshOzh9pI39MPwwLGvXHwf5fCUxIxfx58mExeIFfYuH7wfWHgfAX
1W+LEbsrfSKINeYQVLdJzYKHqegWgES5TU37RZbTdCY2Feb12LwUsb2uHhHZ1WPBU3lJ8rBhXcg8
sKwwqOhPuNdjZvhFm/Ekg/KFIEMcO8NF5zpr7i6bYfV6vXtpAD5uTGXcZjjrX31Rnh3JFFKT+2hA
HT10NrnaEmFrMVFCs4x+H/UxvWA4QXjpNrgCq7rd6Jq3bJSNZDTVl6va128do8ev08nXtWLeAPbd
Yt3IWTen732RcT7Tk23d2ru4Qu1l6jYBYcrvfl6dpTHdR8omADMdd5aZn8njurWy+Qp7BTvaTNsw
o3iliqjDul3ebKaqxWS8AfN+aed+x/i3oA9MxDP82UPaec5G6jB66p5g2UrzLsYgXvKpeHV1rIt6
LO/1Lj+vn8DAKcjipnjPmkoLetx9O1HM7FdLvHnj6u2Y5PQYC3m/Lv0DD9/WsSv8NyoAf28k1iGO
idobTTr4AvCRJns+GF1HFJeezGQ0A5VDeWFdIxvrJRH5CfXga9dmIELtCygNBhSO1W8tfiFppe/1
MN9atKq7WQw7oqRQ01krxheptEIGiDmCLZxZ80GZSYeZ3O6GDWVAsk1zfwiAhdRXQ8PzONbWzzIp
X9kDUBytuMKBJyIgpB75D/+B1i63stdvB1PuxwQdkIfHTZv0q8YlyBrV6rsAgbi1jfSc5+qKqtE+
eDWDqCzlN6yt+WmJBmbug1Ng6hFamPe80ZQi4E1g1l53dnZiifvUWW3EU1s9lrodqrmSQZV05AzU
6Ws1scoqTPXm1cvVZMYpD/AuveSt+5Iq/avXihufTAqYjLg8ibVf7LE7tGp6XFr7kKYNhshOHGIs
KEylPJx9Azh/9OJXTj0niIb4PjEeCARQXAlqGVimm6XYNL3+VMXGm8/6dFMqArYH4vfYUj223fho
qeK9ZG4TkMtGDmOpHkVkJJs8HRp2N1TOi6MhKoR7FXx87kblsAO3Xuq2ynYEcoJ9tlzm9byO3xPx
A14oKZyX1O1m5uhcjhwRl4YV4Zcsor4mwGQOWclMd8LhsitUHLErY2E5I5M+MJ2ZTm1tT8e+dLyj
mjRA/wDFtnhlSiKRm3kHb2s6MansA1MrxNtg9F/mqXOuDS9v1gCTOsXX2rG7z0IfSnPo5ot8jdya
AASUD4jRM6utnvIqeioVmoVwsXo/3ZTs8lQSXUig/sLOeAog7uCI5LhbRBo2w9xt2fklQCQw6qPj
Uh3BiPWATs1tL4WW3FY1AV9MNJ5qjW1ajwdrO432K4yw7q2qQLRVjOW2hYOB2YXu3Sy+sytZRzCA
q6NbYyD3EnUGjrzMfKvJHdr0bcmQbWKgq0xjJ1xmH/wUK8mIy7BFEhIqfB8QJNxxr0wuujl3X1zN
IZe6lcdo6t412V1ZTn7606HzF/6JX+bXPMV9UoSYhXProy36FQmQZo4FWipHJMC4GetsO6zDs0tq
t4xpDOcf3BqomH72avBuPgeasC3gqt5H3/enICGIIWPlzABSY271kLyMk1mIhORDHuh//3utKqaf
Osg1GwsfPG+GBBPkAv/+T+8kXVeJDI7ywRzyV2TW+WZ9HGeGxGGMgJklppz136YS/xGx/7P3ncin
9T1h67OUALLPX39+z1hUfuL1EckVg53gC5se4QoVgSasg9TsYs0HORUFrsuep9vf/7ri31ww63v7
K9qRRhyo3y+qLsANcsHaUB36shNhxjr8dsbrsT4urpjW5AfdV2+yV3gYJHGz2dRz3xI1uumS+S1h
zhpXy9UYA/RAjX3w/RJ8EJHLpievJCBn3O40bwg0Nm2dnSun25X2dK/K+Em3E+LolXUZmeIHqq79
vW3XzeeYnWkAQGIO//43/YtLiCB6GAcQUHV0jb98sWaR+sCyLGgAZr+zajAp/nILwL/9h090NW/9
2xUEwIARCSADLqVfPlFfGqw4vPVa9QvrSCt1O7NA3eoMJyim/Szsvfw8xEZ5V0zzrTvo5R1OS0Ih
l/i9nXgur6UKrO0cKLq6ijVMLL4cHzXfuYhu2icej3sbjBMbBCIBW2Uyf7PNeV/GZrOC2Mgr1Lv+
vsrVk4J1g4MztU5ADko8mUN9BSbvPUrxrVd5wbeovHqPXPY9qpcnD0TOMtBpqEYcktk+JEmVBnG5
rHNqdYVjtwjMcbl1Z0wkKNONHRi8L52Nx9w1qLH+/gv7iycMmsY1Dg3AqsmO7Oe7YmEN21qaqA6L
ND7KCcWTDY0Z0Q1SHP7+vaiw/+07s3XOKZyUrm+vxI0/3/WdOaduYc3Vwc6ne8KbTiUpAv/wFn/x
ZHHxuFnoNA1mFL/OpsDL5UOh60Ce/akhnUGB7I+Wt/VJj7V13g/YRnLTOviaeZGRn2wBpZ8Qlj33
WfbVQ564Qavb4YXNxGHKOMQTn6dTM5dnBj7viyOJk4zY9BTCYVFgC4keZumvi9TZArb45DFgQTzh
xUdrBpcALUpuIN2QDea3zc7szGQj/Nbcj4qZlW6m7zYqKUx4+XlSOYFtrBWwTVCgGrSwNkFuFb14
wJj3vq7MZAuO4zdI+n98Klp/ccfyXfikC/Ictizb/PlLqcyGdKW5rA5GQaMwobAO0mGkgtdyfmf8
MeSE2RlkCO9SYuoKor4jx9cob1hjPHkskJDIVCy9okUym0apPSb6i8waEXo6PTUBtpdodHHfR/Yl
YTKItIonUQOKPsTt9UQe89vS65vUTR+UoDr0W37hTlP7PNGfZgqxTRMlzV4UEpuivI9tZzWQcX1a
DQ++3pkkixASYMuo8PemvTz5TTf95tv9jx/SX9wknBnr/5if0r398hnJuAWJIqfqIL0qpMRRG1fy
41hM+KIm/odvhBzCf79PPE5hHmsGCOh/uydbS8yMgcbq0JFisTUc6CZelJ0iTirf4PsBBc7Cd6ZB
mkweU1lGBRgXZyenABzryMGKRQIfFpqW3eiCEGOVz1Wz97XPjWuEFjeFDwMi8an2VVWLUDT9W5kt
96pg6OquhzGXWSzy10iuVSqpF9min9uRBDJVmwHl6pacAm838JV+tJdsOEWIVtYM/BVgiFgryBo5
7ZpoHDbFMiRHBd/uowmKKoUJnFSZUzXKx3SgkfSY/AZLS6tnL/KxG2Iygi0ShcWEx8e4bbUUmBbV
msHmLV0HzuvfaCX/BFAwF2QzTjvD6vrtehv1yr7Urnx0WLkAa8s17idYpUVLtURUxRn6rxciqem3
HXOjNrO5xYaovfZt9QZyOZQjHzAe8HMq6Fl8RSluFdZLlkz3EvMJGR/2ATbyifS301K2q5iAG3gY
ihNN8b6MOFnSeOLC5O5w5HDGhfQl6WV1yg37MpGQLcxuDtbGCL1pupekll15VPaETryYXfpP57Hz
F7c3tQ7xRlCtuKL0X85JSAtZa1rMMnt3fgMaco+J70J9wYdnc1uv9ddHq10PxJQMPpXexz1fJcNu
lr3ctBkvY6AV5kOVbX04Ot7UCRdkYNwGBKdWW1+N86Eweo0GLYfZEWMdJC4sfmu1wj83HfF1C7TN
LeIeH9ZGQZXvsinQeMZkw/w0CcotvRMNVo10DFQ85CyLqaxjGkPOw0SAAMG4ui4zx8dh4gkKZue+
AyAEAKQ4T+N4b9kg0urCUVusaSJs5XIFq/IRYyWkZENb2FjPb06/NLuuGe5dugNAQs5l4hChyRwf
BcaatZof3B/n6/8mbP8wYSMT16CW+M/OrYd6hKgVvOKcTquftmG/v/THjM37l80fxdzNgQf3Yb34
fcTmiX+h7qGg+MOU8cOrYf8LkBaIK3icjoXHgKv+9xmbwNzFWWdzS/ywhP0XuzCyvn55VoMY0G3c
Y/yZDv3+r53MSNhT1WVpfVDYB+TWJ+aUKUSVQpokuWHnVDzIsV1m3p2fCiiSZlqlF6bjdTgVieeF
QLMMLtRUPKPinm9rx6wept6JvsDCBwm6CCSErlzsQ9MJJKqkv9pX6dqekeSFbkAq5CThoCnS+xKc
JeKaOp/cIqbi3EaWLU7j0hbttvVTfI1Ef1PlMVhGw7Jg7njvS9TIG9efrV2u9dZNgnX0Nk8iK9Bq
5gFbvdXECX0ARmZ8MVUWaiIxk+OkevAm9eycTRI9Gx5nyAzGUgg2TZ448tTUq60q2umzzsrZD2Fh
Dt95FwP3u1XhyY/GimGe17Tk3LioDrcfRF3szk6HdWKo823KuuyQ6hSuW7Ho5XvKF34A4QpNvLJl
DHU0jb4tjs0TODdk/9wsGvaNiJ/sGX9W/1xJPb/3cx3ADqTzGzlG1WODnf9m6MkUv1Ktim3EsEy3
NlHCZoTlWmFEaDpaFgxL0nh3Kufnajk8eE4ZUVRu0M/AfrEy5d4t6dJ8MWLPu40KKpkNz3LdCCPw
a8iZClnvXK8kIQ0vgGrK5iY3Wv/WJqIaH4zl24eez283YWa+Zr+BqjNJ5HUyIhFVH6RYMszrB8No
vTuNPoIuJeEkmj2bYGTOJM4Y4zGC1XBM8QyctCK1jiAQ6pu8ayftYWE3s3XczEDgwF6qLaDucjab
dn9YtHLgdzbETlRp+1Vyfn3uMLU+s8tFCOMz+nJWHyt+Q630thDxCM1iseHfKeQ8EFUs/4EzKr5T
YgFn4CucGIFN/CcDvL6nZkZQEQ6JJl+9BapU3hv+ddMIN96Ns476RWVVeojcdliOsMJpptJo1K7N
SJtkIHHrb4WuvCqBzeNnwzGx2RptYtmM99j5bYTcRKHeNp5miI3BZOhTxSb4nCCQlnGAiguhtJeh
hkWOb3SL2MeEkwJG07JMNvNG44OAxGuntfcZuOhKcPDx/pASKiK+nxXMgGdzbOUWep+3iztjwekP
EVkbToMDWepYgI1In82m94cThjAbRxCXz4sbxdoD7gFGZHl0dssSxfA09M9JW14iX8TXBRWF/5ah
xZvMjSnK2tJOcam7Veiahf7JFlAL0gWyt47eYxt1c77THf7vIPTi2C6xfEoRv4ean9RnoBTttucM
y0YDd0+x9mkgCwwPsEIin9idxgB+nER7rGIRoS0GYsP6WZQN2AujCdMM8LeTK/xVA4j/b3bFz3CY
9VSNa6TNGM6DUlcaSPRjPTJTnf3qvl686wGvBPwQo0eDX6uTTLNx66q0YLSMTAx//Z5pnPYNINy2
BecUtNGyJyEjg2dlwo5tBveCGedhWHqij2O5UhXsJ6NbM+tGJIzLPNY3YH/vDSFMVgK0wlAvADJb
YNamAqeB1ziomas+YL9bXelV03/PZveiL2b0mShOCTyoLR4qh+I2m+oe9xPAaqvop1tjjMSurVH/
yBTAmeUsl7T15n1hsd9Okr7YzQYuIVLZ+sBgHgBxvKubMPeWz3WEdQTj6M3SdOdB5lHQIAgPSN3t
9m2EYjRzNP2Mrl/eOD0eKIReXzGNt3vkdt42jeZoB1aSfXlk90FN+NphqSlmimnSThmm3au5mCfo
pvGX1bcfxgadT+7OVWj6Y01hUnfPJBfLg17GwyfmPQMXhtT2cafex84p9nOSzduhk8bjZJjRF5Hb
WrmBTGYdASCU5DfQZRxHh24BFKFlX1WAjXdQs9mrNnjP9g2Y25MXMW9QmubejU3iw3/iaMpK0OaD
bSE2n5zFvcx9W9EbYgvKtl6bDsjJ2+jJb+GcC7uMAPuNCSnXXvu1qvOa3kSl+UvjFiXOfZrpKDW9
XdkP/r5epuZzIyP9GSOAth2mERODrJYLTroacpYEuCpK707wL869o7QbWuknlxACPTD8Fm9ADwiB
ZaihNhgZcuNkqyy+9vPS85mR2W1QDOnoBrlJ1QjEG2eYJfGG2PClg8k0xEVgb0FOkihUhQgb9y4K
wb3buPkJowT8iwbzQ4tv8gm4cI/Bra/aMB1x++iiW4Fu9R3Dfv0isrwKvYFPeiy4DCxiFpXZB2pd
2pig7sAnWxrKOjf7LtiifR/LjjlcIkpc3UMkbc5BZz5VjElEkM2tHa4ysU91Mk73CUasb4qQqW3j
t951G5lfNH98T9MqfkEVRJLvXOlBb9mfKsvWztxTZMeJHPw9sYvcSm30Ke6sPQPWL5Ezvnlma++X
2ho2S4RpEw3oyzzNfjgUsOBct3ttS+KSJ6EfSZeEq2OYzfc4cqdNnmkwmD2RHSaYyXVgLmAuFycy
bgkS6bZ5L/O7ynAuVQzPgxHfuC0HE7+GiS4YglvSyWbbG+VyWRGjUEX7b2OWPLKGoJSivmAaQ7ae
mIqDa5DBznYRd46/Plxzu12LmdYLBrq6jeKU2yZVlL6aef6omQ77M9nqXxLTTQ916rnfwebfj5Px
Too5UMaU1A3N/VwVTO1bG4S6ynX35M/Rct3oI4ZLQRh4TC/ALv4kqzzi2dk0W4K2EDTGkzhkai6P
YmqOJAeuaD/jUyrn/Lrgmse2AeHMwBq/N7MBVo+e7bupaE71oB7+P3vnsRw5kmbrV7l29yhzaGBx
N0BoMqiTTOYGxlTQDod24OnnQ1Z1T9X0nenpfe/KKo0qIuD+i3O+46xZfzDXTLLZ3JLci/X7AJIg
HuyxeWZsD4AbUwZQztpemKfICcsX2YOL7OuDHuGfd0bwLUmtzyYqlHfRuvY92u0Kc52LF2ngc+V+
q63aRMg9smjLcnWjJDs5sNA//HomxNL8ztSzzfCyVio2ZT+fAoUWqXeUs8+BuUN19bIjFYv/BIc8
3cHRKA7IKvW9Jf3koUuaS8eb3lTdMcdhli29E7s+GLiCDR6KXw090Cxg5Kviky6Vx1YVDzxgNRep
kyWbpzEjcaKgFfQnj7+OQBeHK/3WaHtvRyrl61Dkx63YbE15D38kjZ053EAGP9EFg3GrcdEa4j6Z
+/u1QvyRDQhwgQYWqv7CXhSOXK9f5n58UOaA5U9eqdbgQ3ork7Yh0fGyjJDQJximS8Fjjv03AwaE
4pVVle+4twCVgluvbiWhPl1kLT6ZcYy51gerk+W/0wf/V6y3rXuj3fpnjd8/opT/+MI/2j5QyigX
TM9lc+K6+Lr5nn+zlggHdIdDXBVjS9/Cj/+fIkh4yTDdwoBtC2sBn2nI37QV1m8kibFF82xCCLdO
8l/SQG74uj/PsgllQlEp4IR4iDE3Kshfx6ah6BkbJa1xA9hnesQEQ+SH07nnulrLva/GfifWyXqy
Kw+oTQNBzOTQPQdmQFVTNvPLQt+G3hoBstkOAeMIMbkRzGEZy8YsYt+T2b4c0qeUJYHD8hkt9kYU
c+TrPJYPs8V5Xs4pPjo8apHpoatDQszQrN6C2p0SAXPrVNbzIOF6KGUR9sc8686Zp/4FRwg1tk/K
6YL9/rswsFwE9if2UD9thS2e9OjHJQTOUTSee2xn15GRXYz1Uw6F6QLDt71ZfKAEkW7r8oghDLFY
JfXtQqbzuU41inGgZhcHNeBh6EdODzKkPfIwhLjrPMPS0ewsyW7S9EaRr1tWjIuQy2kVndgDb6PM
clv3VnTBCSn7kxKmD50tNK91ad7IRNeMIbFMpwEa6jIrF7zNQXIYhKpjPjDNPpAmySNpiXSECh97
cRfzZtU3K7k2B981fGw3eJaThp5udHx10FaKAlRL28Tw3NPZlNX63Lrc/POSvdK2Wp/Qq3hn7fjT
uzQbK8qAbWEEtJvkTnWLJfZVk+UdglYjM8XNJBN7fZYd7tNxn89NYHwrK20yDYciZ6zIAvuCslw2
/RoLt3FoRpwBOz4Yh+WJMKzgLkxD8mhnVAqapn1qmSwioT0x6NNHv5YUYxg6/Htdw2EzWG5xi+RG
nQ1RsPb2hOYgd2/9siPH1aQU2xvlShcLwZgDFk96eWcsOGQMhqia+NYjqv21667NH+jL8ncSJt+o
h4upfqdk+okcPJiZGz+zWznySy7rJt/Qmh2FajE/wn2rj7JtAj+9xxtPFNEBMp4Y16ND/bzVjLR8
3ieQNL14NqYFl9PeCIuqBjOTIq61DoLFEU0F6cgNpJnrnMtFtQegp3KMzUqYbwRY68cZ125NELBs
sXnmJnEMMFrw5JhkEsTG2KPHyJfJeM1KNy+xHfjUf4RM6CtBy/i5ZdjSp6QtZgXQEE8SZ6gif8Vt
AbGVKntNXFnWd0axWGZcY1e4X6fZIwfKIPg4HnHTSLjOUqItNrNTI8FLY/m30xjK7vLcMUtICY7o
9FuZVyH289azv7SZY+2qtE7vW8I37r02Dyh9FRPPDHrDkV8A14Xo3X2dtsgKZQWtbMG84xEE+Ipx
hObMb82toVkK5MQIxIn5LorknAVeQvqQbzA67wcfg9Cg3R1Z6sMKG1D6vOXwmLc11bBE5pRZ+0z0
A7WSLx/aQKVHv3WizJzc+7CY0pekYt6qaCpdSuB0ff91yv97EvrPJqE26/D/6UJ8wRXwo+9//Piz
0BA81PZVf9yGgfmbB0Id1eDvl9ofN2EofuNMsiG74BZA27A5Bf42AvV+Q2AoEOdbaDl+3Xd/uwpt
5zcuyM1+GbJc2i7Kf+UqdPx/WMWDq+EWdATreHJ5/+sq3l86klJmV56NiZGPOk6MRIppnxjzTDR8
zeCBC8q35tvBWpa47qEkmL22jz5txqmtnZxVRAKGgzmuede3jvdCxV7uPYaIuzT1ejeeO+w9qac/
c161OMpt1/4IU2meLSUqgFYuc64sddjM+t9HqYbzZPfpEf5iuiMGoI1N/Mcw1uGeLJMQzDvxeUNX
0f3BZUwTV1CaOBjxWzkQRD5k19fnkYPxIHLvMPaAQsWANmgq8vTe7IhxkUtevcAFgGlAn4eUG5Fu
8zkzx/ZoQUe89FO1TS8sz/uK/0xlka7RTWLtSdNrA8TzU1kMwa1mq/Y0zp21k5X/iO06vAKrandB
naZfyHGB60Bbd1r9ccKQTfORFKI7dpzEpzknSQvp1GOjGngj8DgPnsFNuNIG3Us/vKSy3LmNLh8M
+ntudIu9zjIHeyiqTTSWrfvcwZvdz60jYoTSzm1Y6P489qtxSoyV2WGZGRcWwgq2SYulDocVOBPR
XFsvwz7RBgbW0hnBhEn61d6CZnSbJrV7dJRZH6zWdvmu/fqoJqu/+rlBjzVaL56u9beF8fO+nyGB
JH7ZP64lDcq8eNXBI5pzBxIE+ERe+F9H6nklly+izvujqWhDx4kMBoq/5HUK8ubAAeh9x8tYLqzL
reKaovZnc6R0hmViqPdBDcU7Z8Z+ol3tDiR64TgQmEQI1bW26oHYr6ULvwadnH+mTDkP6wa+Z3ZV
yz3PDeZgNmDAwwv1Cet78QnX4vJhoHtBYbK64mo05XQTGBvjGstvFuVhpvYqZZYMhzrYZcxAL4nw
5L1tTs2VaJdPmTbYZ6M4ak/B2JTwy1rjEuBhvbfqjiylFsIbClsH+1bOCNY/jQbh1oeOMIgpCrm4
YTSMer4w1zgU0sINturOPmSOCkC1AddkFGfVp2UMGDqtoZtGbB+EjCsLXL8Ns8kiDSkFTMMWOdLW
Wj8AmjyFSPKjbJTttfOsj6Zq/eS2tSud3cCdePPyzn+qgSEAQTWNc5+PTmIdK8D+uDqncJbhN+L+
WoTFybJyWer+oR+toP6GfImW25Go8YJh/OSC8SGKfswYFIClf3GSnn1iN5r7tJLhZW58C1pq0lfL
TmWeelLaqAvyn5YpPSmHYuaTVc1OqXcubpWBADHPb0gd7N2gN3A6F5ag6vB43etJrYfEK9glQKZI
BCn37TzEAl75Xbv4tf9GnWG13b53F/NRUkom34sEiaML9CPihONGdAykRHTtfHJd6E3kaaAyILCz
jPW0BS+JISy++kayGKdATkBL3aaajagJxrHcTb+iLrfW2LnOab1FDpLCWkIc5JMioH0Cah/EFMl2
1g9gdZ3vTN+H8sgUHU8msh9Gw5ORUz3AW0nCvXRLfiQ4hw6/sRbmi40RvGa8XrHAF7PKj5x9eA6H
EutpZIU9Pso6BefPQjaUzT0hdVbjkXDbZvZwU8KKErummZBo+tpPiUuX3r2ePH1wHRYrQlRTEXUu
rzGD9GR5IdHZuqFu77uoBIADyqYOZ4SdtneVodOeyzzkuddusnNhlAxol2z/OJpWdpT+FBybrCsf
pFXdrgCg/Kgz3eZWZ252kyjlg+scnIxFVeBvXkuQLrtRjtg+C8+6BH53xA9RbM8qZaaZevm+Sxvb
OBBVLp79CgeXZ2Ggie3ZNSLPkBLR89g8BZPPLtdj/QQ81GIiZYc34MnsqGo72BbaSZEBMTeL1nUk
pqPu1+Vbu7RfuaO6O7aN3mH2N/MqmNYgskQrntPVTA7ExAafXNI4Hx0MlFwOsjpX5ALfN0NANpqx
iMtELtq3lZYVeZ+563303BydyanmW30ufTPf9ST7vk+wexqyNi11KtxW3/irv16R5gRR2mp09/NS
MN6ymW62DRjWVB8YdjiItAXuq8HOYBIUk+3sC4ZaD4jdcLIhGO8rqT6tfjOcF28aj2Ynya4hTh53
u8kmaO1xK880Kvc+O6hi12kruMltjvgQeMKO/aKMULroZx06bmSZrOZSwj4ecMySyoAfYO8UId4f
/gBQbejdIzhYGUfj6ny27ZY8t8kN1QfJ88OVXsf8wUKhObgD1tzSTMyT17f2m6H5eVbYpDtIlemB
IFi17+RQ3ZVibl9HnsMrc+7uAXBeeIt+VMbM04pbRpP5kUZxuisbd42Jr/dO1Tp9aQMnv13Anbwl
7CvuksQM+Sa9RyVQr7jiApJomtoWd73GUx3nPPkPbuHrIwbL7gP5IBZEr9zZzHQf0X3qOnLqwDvX
zCHx6W/KdXrXrzMc6kjpWhBz0YhzJtI3dB4eEzbG0hVD3I1Ka2OqKLuAupsUPZmIvQP87ermuQAy
229syC4leM+w1c5hSoz0xhw+GdY4BMTWpKzPHGJLQ7AzJP1qj1YSMWnMTB08ENlDCMjqAE1rJErP
TPluYg5WO+Ch7qZh1yA1/LA0wy3tMHaMfFFwEnRgehH1TyyT/Ge7KwJC+IBv5mn20nuLyh//Xd//
b1y/NoOrf1Lf64/+r7X9r6/426TL/s0VPGLARTwf8smfIbWCKt62LJ8amaEWBf6f63sC6vgny8Nl
5CCi/vuoy3J/C7aZWeDQz/4eNfYvSBxM5md/nXUhQnMd3E2QCGkoNmDtX2ddDIiNqW345M+t1b1N
huNHXNPfAm1Vd6tpAJEzTOb0qDmf/Dm49r2aPntT0T6rhggw0fWXEYRH1AbbKdeMxnlJbC85Tk2R
PVB2GB8E/AFA8RrRnpwgwXJBhZb2D9J3F5vDNi8pDQwG+v55NbvAusMDIppPfdVaRPky3GjsIxFW
+BwDhZmwiAV2fE1MSzgNtRMlSVk4h3VNBVsNNXdd+6kK5ID5zpcs/S+E83gW9o0kHPZ+Jpz+kFWO
pS6Dw4PGAkCWmK4pl5aFyQI6OfPiNwvcuSXtKZxWDASwTZxEY4C1/MU94011BRUvatfihRLBGLfE
YsiwO2Khm49CJsH31Cuow1YLJUC777JGTNh/+u1aQ0pQKLboldMfS+R2N4Gw1y2xKeTKLExWODMe
/v4wgcGf9muDrHwXNMWpTpF1a5kP5KhKezgVhg72swjc92VyYUjYaXbK+/w5hQ/PmzUW15aJ/amw
5teigQ1ZwAGNzDokY21OAe63dZq95TqnJFiAxxBQe22c7iYD0fjWp7UkTql/sGsNbkVOIXKQ1Ps2
6GQmS3d+X2GoxKQc4eywz6kuX/VE3NtCltAlCJyvKXE+ezspx+c1GHuqaaM+UsO/okNuIhYO85GY
akCfljzSez5Na/6K4fsnSqLhZu0barEyvaOs8+N6HN6bur/UUyNP5QBTHnrJDlyHFfU4OW8U08ND
hx0pS+smKq3yVQkj342sOfZlPf0Al+Vda29NHuYQFiZkCYNCexOWkoZWsk44OpPDdnilRMcWvpsm
QJkpGDw2F0DFk7HqrsEwW3tIx+IM6TQ/SL260WikdJwb0gew3nSsAZ98DbJWXzQanL1qXYPJ7uIA
FU1/APtv7l1jeGZZpZ9hn1RHZpkc+7nKT7KEUjnmYJMB7lPlSHc8DIybz5wL2aHrrPCQ1i5rmswI
j5M3/2jcsj6j3MCNzNkRoa3MZYwG5mtD0xtPrqz3aQqFjbC4njLQriOGo0vsrgYha2Kq9jiq8yiw
9IvpShF1VflqVMmZhDIy7XtEl+5gvLkLHnS71MUla7HzGbi+ftqj230ZV5+ZI5rUklqdm6wlsQ3x
R3lLzth443kDTzxhQ+3OJlQNQ5qHx2EiDNQlJSwQxAcUE8sccq2Nk1WK8QnJ0Ow/V07JNExYtcSM
g4tLYZc5sOEN9gktP3t7QoC507jhB2Gu6TEvGgt9adqB97AHfhofLDCXyFm/jVVLMnEyTQ/4akwI
Gnws0nACKRNovXxvFYfqPvWd5TIOucSfMi9zeBz4aOnYWDyh45bfdssHmYefZtvOORKVBKGXHsfs
J/O5kGdtDluGdaJV8x363v69p7JG/JE5GfkvUy1uMhnWeBRh9mStYR3JVOcvK5E4LoV39LOGU0Kj
pm0ES3KXZTjOgHXL/mztPSTK6siCMI+sYP2syc159XOl76rC+OCRerPWXBBVXzbEByJdMVrnrhBW
uesqq7iRRv496YNul1sqf627AhgiGSz51WLKDGBhXO3dSmLhA4qtT0AtS6BsoY2Kx6maixnCIfbt
6XZCNPaE9dR4Lp3e/7CIkmapERJCW4ddgbEx4zGGP2rtk0bqAyoHcfUAPJFNOCBzGIYBlk7W4NnK
yVMxxMJQg6cW/4r3WK+TfUha0pVR7GSEWU8kfaEozZf+NJtAbaJko8S1wRpEWGjkIxz+dzmiygVb
Hn7rrP7Rpwia4UkQs2IHw2dv2Vh0gnm6ZU9ngDQBMGCEJnRXasCRQX54YQzGDbb/7BBs9DspVmIw
G9KlF1KNgeiZnAfBcpfPQXm/GmK6LnkIWWsZCVKX2op0zxR68q1xDwuP9MHQ0RRoVhBTmo+RMrvj
YqSYCuzhGo6cWhgRFpyV7P7FoOUZyI0beTP8rtScn8aAQLkyQAPXbOhA/rbw1Gp9NJY2PHdiSpCS
aIZYXlh/WzYMoSDLIx43NCFlOQ7/X7xCHFD9C8hnEhwDJNMsg8JdP7RnEBUgmg31U7f+pzr3m/2K
7+UgekVe3hKuJMewQsmkJpQMg+LFKNvvCD+u7FdHeLUVkTDzJrOwfHmPC0MAJ+WNlWIpDvOGYFzR
XZ4MFyxjq4jRAfecx0HKeA1g0MLkiSwvqy4571rvy7rhHSVVPu3L8MVqyvLGVQkYg4UlVmITNaGY
st/yGeiPkLWyeC7Ln6RFhAet1i+p4ruWv4iSsJOSa9KYCeKhgqO/DNOvUONnkhPpJZLSSuJsg1LO
TjBxuYMOgfBDVIX7E4nFD2fIq0PlUjBM2nmru5H4nbJvX6uAb7V2DlFnox5+dqODrL3HaexwiIJ3
g5DZuFXxGFqNOotf7MwSh+8MUnOsE3DxE08Xp9T0FiwNF8ZgP+e5B1M5ZaBfaGzEo5dXX62N11lv
5M6ReNRDMflLDFdRHpCQ17eYEcj0XFYnnuzla58lC6J/z4/mkN9hzspyL1CJvPbCWh9KG14at2mI
7yjzRy15wRS//jSUxTuPfTmgYpLBS+u7fK0t2FeMydmr9Bwj1U4fR0LWHtwhKd5JbHx2PW+O4dfe
OVbTn+wxSImDywqFdS7hhUbM6HxCljfH2mWZvoCHc9bEs+io/JR3eoKev25c1tybUHymjYXaTEs0
ZbzPkQXT/34yV+hd0CxOvnaDL3PZi/cRHmyhkuF+FbZR7Kcpm06FGmyCvr0J1WehJSerYiFKhiku
2YldJkp2PhGifmqD0H3COdiLmFPToMSwlBW7hHH+7Ds7oIPui5T3FENiEy1+5x2VMl0eGYnm9ISq
Yx1jOLjeDqTTM07nMWa3dku6RPG5J7/3q0zbSzVnCYy4hozENrW/E2TnojvLrW8gjA2SPOEllpEB
teas5o0XnJcZZBjtLvqb2MjC6hdjeIY2nHB4XoF1VMdQeg/w2G8SNBE+aeZWo0/I1gs+zt7kf09S
v44zq/eJPHfzN6Jlnas55u4OCHe1d1nl4adRK+qlFhFlM9jNU2c7hB8svBR3urQCxIVJAxp7UCPw
zy4gRpRBHbTmjducml1xSHx4ztuIaq/4vZiPeMaxYHxSH/G+5G+cZuUbV9z4uZq1eGZ+nZxE4edn
4c5UvEnrXVo5MRPOcdIRvofl/zW1yDe9mYyFud6adRcsVzwQmSChRbEcuzCDm+Ks1mYZaUcqctTh
zLAH6x4HIGlvIljH7y42klPQN3BQimK4d9Ks+9TYblfy/DXFsLPhopS1C/aD6grvTzfUTUH70M/A
sDlhY/qkMdytobJxDFVqmfZ5wfNww1akZka8scLnJFi9z2m5ccSnQHOzBqMT8iB20MaXzmMh7JSO
x2SozN4nfwZW1Pjjc7XKhRlPJo0r2+/8nfG3PLAdqDeGnq6QuEqxI3MqDSLHKY0g6jdkukh08shQ
hn1zzfEKo+GZ5DLyKGU7fpUbfN3IfMzew5redL/w7L9I7UM91S84M7CPCd86zhvSvdjg7kvNLLRJ
2ypWxlqhOe6Ue5g3KDzq767buStb7gJnxn4qzPG2lusYOVYhT6Ov0wdL2cnyFPhF19zrNGN5GKZa
tB6JJCydKBZqNIHLFn0zWihfv1Nu5ijTotJvZ+e5GVLQixxjC0vfrod5k9VhNBekXd1U2jFi9tzm
Hli/7HZ2n3GOYrjVlE6efRoyz32zyPnBFD6nyj+BFlLm19ALkp1gZJbe5tOUt4iORVfsifia4QuO
Ey5XFrGcPkPX3E6DQYAJ/Jkn3Q70AuRYHVcX8OU0LCT3zp06d3wmd+Ng57eqcPM4sUb/Zw057puQ
m0K0y9FnHtnOvPRlmOTvpolavya9Clmdt3lE1xVpHlDFH6ye05M31pTgJhLnuGUs/gpoRuxzj9N5
D+epPPRMIz8EhfXNzMg3quiPG1+JY8O3vaxWOzwqlavPmXbqp3k23cuq8jm2wDXu3MyEImNmtb1P
S+xaYH+oDtotQaoETNgBL7xznJYxPr/jp54qco9UN4wJYSr2KXcdxTnMdG11w36s/DPixmnX0Lg/
IQYID10prA8XFN6pLjsVJSUnU4WUI/IBUR3z1J52XeNudMDa4+3ts/lrFRI3ANf83tZZ+B1A6v3E
b8K2X1joYK3l1JoVscTjmN5i8A80e2lnU0977UGF2t23aHAx4q9bEHKRZ/s5qTMC17jGE2KQvyBS
UVET+vXJyBMb3jI3iZw9cpAJR+xjQxgLfGTbPjSJwxQr9I37wV6XJzVnpxFt/lWXiEddCKAdFbhR
7asly34o5TnXJMlzDto2Rb9NBl3Zc/CPqkDKm1Xx2lWwuFHUcOnMyyOT+PBu0impUWj7TqWXu3tk
2RyYfQOkR5gPQUAWVd/3uonHjdzuY4OQDVm3FHZtcFdCB4yZDZZ7s0qcqADl9P5r0m3PvUStn2f1
u6H6d/j7bFkYiDuuNkXUqOm70FysAXyT81ITl2bSeG5D1GHElgdxaAEGFQECIyZxrT7c0M72E+9W
ZEn9WQU0EWmwW9aWbLjqc18gH2LNI5r9OEgi6LRt74HFkT2bh8kFrgYbCMIWojoVXkzNbIrYkLqo
9h0M+jGFgXoLJl3yaen9oylKP7Y6ZqtVmpYPzB+E2I2OHoP9pMR01w/U24VgndRu4x8d9Ooctm21
J8JsPWF2ET9mSYtWDMV0qp1h3M1Gaz0WA3qSUnXfhkwPF78mwUwEpX9BwrXLskUhZfDIJ8J5esEN
MLEbzNJDmrdf6dcoxRaJPc5Zi/osRzWVcYpL/g01LTmH03y1sce8Ukq95Ebbxn43+DeZhxen1SuF
Y5ORELluutLR6HZyGr+EZgsYZrGjrLBepcGRV0wAJZXXBfHs2sEbJMo6Yq6No0MEE2uNxH1Zm9LF
1lFaN3LJbnNDvg/K7wl1z547D5IvJ+lhXqiOZKpI+Wusd4b1FWJS6XzvgeETIYT/Xxn1qybQ9KdS
NXKgVAYe8QYEDcSGViPyZK9+CpYBDVeTFuZuUEHyZRIjEl89TaA1wmV+aokTQCMeJMiXGUDMB7fH
cUzxjz7UqTTs8tEOnyQHFgZa22X/UxAnMaKPzQaDJ6Hee6LsLug+o3nNU02rk+x4q5R/LTFF3k8e
8+vIhHdFmmFJDr1nkV2xnwKcfvtRZOrOggx45j/4p1IGP63UenKKhsMjyLMLiaLlZXG5XE17/paU
itV4aZTpXnubBNcviA+v9GXN/ZJH3XztuJLiyiRNZLS2WaCSaDhDQtx900PZ7A5UeSh8NoOvE6e9
xZHg6W6aTzBdT/7UfiH3+gIQgHl8rpAyp8Y1CTEbrBUsN9j8F2WSojPbpb/3S6+6KJfxH8D0PpaU
+gDo8YknTnvbpdNjWPTf2TrziU8WF5eLfGwdIOgMZvyzdEiW8I0hO9K7MEBca+MeMd4bcqz+ZkgM
8q87Dzd/ZctjJlS6z5vaPOmC5qxzx/4scbcyuRgaBvnud5Tw4eNoCMZwCRT5rFm+lCkmC2tY7AMr
T9BMg/01cSfzeQ7ccudpjCaQH5r5h9v70zNnH8R3zyXDUbTjpWsZRsFBRu9gONeqCwzmLHkOFlGU
5Sn05NUZKvC7q+2AQsnnEBMHhAT0tSIrL+RVorFfm0OZL+qjN5vmfUMvEDgPO/EbMkMW8uZSGh8N
AON7X1TGqeDC6whC8fUpKIsOyRktEqqTItsRNYmWGM61XS/LV+osHq1U1R85UuL7ZrYT6KbZ+M3I
vZ94bRYVhZnRX1rG0I+rRgLo5v4sY5WLmb27Oz5YVuasdx0gBRXNft0cmYLWKCQG9ilkbniHDULp
423J9U5hsmODDheShBLkkY5IjDsTGztERS6DU55ML0vqfqJCcJ/bJIVQ2y7DiecA51TXI0sPg9c5
IESaLFbrORWoqfuMIDOzTz5qDfqnqJMAOp+FpKCiSTduZoui5pYFXB+1w5TdUEMM+kDIegNfKvfG
iyM5fyJvADt5TBMc5AyJ4ATPzMKoaWpYfpLmhvJubhQB4F7TvXbKaW/QNgbkdzR+SMwizMzjogog
PpwL73CDQ/sO8bV4AR9terugHde3Ef5BxGOcMDRiQM0STy791R7VeOvz6WlZhM8kM7QyJx9BqW7H
hQVVthtTKiYgf5FpDUD4umGrhDhl3uvS87/ACgx4tMdiOKkAWjkJ4y1Fa+AQZZAa1QRLxNbP7qgG
hk8CaTiaDhHwThjha/XLaZQRl7KTaYJUj5na8rSUEA9imwdtv7ZbCIbf03hriyuaErRWu8lWP0Eb
yj0rgsfFoKxfe09cVOkNO1eNxJfnSfuo08l6Kzb96Q4bKSjFzjUf+rYBa43/MHjq3Y77lLOseajI
KHoznHy82LDXx6hmu3btFmN4K5Uh7kQ9L0dLAQKgee3tR5QF/lPIjh9hPvzGG8PIrK9LlZeXoQ8m
oIabJ11bI08pMW8dkEY3IHsh6DOcWS4Kz9ifgWHtRra5fWR32O3vmPBvwPOwsytoN9biAuScXd7p
uoAv3KXFTpf9w5r27AdZ0VnQ1xv9IlY/vRRoIGLUisvPCtLve2L2FGqrx/qQSUcHWgGHZ5QWefs2
em5zmA1u3bRxuMz4SO1odvK9SPviqAyMVhGj0Zsu0f55msWwVyxBb5UJvJbK3hS3DYSBT+TtDkSK
6rzeYelzYq9zEo6TwXhUZavuIFsEp5oEsX0/reoI7suJbVXyKTG6ebgGgFg+M701uMRm9SKo7267
pp0P40D1zzjTZ0pjZE94mKY4CFPYy+wy4lT19XUcwm/GZKIMMWsyhzJ32BmwFq8QPdzYLuBg5K19
bjIzeACbps/z4k4Xz/AhUJAIRVIVXcdIxRgzb+4uPZHDV2JDytvAC78S8GfupwS6UBEsH+lSw3t2
gO4nQcFY0UxqZmXd8kpaVnLwgffvlcUC2+CDfswm1ccTct9z2TfMbJpSLlYUBusus7W5QxiE4NKF
p2CItXvPIZ3EtArrCRA9UBDfxLcQ+A1zYDOsqp10ral60i6ozSXjsinczTmF0Ke8NXyUxy7rG2as
KJ6XJjuY+NGisFnv3HLl/4vksbf1cj8PkjnwVL6GvfXZTjmsEUzsc/gNOyYlH6FEMhKmLDxmsJy7
3qjETkJ8OVhm6Zxmp4amWjytAbGyjeMCToVlQlDzek86EWqJon1TfVs8gJVFFWadKKyG40R28xdD
swaxCC2xBUhfsVIhazgNRzVxUeNd+qjDon2cx/YRe2m1RKIJuNrNrRHMKuMeUeIC8hYncQsn+xa4
1XfH8MfrL9h7x/kP82uFpODAPhtmzCVprW8npTR0vPbf0ar/O58GmRgsev97n8brjw727vCXxfXv
X/PH4hrEJWJQsFa8yb/TqP9u0fBtIhYdX8Aa/t1swU/6G//SJV3VtSx2oX+Xs/6nR8MHQMbohTxF
U7iO/y8JU/+6tSbZFY1I6PMbopndduR/3VoHJikWuH0hCwb003WWBREYCTv602vy8Duz7P9QJj80
uRz6//d/2cD/2QcCxtMEeOWRcQIZhldi+/c/kcySkQRsG5nZaSwkYdWTCGlgwfZ/kcOkH2rPJ3yb
GPhu16yD+l1R/d9iabb36x9+OHlpoHt42Xxe7L/+8MyrKm2XQXhKnbDB29D1M3M9uAE1IrknLpjm
IyXklRwNyX4FmVP+QxuI16lyPHtX4XGOlhFL1kBZH9ut0V7GEn1QHxRbjVMl7LWXDhcfR8IVHWzy
VHvVvPufX8D/7x/hIyowN0YJH6T/8gqKzlGkMa4sOVbiWPV/sHdmy3Ebadq+lYk5hwMJJLaDOam9
yBLXIiXqBEGLEvYtsSaufh6U7H8s2i39fd7REW5ZFoUCKpH5Le/3vBIv9sIomG73Rv3U2CaGgCLz
2IMLSIHCnOoXAlcfdWu0eIokwUIEsKa7iioNieDMgFlAm21A0nvEaSSjpTOKc5H0AE3A7qMXKBj7
/Pk9IPf42/dAYSPAJsOHGfKeetZKu++1NwYHSrHjRsHXJlNTmuHS9NvPr/Q3EhHLjXqzjbrD8Z2/
aa3JBNqlsREcBjsyIdk1fHmu31ypzm7uTQc8wM+vt6ygH0B9XC8wPVTkLHEaUssK/MvytkRblvjD
cb0oUffsKIjmekzkf36Vf3h+qMel7ZD0wuyQ7yBkgWK7QD/pH5Q1JoxLpd9qO0gOWeuff36hRTDz
/n4cizkPjxcPpc37TSGN0NmMrMGDNZOXz17LSETAmtGaL04X2EtQgwO1jklm9oBwwj/VOQIxCQHi
AYksXBnHae6VdpmhdgfGB2vB5BajtzZ1j7wOr6occ/CEtfk0RNiSroFXSJSW6TirlYy4yFRLC9Y3
llmt5bYfR3dODj+/Sdt/N5wG6tBkMo3HaXnENIHzbjhtsZwHu6qmw4jrGiWfis5yhJ8epapsV2Ut
SaNdfZtyZSyaTUaRtJce8iLtdwM90R0lGnVTZwm97a4Ep+OW5keBM9GNw+zmZ28sio+077ZKjNaj
gPuJ1GzMqVESfJ0tMwt28ZyUG9Kg6SmOSuTtUaL3GLwKhkw+s51lB7dznNuot2ApJRVW1ohbDkUd
Eu8i8jxgv6LXlZMU2xhJ0r61K/+sQic9pgZ1g1I0DDrRAf8SM+XHPEEGbK1GoFHnYmxWw+zJE7z0
HNcxDOrqwSJ0lXj+uEzC5+tO4GCa4Tf73GEalAMqWpHYG7dIF/Wb1nrBWMQdNdjO3juhJHJP3djC
vrEGwO7N8t6JbfPMfF/x0Yvi7Fst4gqlkRkw2hAoxpRXY4VAvCrj6ZPno8L3CksdnCDIj6lOp9Pc
BO6tmwOh6vykDFZ2kYy3lOwYnU9z59Vs2i1OOxgkhNlXg67BB3RPxgYlEsNSnrrCyptP7YoGXX6w
IFvLmyqsw5U1gRknqqc6ZHgl+pH0tDxPRnlTppsACALVxD5SFPaLE+NoAF4V96SsKE44yugnI886
4tLCnG9Eb6Ad1MuwkMn5Qqo72nvYtP6xx8HlVeE2epfynGhb4+kNsbm1z5ncYRDMihgYb+4b236t
4FrtstgyNjAN/WK1RHZPJKI9UTNOdEM4MZY8VdFh1P0uju17Kyz6LXvbcGQwXa+0MXX+SsXWG8LF
AhCsqO+1yj8koRPDQR5QWUc5BksUslcoO/u1MkkNLVxxzEhShQ2m6BFtzQd4GJ9jQCCHuOvMh1DM
epsq9yPVW2QLZUm1pk3XRuoGz50T+jtbKfrNUz/iHpwFq2qYp3Vh2tGqTxuDaSpkXR5ZC1sUTkKi
uFj4VQswIwr2lFdLgPd+SLk31nyYKdzh9yXXIIGqCqekZmBxIWfZcAxluyTyXYBqY4IaKXKtvWpb
49oBEHHqDFSrio7ha0pWdd8nrcfYmka0DjEwrW9negNsU61gDlMLeaRZnx+EnZgHr+J1cQ1Eqkzn
NdTt+q2FfyzN4BjYbReHazTM5Rc1yOhTGor+zfVa/cke1HhVUGY4ZkPQIeSq5UmZRr1vUJSvGcwf
jj26s1tDU7Hvc01zdEXvrxVHMEfe3GxE4xbbwoyATxjz9CQHs9wx3hQfzQxjRaQjEsYBmqrABtMl
3KY8JVS+qRNQZ3BgG5/Sss+Ak7hTcykcbtyq13vDZZKiac1sF6aD/jZ0aqxuTA2kIaQGvZ4HjTqp
QtlSW2C+koiTQ8zhItju6y0VYWvLHasrz2VMdISqsrFiU18Db2g/InmQtxYv6o1OKJxtsrBDn2gi
pvgqUjWC8DFJ29JUfYnpku3cKvGeYzL3U8mI0tkwiS9onsTYsI1EJwMhH2475sqNGGfcYIrQNKte
mAQzpps95JFsPqWpnW0ycx43wJumO8OpIZBkwj6OssmojAX9c9W18F6oHLzNRmwe8lSy9yhusqkJ
v9y8Cq9mhI8Hre36xo7n8MprIcjp0QZ85NqUB1NciRipGLhzbLNvUXiNG6e3rW3TzVi9IV2/nb2a
ejmtL37GCvL2Y0T5cN0rm0+S9YG5H4aOW2LKhXkCpjgxeKMcvGVi2LkVbAz0m0CD1J010/5183Xg
9eEVsYqDr5YbIOXK1dXgsl6FTaWCGHh4TgbFvl5ZzVWKNQ6+yY606DAUzR77aOeaRp7xoLlAvMHm
i/ACQBAfG/Ovz2PoUIOGk9s9mF7NrxCzPSgThI3yYvEJbeM1RMN0T/232repRf5PvGhfO5O5Z56W
oVHV2zeYcVJ7RHt3LDK8FIY8jXeVHcbbqmR8ibwWQWWXAJQfnS0CTCgIJQZ1tB6GvaoHHe95/F72
RUm/iU+qLRo8vzRVdZQ7GN12hTI3ygb5cQroANfsrLpFEulbMr5BwzUV8/FyvP9njvJXc5QOLLe/
REKb1+71v76nujevxdf/+e/nREXQ035kyX3/oT8zVrhw0uW3EDRfjJUIZ/8PJof6Go5bABmOyNom
cvxzlDL4jYQU7bNp2q5L9Ij++Y+M1XZ/428jACOe9C2Lgb5/J2P1xN9GKbk85XL+Sj4F6u0lHP9L
uO0PblVVWKuQs6KBAnlf4SBpBg6vnW5OCfBZRgs+69J3luGGKH5irwOiYdrVdRJH/Y1duQmDSkjo
HC8U4VZBT76LdVQzwFPm56rUBCik5ccm7M4hp/AyQdC8mhTuVLKhGx49Ya9ePludC3yuGDlnBhBv
b05YVtdIXoKT1JPzWppNjjGlRVPRron6Vkv28Ny5lfE1m7zpiQOvmL4yfxp46VWCzdgNBeytAjrq
R1N6bTJo7e/dASQbTE1cESgh9yCqO0sIdunKOBvSYVCO0Y9hW6OgYPwZxUdbLLR5z7KnG6Em1C5Z
7H/Os5zxpJYMlsdSWdYBRHJ0SmtBVzNzKX+bpOfb0B9HZycazPTCNvtdFnN5zYGBa40/y42jZPZJ
pbBWHRFKwjy2xBz92bNlpXqZfWNkS7YLYhKY2x0CTNPbXzBL+NAZL2zbHOEQqJ8Yro6Z1MSEeNXM
Q+M9120ydBTzJ/ztZgVVDlua0Gx2YbCgqIkmO+u2AQvY7AxohWfFOMtrX6MSXZFn1y8ykuBKAiHO
Ew0TnjKbXUQvIBDnIKNUs9IWqW2UdBymeb2IYDo7JxtRVccgLSitRb/U0pKw65KGn0/2SH06Rjm2
NlRTZrsRceG1QBlqry+/zHHewYuKHqi7AvfKn9Nxwc84Nrz7U12Se1vBXMBZ6Gi2ptKncHoxFewG
SUKUx8xJbaLJCZ6RL9pwD7sweCagZEJW+Qt0bZmhOzMtym0U/QD+1KvgA0xdgEth3DmvNdDAdi87
KD4rNbXzdYDGhvssBElCJDIc1IEJtARhPBT0QzK97rI5j69QF/IBRuaqInpagAzwvwzrl5xcBXh6
OOCq7TCnnG78CQT1hjqsa92EQz6Gu7bD2OTY1UNC7RNN0RsQOYa/gF2h4QU+hD8m0Wy+zxEgNWts
kod2WAH+4j/Q/eCvn9zl5n1qC/NqtmBHrNU48TtzQ/FHupQyJqLtgfYFFSBqqcZaGjU3EfaWeecn
g3u6XNH1+mzaDYbLUZwzVrtqhsUNNh2j8HlEsOCvAaIwNCBHa5j3BKry1SQO99fMh1XXrqnqlwaz
0GGFeFYdmP9z5H2U9sE2sxcP0MROgN5ChLLtdWPhcLGK7Jzb0kR+pxgd1Efq5tp4vnxKPyfLP+Ra
oh1nAp0P69Quq8xgKO0mUDnKzjxrGRhr3ZHvGSV9Mz9CSKMIVeXLV2qht+WZpIsArdPB4iDfAvhS
Ff8e6ITBRWr+SIeMiuQ7q7AMA11CMcMbc3YoL23UQRam0LukqfNvqHBYkalrLGtKLCqyyDH8Yl+h
MsR6UhRTD8kvm9aTl3XjpgsITwCFjQ9MSU13Q6rrFzwdIJGYVQ8rL4/LQqwCGdSnzicjqR0fRJhl
NOg8LPARfQE9b60VhHjX9MLrNNDBM18myiKbYOsBVw0AC7lq6xe6ZC2NgtSaHgdW8T5FmbWDbIUD
+xA5xO5d+yU1AIfSque1yIN8evRddIKepVjYlhoVN8MDOLnUCbg7tLE2MyU4ua67UeX2xglKGtQ8
MpQVE6k+KujA+9LUKSUxUVa+vZUh8peV1UKEjKJUHoE78nw1DhvPyvPYQXqmCLlgMd6iOZJbyRw1
2WQHuxwrC9pdBSW4oz0xBFLlfhyvMR2IQHvV5UM+4NAJ+C1PK1yQY+uJFoS3w+tCf5VeYV+FuO8c
0sEXb7njgQOP+snbmWyBp4Y2+FcbP/dz7zj6WBfMHWhKimuYIU9Y7qhncvt2A3SLXnge+ASyAvmg
NRn5SZDM8ntTuTN9YJZlZM5fsa4FKWmPeXuNT5oHyir1mJ+Amm+/6Cyl+T4SOCII9QSJKv47hWM5
G2cclwhy6gj8knD2Tk7UwKBRxVfHCWJwZj4pK4SxBhZbN/k3FKEeRAGiBmsyATcGt+ZWnHK6Ms09
2S/kU5NhgIFZWWTqw4b5n/oDphlMlhh9eFcOit1Ee0xuGHX/QD+NnsyIQ0kXtEwlIHe3T3VGx+Mp
rO3qeYxz9chM813sDM2DthjhHaNWkKUK77H06KTkPVnwbQMwDdPBnKwmis1PkTVO1zL0z3NkuR97
qCr7anJAEjpjWQW8HxA8DmgXlxcfLmIdFOiWrLu2hcbloudztsibzNNYzUiMwqYz79HiVyjHPDA2
qRKgq201IVXqGGfPRxMVI95s4+eQCch8jZLNgRlWIA4/6CbP+7UhZL4lyK7W/mR2Z4txqZfEQlrB
UWhjmJdKWq2kk8fBtVnVI1y6ieP9esz7/qazzM9LD/xDTXWa3vM41e7aK8PuBNUr3QwUJR81fPdr
PaXiPhNu922Qk/qsg6hqXhmIzYd77IzDiDxizo5RniEaaNQnS8/hfRwLhnjAojMqIWggddgl5gBU
GA9WV31rG7dKdcAILJyjkAMXX4G8T6dmoRyGjkavlHTDC4SBcBNh7XoX1IFzS20gonVZxrDmTEaV
bpgCzz6YIcNUGzwAjXvJhOrGk/245XExIS/d6YqmZvmZCjRjOlX9FPa1eZWZ6rnjSNwiP3IWtMKL
sKJjOqbtydCO/DSOdPN457RCzdEKaBq4brcRKZxN8eFD7ykQApR8Ms/Co8CEcrnyqnqSpzHuJHfo
k9/F0s43Uc2MKYefceNKloqZxKdi9HFeycXHkKbyKspdOtwWSTolpEVjQnNS1Cj9Wgu0QzyR1kV2
gOaZPBY/C9rAOFJIUK0rJKH2vR9J985HePtYKYk0VIGk435iTBPnaWd43QDyAtUUyuMn12zoZyr6
kcKe6jXKBGcXdEXxyMAOzgsp4cfOwpEat50cA996mcaiX8wEMwqr+A4/JXuHcZ8+m0oN17q1zY/Y
+7FBQZr7wA40HJKpTdpNVwT3dmcO+7rsY/7VkvU16MXmIXaAQqwh7o1bjPmYcI7HSlz1Mu3vkeaT
yIXukWFz/1RlVHDNNgemj9/vc9zHFEwKqiGO8AkopiF6GpgdQLQwIUVvWvvKrYvpMJnIy2UQ+9As
XL6HDjASQ/sFLigoanuMWXQWO7wJRZet68lpdsgROB1zYPwrxNv5vmZG4Rn9JDT1elKPACe9XTs1
YUqBRcDzS9tk0yxkIZRfK3NS4iFmCqZd4XyKLSojidfYZ0kKNLHuryclUQJY1gQBlf0UOu0U+2uP
/eYtbXr3G6XOEXMv15kPcdDlX2rPaw6BCsJtvoRWMBsVLENN7QhpRbWmQuwCZm5qtJIDYx29338Y
a2FtQp13azBVcEo8z7rO0mK4mVu/tp8437BhKbERGtaYlxZ3aZfY6zZzYAUWU+Q+oDK1Geg2gmVM
ISUsKEf5eyYsM9ohWEKdNpjEggw9Z7cRh2w05NMJyVa7ZTYvmJjH8GmFEwZ8sPC5ZOfVdvQJ7SA6
6tmmeIuD9UuEQe3DHI4prqRRvGuyXp+c1nFumjJuFIWyxsCp3UEWUuXd9SQavffLZLoTTtee47FA
F9Nc1/48bZrAam6Ltmq/uOyW+6Fr1BX0pHCvIv+ZQG3cUZLZDJ6S95SsmJVxhizDzBUnnhwdwozX
WBLMs16NUqFHpVeAqqWw3Pmht8369ykr8ojlY+XMqTKaurKBZ4AHAaORMbHIuM9C1zACOBsG5X2Q
G3Xi9L/TWqcgrUt4HOo7naMw2NyO4eTuQT54DxUYj/oC9CgvcA+7NF+7Mag/TLCuVriqNf0xG1HT
YIilsy1SrhjlC64B5sek4FdqxPi1DO8q1AA7h+FzBTIWZf7HOWakUNrKj7y7yKqbO06/Y1dwgo6/
6Gm870PRg3JcSdLOaKNJnr70df6SGGcESxSeEco5FABJOhKmaKmx5UTufykZ3P26n3u5EB7JnAhI
lqz33UhfEcw3ORdCK4xktvaZEqA6T6zG1yBf28QnzYqqiXgU1MKvOrrLbfy13RbQy7V9cErMbiO7
WsiGf73N2tDCQ1fILEpaW2d3xB0jaRJNKJGrQzUZXNXtPOJBYyyI4H9+6wJa1N+uLi0TFzDh2RAQ
3j3kMXUMoHiqOkBx4m8fxgiCiZc11rlMWzIo+uDc/CA1PoBMX1FrV2W/jC5EXk4LehK/6Na9b3bi
W7nwqYRNf11I+f7zRAymadB86uApJY+jTfnBSWLrPGuvfQuU+GUb930fMjClLXzHQjBggtt474UD
LVTjN9BWhxIcz4kh2vql5TR+zYwOpgrOmF/wrZbyJhr83j4qmuihXrfCiIsPzMrkHHfs5lsK3FLd
FmoQN4XhzvWVssBSDHEXbIesYiXJuQyJ1QsXnWlk2gFVHNnNj5ZrhDjfTZk6JH1PbsHIwmvlDGP3
CEmdke+5E6Du16XLkP7nmSQS2Kk/kaVHoWOT4EUkoBnHxLnwbLrkuW7f2CfKb/48lI92gLZq1TWL
KJ0Odv1iFnKaThEJsbEcmCZZNRXe+xlD5XYXpGSLez+qYKbzB9WtrGrh7lUsMNlohV+9XAoghduI
m/+UN/+/MBKIaXkh/7Ue5+MrBgHAlKvyR0nO5cf+KHCCI/2N98WhaP+dm0rn948Cp7Dkb0thkY3N
Yt3/qcYJfjNNS8rlVWN/xVH+/9U2pYPxBllOQLaKfgas679T2/zx1aIDwJ4GmFCayOCoob7fwOdq
brDO7hnwHXIg2Jyv/b3Cl8hdQW5vP//lwfxyE79cDKumxVcwkC63+061EDnTYvLeyfvYIPUvZWWd
NfTLZ5yLlh10Wf3AIORrMKTqFwfVjzv4H5fGBsT0/YU1+34HT4xMTB3zPvfg5bh0gEXCdtAjbBfC
P3G2kR+CJjAVJbc2xD7+F3v4j1vmcnnPkpSo/YBThMrMuwPEspOopAll3+eFQfHIN4hR1mbXswsl
1XK5aSn3/PxpWz+eG39clKUimQ90OTrePe6yLsM+qgPr3rFKzgpIS0cLpkKzQ+0VPNcdKgqZ2Fy8
Fz27Stz13ZtLbXSfGy7PoaG/tq+p2k2HFgh7uJ1nTlrXtzjn0L6b4nqoQ0btknmh+LcQ5pCXw7iw
f6F1WVQR/3f4fr+NS+Gd9gAQN/lOheKPvk35IrbuqViyVnp8Bad8qcn5LUcbhrXV9ZTRnvv506N5
8PerYsBGA4EXg///8cinkOilk6PEfSoGcWZeCtCRV8bfzHRC9izm6cGRtbhhopqysI6pQv/8+n9/
MT3OPCZTIJuxbt6/K0MQlFmTTeLeNdzpIVleGAYvprto+HNr/5d6tXcBxuUJ24IIi4IFF4Tm+uO9
htrrStPsxb1EtvVAm5wa9JBA02Da227fpkzK18F0l7fTpMpceyMviwGv6Q4PFOMXX/c/3bgNGxOX
Nc+BW/Bu1VrSqILGDGmw0yts1tLDyuWE9t0cVkmZ/Uri9E8vySJ45L3kfx4xxo/3LurUTAx7sO5V
i2ab8SHqxJfKbe+Z1TUoBgp3AzXSpklY5UE+Ez0MyBhAmeNOwgjdXF0b7jA9RNR3QRSbFrYcNOy3
oqNXE8cDXdNSp7xlyNBhBAagd/Pdz9fKxW/23SviWXx/iLUc2PMX4dFfwvA0j8LeB+NyH8KibHYz
gdnhsm6mrqhflMKXNPfpXGBqGCDCwYI5SiC5r1sdNIdaF8SMSSbR5szjzDSUCM32zVfm9PDzz/kP
u+DCUSKIJlkgTXn3Jhuo8gcXbMO9g78lZfqlQC5qCuTCDMW5Qfj4PWj5lyt7OUF/eItdaj1kJwFS
WAdY0/srFl1kpWam2/uRyt417RHnNWQIkn/YlLZ7057ulO1S8A6TkCDPHFJsAkaAC49Jv9D97FJ3
b3aFNCA12QFMg5cgsWn/yGVNXB5Ry6nhrsCyBad28CimoxQ8GQbuPxZC9ZsZD5VfOBF+T6v++n1z
WBN/0pIU0kLY+L4fOftZ4JF/RPcVP7VGIjWrTeoZ6S18SCZmSqbzx3XqDUxiWw7te5h5RRjvgpj2
wwobTttcayqQayu14FQUnbcb5sjoDkjsekGpMmL+DsQixSUgR5RAzHg0nhiPi7qN6VWVoiCKEGBN
15QyjmmZvBlpO/ZbjgC3xqGCToD06/K+h1Z47bdFekILUt0MKbVgqEgKg0ZsqI1PQnvZrah0/sXM
WrGBI8S8BjXCuebzDfGbxiDOvep0XG6SjvP7ip5rYaMmSOu7xoyhLTIDiw2vrFpz43ixj87M84z6
uS/zdNzYoec9BjhXItZIo8ylnEYxhIGQSKHadwOKeKhQ/N9xxGO6sCzaLjvMMOegTvW9BOaMsxD5
OinpyYp6cqx6CK9MlH0YCw10Mj1K9ureGCGRAXPuSgfIggXStoijur7zoiJnBDWQcbjx0zF4juKe
YzdjjXhUSaKVW0GuanDEi7aEBsHWgw/Np6sc5xVcDWFC6bPbEAIu7d6aU6BNND9GlpXHm9BGC4xv
Mk3Nifqcd2JiM+s5mQXzFzWN6R5txhVq1FR/QFXYnJCv+WIX6aqIGaBKJv+Iei2+GfCQ/4IgzqXf
gRKHQmSqNoFdRNi5SLVT+IJXDQn1aJrzJ9H6yZXFMP7GJw74XXdVRc5Pa9ALrHDHREb1GUaf8wkY
JKxqt47fWCjT16gP06VtHJUbs+frQUXXlRRnagcbQG9Ys7Auai5MKCfwMVD7VviKv8mGmdgJC4r6
bDh+kgFw9+mmXJUlRplnbwgrM2AB5LryNoVX+AtLXUuklzhlAh23+H+BzgoryUwmBobuGHNpbNn8
TAT1JyOm8M3HzVKmH+g0FP7OMJfgZ3amB1gYPOkSQ7drM0Iay25vyNfGH+nuQOPA0KWIwvxpMlq+
MR3S12Wcji7Y4AVLy2zpniWaVbmKfcFhKoGiY+QlvPolgBqbQPCc+VIprxpr01T+ZgxGllcZ0bkH
4ciWnUi4Hx7Ny/WsXfka0jFZRYlJvNrl9M5Q/+GrHs7BM2XE9q2l4oPljcvGI9mHPFkE20LhD0/x
MqYVWRQ2fz1+Nnw4Mo7qmrAufO5djKszXVTXWZlZ5wZTav5QlZNidwP7M9sZxcxcBkW0EaLjdyJc
iFrwpQQ+3zuJKHDoLfoOD0dZnNSrLrf5E+Sj6Q3zYWwxFFP8U9QUwSnwqunBclwO9e9iq2WPJIbz
TyH6uutLczGs/PatCZZHeelJt/gU9AQcfFpaG7TPEA2hKSfstPDPSvRdc4lFspyx2FuadDRYI/L7
npQcG0kiQ7204gGaBNuLaKBPSDfsPLXw9kOcHnfToi9eokdt8ewFklP8iXh/U5RGQ/sGMm6ir8iv
0I2Tp9PClsjnBucVYXSwxV28fatzTtsmiJqXNCuIfqek1Q+XQGHOmlJfMc3tvloT8T2UeL7ahg8D
4zN9ow1AayxBEX0EOMykW8wr7VYhWEzwXtWJZcR3R8md4L1qOHha0v425BOZqUkQXuFUhzQiq1/g
nXGa6wxNyDa0AqL0dqYDTpcQfE3TKj45XDoiKPRwmlaKoag2XAIcppdpSM20178nP/ZyJus0QNyJ
SbIEjwNpKGUKmvngD6Oj6UkXjnyNPSTZe44dPiCKSgocvlGOKXZCIvwdp0MuXl5eIYE+mO75pJYw
iJOn26jx3pdj+5YHLd9RHfoEd/xrAL1NbbFOYm+rllQFdz2UgxpBAduAfXT5pm/K1vaO3E51DUbG
fYAEA7zIiHM+LV08daCtKG6gzRGXgyW8MUG/wCKSPX8z/J7pTtL57j/UY2TEzMiF5IDCLVm1qLJp
2FLl5MOEDgsYS4qlKiP84HkaEu+cZiiXt11jJntI16yRSxkyLkaeKXYZ3P9lE8BUfHrQSclTyeHv
nlxNAajBev26dpfLFyNygYuqIO9E/ZIyzHtNx0wdCPebQxPafKtYjvkbaGjLcxgJQYMyCZ+NWE93
k47cVyAxvK/4qQNmT4DDbSKHN16plk9yWYnY+QlAFwlbgCOI0bffhSQyaqL2LphCazz61fIFpY1k
a7KqsDkUikpYAt6FiVPS0RY/qY6gyPIXG0oLWPKjNil62WmKvIMOP76HKWmIxEsOqRBlZ0jri4sk
+3yASDkJFkFFzYve0Dm8u9whJxExcgtfER0M+shLwjuPRv0yU2g8DwjSzwlbt7kaSWnPqJXFmela
vpZuidJmfxE9fZdULMemnk1WVJ0bKFT8i4rDqbGxtVBUp72FMrnvyWSWp4ZYcAoQ9Ip83iCN56V3
uYssCeVrDYHEXpeLfooGJa/VrMELevZs72AuoUhw2ojtKMl4uSy5VJjjVjmgCVjy4LOzcHqIk9C1
t+NAg0YnDmoeB/Nb52FSI6PO9EyQxhjKdF7/UKwkCG/KiVIgHVp5zPC/q7ag+8ccUqLLTzMfYDWP
aFRHIvYQHfh6Xg4XfP2WvW+yUmNfRYJNnlAkWlJyJsfBwBesiXl5AN/3oiVxH1KLfWHZWFXkceJc
1i5TvhxrU1erw+Ql+ncmjcL7y/qUcBT2uBf2ewy3ZPbB632WiG/2CD6cbLiKIw1E9/uCgJfjf6s9
sCNrqqnqYKRlAOYDmDaqVXG+rAp3ypaqJ45w9DcZ7BFNKW5SZ6k2ZK2RVGuaSKJkLvOiZprxg/Ya
iyIEnuboe5Llhr7X0hkPz9dKjvw3TSCkNuSe4kZIboElJ87I5qtxI/KIN8sLG04YlGjQSWoWTZ9W
7PZ2Im4ZyZjvydRZ1KYhEGAh4lCHyw6Iiw81dDwFediQApbjG6w13gHwbCgGcQBByIxsPa6ZomRT
qCI1hLvGoLe6LZnSwm6+x6B4azea60KPnB4KLUkJalI1bELQqEQOs55McwxM+I6W7IxNKtUEs4VY
aH4chJ9Mh64fyvhWLDD/Y8k2eqPMgU/h+N2if0oY0d2YIpzVuXN6gpDIyIJnc4GMlwDcuV8vGO8k
kIbH3p+KW8t2vsRGaKwzqAkHJ28A0yl29jGL0m8RPLKVh8ZkZcPZzNZDZfMCT2jq4D5zIukE5EVH
yTMgQtHuc5ZqnnNS84VWDgTXvdGn9s4sfVwSowartHiYimNS1+kHW7ZCrDk1iyOZ/XRY1CqYgNV1
CQeO2ZZgyokXXGtiMyTIDFeqtSCUTVPbmVfNsvlfwRiiEInumJiqlxUZTA7Q26gsqjBU2XqsUxHW
PEapxdejipp/NoHgIdnOPN1RARwB+mFYyIAC+1IzEOMUS0jXxP70kEUYzyEEN9Z9g0TpkihntJWu
RzvgVQ3ihv6Vqfh4qFIoNoGQGzcIefik0+UwCWP27Rm70uxrRYzJ6YL8YIvoxz6ikwmfQxzhI2ge
y2ZnRmV9lTPpwZbXsadV7oRqiXoanRPUgqckiGif1IG4uWjzhNG1b9YMNxaiFX0IlpO9K12L8xNW
Aau1iNitZphm54Erry/7ZpBmbI7IZu2tbkreiXyJN+sw8E+FAuOEKJ/y1TjJ+gWvo3FVdex7CkHa
TZezeJIQqItROTt3Id8CXoddtSa3iw8WE9Bf5eCaLfC/njeuWxwVnAxzXON7hNFgcbeo4gowI/Lo
ecgvjyRsU7d4mtMgBSi6Rzzf73JpwVxk2pM5mmwWZ7iilOycgF2JOg+PxEsNjg3odWQSl9aFS8Pn
HFOxBlWHWK8GzXOj5ojD6HvI7OA87NJ3hoIJ63vHwIznb13dWTuuHJ/xMpieptidTzHwlSckDtmm
5Q1hdybbmXcoKxeEiVuATNKyNu6UAbQBAEdQ+ltb2dPBQsj2pa9t5y0N+vkruJ0BzO3UEm6P9IKJ
qywqF615EgRl+5ziyqcF0qyYfAnBRzRNmWK5WjE44SDgukm82t9EqZt8LOouenSJ8ad1X+CpkLWO
ucdDWN8Edh0+xQaS9qrR/E1QXpOWSLkMoru5NMhY6aqOYkHfAfNUweC+XKoz/xGw/0rATmOBiudP
Ojxf2+6//lHF/v0n/1Sxe795KM1d6vsMUttykar/qWK38AmCFE7X49JrsahT/dnpMUGJm4JZTo+J
bZoT1Dv/VLF7vzF07S5TkXRALQoS/06nx/V/LIYhrbddTzDEjWER+Fm6tz+WOiMtUXGmUXxsC6+/
rvySUKa06vba1sDx8Igg8AVPJB5onaLtjaDZA5re4PA1HrJYgX0Mw97bqS5Qj9QSAB7ZOWEjji2g
VQFK2BfNDKK3ZtdflDTTIqqhneKpXZ/24aInkehusD/KnZXMHLjNAQNAziLRaUISez+Dya00TNao
8KMnrDJxih4cFa4DN/0UjOOzuGh/MCnRTzMuWuCec8Sog2FuukUtFC26IVp1SIimRU3EgY6waDbC
5sHBDOXEj2C3rCCO74Gg3ydhnbabeErHg0Ip92EedQmMEv3SvCiZ0kXTxByevUN0Gt9h4eHihTov
d47Utt3STUkwOEMd5XoOeqd41MVjFIO9RAxfI4LhP3sm2irOpycceAHJ+uiufKmZfkaaYzRmtYlQ
m0UrOKrdY4Z69A5eqn0fXoRc1UXUVel+YST6xrzBEyVY+d6AtQ/b+spF6Qemj0dot4jYZIWvgGXg
exBONsCZrD5QlqQagL5M9PEtLCZMCSxtynzjDUxPSmcEBZdHs2S4jagGyYCLV507d5ihdgdMZLon
2TJwRb1oFltjsBTsN40ATrWlw/fh9KfZtw4dMjksrJ1NvyjnmNp6DktcN4JRPelMS0zSzfKzAkB4
JWLEQIXGbdHJNByRztnkaRQ9tLK0cVfxqvyDnxbNzf+yd6a9bSPZ3v8qjXlPg/sC3DvAI1nyothJ
nD1vCCV2uO87P/39FSV1ItlJulvGM8LFJWYaSOyQ0mHVqapz/ks8AfmcOPGtWZ5kJqTUykRIVXKF
DmP7yS1d9fVQZOHC8Mz+xTDmD/UEF0yH0Vy4RUDOBLN33bOulKGpzTUbpCGUYeoZCsDBJqWlrmj1
R3yXUKvDo+3Kn+CK3QRd7CcYI7ZQ1We5KzD5DVsaMUlurIRUwZvI1MNzyUgb8EpVYc7rNiFkXZ6U
N2DHP7PaNrdSrqJs3MkPepp8troOG2vUJYurVuAuY4HAxMFaqc6TcrA/QRlp3o6SMGlt3RikAkRh
VJsFmFOegJ2uiaUdnhZd9xkwfyafKwNHs0UlFRUsV4EOxexHXRgWBkscP1v5dStwpJFAlOYFleR5
rwwIXAI47Qzl01g5n+SygfxI2bG0kPVBhiqgWqPDSCwvEHADkShgrJAv33pu/iBzPMAUXIBdSwF7
NTDLtl8ihk/RCpDwPPRN9dIj59xxB3ghyEpiGRasbNPprnoMOdg3I4zOoudVnXpTTcBb2+1LD5Jb
/imZgLmlwOiWcrUMBWq3FfjdUiB5hwnTK9C9DTBfUHT+VTRBf9URQ6PLxlXwKrSbIVwBQgyjRVDB
q5j1cmbcVIbmLiwNmTlOvMqiyGu0aCxUv5TctD/oZTIYs3pcpbIlXXp15V9ENss7crnS0nDZ3jry
0C1TPaT01cfRxx7GxXkSFt3KDiyqeoj6ixYomx1kE2dRGRqvKUqjo2oiCmd2fjK3W5imYZHAsotQ
f8kAkFy0ehXMWyXxbrrW6IhAOI50P2TjyoBhcQNaV3rf4QLcxKsGquZ5Elc5xUIvY6MsackyzFfm
0H/El8g8z9hAX/VYSC8MfmsVG3J2o8RaQbtJl3r8NrNCpTSO17x1FVHvI1OVxWsNpaO3KBlgJWSy
M/ENJEznQz4OuEkhdjt34ijCLAA3T723uhUkLPQZyhZWjx2y22/8fkbjs1xSzZtE+G/j0Ru+UUVB
EosC/NI3PD1GwzJvIORUXxEQx97ewkF75pupcp7BBb1C0iemhOWWL4K4+czCgr1PHbeX6Vh0zFIk
Ikf0sroOKnkS1F/VlNVmYelW9UJPcDBtPeWNR2vkUpMQbqcyms/L1A4vYguzdVB4lxVajDOFBXaR
4guBKYzUXuInLF/JAyRL14n8K7PT+4VoAK/MGp4oK7a9rHKUbxpLcVZ9agUU6uI7VxgZW5VnXbBZ
R3QVqftvDbUnoVVsg3XPyb2d0saUzdWCcg/m2kiaIPktC2stJZtLWa8KKX99uPFzj+0g5svzKM4R
/Bsj59zALvMazQh32TXFCv3ZYoH6cnUPeBxTgyTvaA/EcCI0CM9jo/tX5eh8sQHoXnlGSbXUaxZN
1H1JEr1ZyFTMFuhVvsuU0r+yy8q7bDroCgij3baIJcCux2w9URFRbVrjNUpYybKUKszAw7tGrqTX
nR++6onrtdtjx1bK8S0qx+OyNyN8nlGPM+DTtpW5NEYglXqE3R9oyqbmiN4P7/SIelzXENe7ogk8
85rCIgW3oZK9bAFFSSlnatAjqEpNZ8AWTe+yQV4gLjrKC991OAyj7+dIH7sK+fLzAJbEKDS7BGsj
SvFp7SMljvETBHA1XKKP/8awSjM8H9uRrUyFzRXtDMpdiBTA7MCKE3qErMAqGJBmN2Z4nhYv1UyV
/PM8LMcPGvrhH5JM7q8tpKnw606ri2KQMCVrE6vHRwgtNNo9UUfqj1NiAFbscoCMT5+LjGlHkrke
UBLmbNGE11AQGm1moJB5h0JycJ0IIwdNg7zK0Xw5IJV7X6iNdFGhnPSqGuxiiY+sArUdQa9ZkpJe
I2pemHkNQBvwMvLe48aLb0YoVN9yiiYwcTRE8spRb8/lEfWlDtZMN2N1g2CbodayKvMGLddaLXN8
X9ShgQDNyiUvjYq1bWYPPv5zlYWY6Rhx0B4qBSPG0a7aBr1IYMmxH0loURQmGz8XXUtaBbrzUjEk
s55n9VgEy8ig4pzZDu1GX2uQeMYYFReF0FfO+1AOX9t+WdxRPO4q2mtDMM/AxyER73KCBWVxOSp+
Dyo76lt5Jg+lBbQN18UPseM4527lKC+S0E6EXmo/fBy1QF8i4n2hoXCPXDcukXSF0o7uH7W7eZVh
I+AFSA7MpKBCzrCXsFEexCGWHRCyywnmnFd6oMsfXNcXAmay68+9BtX9JQYfKZSiqJbnQVnXH0ne
40IjSCsofF/Qc0Mo2+KIOeONAr6NIyEp6UBrXHR1Ew6zsjHUeV0DIZzrpp+8TIsKWL8Z+fgMGP5N
bnT50umS+kXXWMaV6ds5yvGabbyu4rKJ8LdL4wtd2OA5vLRru6kAaMepPtz3ru1/dthzv8OR11q5
OhZwwmnPelHha22eu57iOTeJbGhzdbA+1olWfRhgX8NwN3SczqCFq70hX5W0UDFXxk35k5brtILB
fANeBGzBWqI6NzFCEQ+q5MKAKQJlTT4NroNOUigh6ObHFrvQARvLxHKXUhH4SGLIWB94UKqR6qm1
O3Db2sIwu3SW0b9d0FxzLsCQNwsDHVRqKm13C9e6u6uQysSmpwMObiDPmWHjux6Kri9mapbpSyXI
gJnlSg64Um3reSKcHTS3LhaS6ZtLtZWte4BL/QsgSeOtXYz5m7wDMzInn4d4lCgYKaRy/NFT5NiD
SRE613B03WsoOfK1nLvgnBivK7nwzNfaWHfzTs6zK5XC8UIahV60peeLIbUU9v6yuTAMF84Z9J6I
1Jyky87MjYswltKrXoZUkTtx9zaD+UWXsFzUeRG+DDy61aEA1YcCXk+SaM+ZgEwWCwneqiXzafB3
576A5kcCpD9MeP1IQPczAeKPJjg/mnaLOMFkyRNgf3/C/VsTBUCQAdo66+7xSYYhkAuyQDvxBjpB
Ifi/8/9fQniaE4DiF+f/oPqaoZ+wD/Dc/Kvt2d82zyaYGAd/5CdtJMf+PPs76hkFLRNIHRUBwBoC
+7c7+1tnMmB23QYSoqvwywEfbc/+unrGEd0CzwDmXcAG/5YZsDjZ/4gXEVpDBtIeOlR99H818fMf
8EEAE/0IGxVz02wqE6TIDIVq4TgMVD3rktbnDwWSV5tb/yi/9tQDKYaA8xS4G1M5QFVFfOtczRNj
pRmqfa60iICMAr1mxjbDnJXnN0Cf/dIG8C2+oKWbxAt4JRICB8giJzQ50gCXXVmZb65D0VqcmlWV
AZv511/tEEnKo3jVQAINJN7Aox98tRKxf6+JFH0ViR58gEb/JWaKlCZNmNC3NaK3760opF4pGrW/
fvQT35KRBIQYISlgtIcFnK4gc8hSqa8qFVhaasPxmXEMpcBN++x3EmPKIXyUL8oIxI2BTTxwjkOQ
UZ/F1In6QF91GWBeWsB0JHARkGmGtbXFQpsCw/Gv8X6m3TmUNMmpgWa0Lfs4ANbAhv03gNbHX59a
mG2aALnQdYAKsj+KQ8Wnz+25+sruOFTPJ2KyDJz24h8+Cz4nwGuGMAPnYEB5lH7QdB30lVZ14Al0
qbrnbN3fNaKt9uu3KgbM/uQ0we0JcUVLZmgdIj0DunGUnxt91br+tw3RWQWw9+uHPBU7khDKizyM
LHUwagG26VatxvpqRCR1FdotzUzb5ASi0Hv7HdpZEdE5/EoalF4VxgMhPASU2q6mtKOkaKtQDWiu
TQBKJF3ovk3sbLuI6IiaA5NUAE4Hv8aNrnW133CGnhjBsLNJe7KYqqLJsD9gXBV2kmtG+qq3a/Va
i1Iqd4VojeRSxQil8ZksokilVzeMDUjmafLCqg8uyCC/Q6A/9QZ0XYO+Lt40GPj9DxPFDj7b+P6s
KvQ97qY+1STuQCfTWfz9lw3ZxAZBy9KiHo6oPrdpsVuFtgoMwutMqhZS3JPqbUH3//XD9lM96Ru5
Pke2HJ2VhaPy4cNyLO3iosila8R76RBKEvWcVAPoMk4kf8TF7N+MZWU/BYtHIkhoCdUXRjPyhAfL
WR6N6CIq2KnLHMUvUHug0VeVVX9ndhJY6crlvU7dQA48oAo8tAMS0IMrS0pp58EcLi5H0SybMsgG
6jGMoClmro/JOhVdYBm/DhLqM3tTwmDhx74e9RhK+RpCN+bB60ffONR7DnDXVSwnSPOiVZUFprT0
lCpqZpmcDGCKaRaWGVz8MB/MhcLNXpeAKyaGPp1niK7kXtfw6vsRac77Xo0YupuutgqG0T+nMwQK
w1Bo8+LLDA5oanrGJrINcsg/KwWSxoLSXkIFVhG0UMPiUy1Qq9CFtesyJIAzaPvDKyw2wRJBW3He
4+smIXznuIVyqVQGt8YFEjWuxPFxZ4hLbEJmHhx68yJOC54hACpm5YPNKoRBp97qSJ1RrUT7xM8Y
IblOCxXMXj1eSLTczOsJm1vVXgIOr1RS/5rTaX0PirT4ZOU0KK4TRXDtqOC+ktRaQrEDklvwWRkc
Xpk1aiYHtg58yPsC9a9PaR2Z6wjTX5oD1KTXg+IAkJuYc2YLcCsBJvU1H131si2s4q406wSKPm1v
K/D0dqZWTmugNI+XGAUAAAYSjYEVmAYwvy4wBa3X+7sYuPD7QVeDiwkgP0HHpw41gl7Ex0Hz4A5i
//hebYGW5Y6AAyQmEFClL6v7KPFUIfUI8WysXMjv9lDij5wP/Ba65tqV46bcJRFt97EmbpjF05ad
Vjk8KewluuCxRofGL0PB70NYfrAs0aj2TR1kIjVw69oXG5MJoz+B72SkMO4i0LQ9MgMSsKEJIFUE
mPmdUzU11hYS/aCYwjCn/JEhczRHVc8yr6dWsgS+Ba83vQUirvaCAILIZYRfS826aGZ4ZTGCvcFb
JKOt3PoSwNfzwUiAZADoA7mAJATrzcYIXUk1xnJLy/d9BT8fNluNbCyFzf5VrtisRTXVeOFOyLqM
ziWdtnmOs/rNaFFknCsBEO42K4y1CZoWyk5aOjGHP6V842mjejniWmSdq56pf07bNn1rYx5wg+J8
fE6lPFNmYAIUm6OnXF4HcdaiTCCghFXc90jtjBieyJVrgs4Zg24mm+BiZ5YRDrc2BFHMA3xcDpLI
ceYUpSip086CtD4ObyMkdGGu+3mOgIBwhmZM4hfCof01kBG0+EO3SQAMlPU3Wx+xpVet5tYxDZxy
EFDAwKGJyEzzUaC6OKXCrK4hfHxEj7KslpUxmF97lOEwCkzTF0CdS28piBwdlqg5nH305TDtbbJb
hzYFbj1j5X/2BALXymqq5xymL8AhuitlqK3iwq4681MOwobDPHZ9Ji2za01PkFroO338DBU54iys
jvOKkmZ5bkP1mSOol34O6U7VeLQA+Y7k0roQm1EqOD2Y53NBMVgU7AFnLeirJZ7YtUhMoAARRbxr
qF5dQWfJr8LSr5aD0QwP2Dt0GBQH0mtkaJKPQdTq85jywixPgwhsGmanlA/WVq0zPwC6nbsqmvBN
WyrLhGN8WNoS+DMAy7Q9XXQcoxJLF4rM4E+ROBAtD2NWUtv1MvHm8+4FO137Ep2cwThPgxapTeyI
AArHjnuOPgK1UmjUcyyO/PMxG2jdJFnzDlMDbCDatFo29KtAislfYwzOPjpxoM4CR+mXlYRJUhPz
ORy3Tl6zKo14D5PeX5h60c1yT+aNWrAQXoA/SF9B+cpfQa9jUEsmO7L1BBuU1JApUQlo5yLLawxB
zV7ASOgigqEj29b3XimTkLLRUd4O8siQlWuQrKXVwDmxG4o+C6QF8eCrs0IGQw4Ud5wD/c8wJAAw
OyFerAGyck3rBSxGY2CnhokU6mFlLO6m9Dm+xhMPD6YEGzMMDl5JPeeoCmvF5Nykcfq2zXWmfuMb
+EH3OrywCXya5wxbUfMQ7WOwOp/UrPDYz/kN9BgEBjOh3VvlyWfqhHb+bchbXUCLa4oeyGAt0lDv
HuCkFB4uIJLxATw/fpq+U10iOEqNOO29gI6ZEvpfqrZeh8CqFoYeeN7cRSal+oh9RCO9CcY80y5t
1afMDVpmbmIIsfC7rsBw2RyXg53m72AyYKriWHr3jp5ycgdE8ZsaY9aKmu1LhFYBrpixFc9Vp2wW
OuIs917te/djEHRvvMbizTHjw0UBLssBimhhHNL6QTTMiriyrk0DKMh532EDMa+gDFNCa6iCXdZO
L6/0IhtuiorimTn2gTQrE7xOZyZvIaTnBsoU+ao+XeA9j4FWWeovUbmKXxaoutwlgV3My0yhjdJi
p0UhVvuSOWa7qs2cspzhqgEGybYWzOnR41zSjB3SQUVMunBcA+chW7+GrvDFxWHiTVd7ETy6Rr4p
KeV/jjoz8uYlMheslQh8zMCwedh4D8FNSa/rWnI6B8/K1qvWatDlKwjMziJF3GClmLIE76KukhLR
yCFAfChtMItQVNWdBbprUcOGC/jWxD7usk21Ed9G330hD834uvaxeXRar/vUxHVBz6Kq9OC6D/re
mNsZHBtENLB0vTV7AG4Xjt9UOJem0ovQGrN3coDZ3VyKEIMSlV45Ahdld7cdK/w3pS2qmybP2wu0
v4YV7PgEvzHHd+k+KhwvfJLbBXa2SgCkPAds7bVW+9pTW6rKaeiiElmR8j5Ffa2BQoiNF32gkkZB
ATj1vMjbtDtX8SF1acRm6k1tDThKw6BS7IUdWzoJUcHnWTUbd+lIBQZSOfguXS+Q2YxNlK8aK7ir
cMN71yhD9d5GxmvR9mM0xxICVCQy8jjiAHvD1Tq00OftLIx/3NHH9KhmHapldNZdqcVCTSdUr9qR
c0oaA65AvcYNXsIP69/JZSfdGEFNpyjQCm1pS1qJ+kaeGsuisgyMQ9XAqS4axu43gEr9h9zW6q+d
4Vr3nVmbwVIG6F3NAb+Cugyz2Cpnrg1ubxTl//PSh810adX5N8PHpbAKoRXMxqCqr7Wux30my1LM
1PugGGY6FLR5xOr8UorBhauy6daYGLJn98YBS1fIO8JPvkFTbhU1+M3iXt9+9MGrQ6vxxvAluDBL
nrl0cl+m+HLUIFV6CeKwxluDQa/gmJd3cd+875EQxeBt2q//Hxbqt1goqmQ/HG0eiXl+gB8E232P
6m5O/2ZbCVVk/YwGhApvFXQUJRTwTDuqu6LwI4HZRtkaLQdOyLtCqIH5hKwCf9Kp4iGxwYlvVwiV
z6jpWRDebOjbnGfVvwOC2q+1UIqUDWotKHgoqg67XhOH9B8KoW7TKYHhFt1tk9x7VYzryZcfovFE
4ZNg/VD5ePyAg6Np2Wtxkvc8wA5JnChsN846aG8DB5D2/a8fNZ2sv1dZeBaFFaorwJl1B0mAw4rC
gNR0bLBNRuQCK28ho4MOoGxiYW2rUWF8rsLes7/6mWvX8LpytZJGtG0M+AnXMAALL7mH2WVbHuAa
3Zcd68ItPQFGTJuHgA1vkLxoSr1C5EtmpbmKKyd0y7d2iFozYiyZ+3Yo6iUFHuO6on36KgSNgzN3
6BZpPadvAwpWK9HjVVtToh/YtZqD3lWcFH70BsEer4V8Rx/OYn+W2fQ4AzCViE836nXJYe3dAMd7
FbtFgy03mj3dMiHzacnKqo3w3MC559ZWIqP7jCi3icyblyBrSOdzjmCNrr3UJSsfV2GNe9mbDslD
PV1orec6cM8QTq57FwfzMqg2peH/NVlj+0XEpF5MnZHXzUM53D1UrLPVv/9rQ6sVP51cVd7iD14H
9fB3f+nXN9pKAz+Rh0gUD9MDr+7/+1/Md9CKDlWSvb7M9MGmD/TL+8RrPnhzj/gwfRSQmBpEHZ2S
Gpf2rz/iDGeDzY8lyz5TAIFQS6GHIC4yAk/8IVI/i8Wvv+YmqL/+nb2v8DVr0lq8DLD8e40mEtVf
C8LBHb7HQHPODJkDuZDPeSoGDmIjSA2YojY5XZsH/v+PwfqeteWc/UIZfK2fGg5/MRKH9/keCoYD
IDQLyMX2q5K/94YDwtFwVFBZolIuLn7+HxkOh1/hcGbY6FUcPTNMCsSqAbp4cx2EQjsTYtdobn2f
OacYCltIOhwZCu2M3YeMBfx2gjDO9kYF+uT0b+kxiv+K60RHhXN8KOQzm9o5NfZNqniUL7UzR6WC
zVbtVGNA4jhyOKhn2IFZoin3ZL60DMSckKpHe2EzGk40FLQUjw4FhnEqbUNS4sGUIDuwh6ZDugnB
f2zd/F2idPjgRw8HXjQiemyzp+twzbDPONPYYoHd/Pw/tYX4bSiOHw7qmcqaIYv/Txf5Zi9Rip2G
AgPG2kT95LYQNCuPHg4KGdDicOs4T2cHMqRjQfSB1jNdJxoK6EZHh4JECRgF7w7O63vjQMChbKBQ
Agd1ipsGa7uxOzjy/M2ThTh8c/revGb5cC6g06dqdMTR19tcpxoKXt6RGVI/Yw8JIA4O23QdZkhW
EQSYSRsCn8V1shnyOXbVIkNa+CVuvurhzGDdBCBInLTNz090grDzOXpUQHqUIeNztt7MEDZmB0mC
McEeC5zZdJ3oWQus3TOEQrX4mqhsHsRAF7qglgEZ/s8YnWK+BEZ0dAzEyIcea8L5mq7DmWGAeFVV
wETUfsR1ssPh+AOGIvKlBl5qOzMI7t7MEIcstlFUrTahONF8iVzk0aNCoKOFRe82Eo/Om/YZyRIY
qrmtQmyCf3obS2FZe/QqKrDZmqMcJgntjNSBBDY47ek62TXj+AOGfmYLNXmdreN0HVZi9DMcqZEf
d77PnJPMl9uN7zH7Sw0JaEH8352w2ZvsJQn9TAMETU139wvTADzBmbFJ5MeEgqot6gcKPcLNdThB
KOKjk6AKjsNu1JzkqFCPnyCasEpUOWX/ZFNFKATO1NyF6mTz5fGnDooREAEEx+TpUaGd0U9mz6Wd
9qmDDfDRSwcHLIvmtkkra3M9yhU6xuOKQe12uk51byWYBEeuoqRN5LpRXmSuHeRLUAc6XIBtjE51
FRXL/9ExQAkLw1KqD9N1ePISBWxRwRaG9OLaPPHUlg4B1Tg2FDjBgkWxaKJ+XyV/HBVMmDOTn7G3
Otk5cXQQ6HqKFy1WyOl1P9pkW2e2InwuIFTsjmYnuX4qz7F+yhy24apsj1aPpwa1XQEP2q6vmyee
2tQw4QEeOzV0up4wkcBV/WT9tM7g9YkksS1lbcbhCYbiWTaYIhQ0vB8tGoICaYON2Myck43B8dsp
+Uxg7xgPsCzF9bgoQQcMTB8s2+k62VAcv50iFEAYWX++o0B+XDQsII4QLIjVNl9uyiCnNzPU59hO
KdT16f9u8VGknb1Q2JSy4M9T6d2MilM9bwhu/ZG7KlZR/BbAiXxHgeyFgqqd4EI6u5+f6gRRN+/o
mAM5m2wdDBVKh0+fN8wzBSSvjrb7aecK/TkKmLx0Qer9DpPaGxUmZW2WFp2j6HSdbK54jlBQyxXK
kt8733uhsM5UmsWgrreL6WkeO3CuOD5XKGe6zB4T47fNBDisWFG8Az0j2OmbUXGqh1H1ObaZSI6a
aEVtd9SHoQByuVM4nWJxquewR8SIfwJGBlUGz+EwBHQBsfUEo7udGCc7Go7fZTIxWBqoTWzmxVO7
TDagLCvbn5/q+Ut9nl2mQ5Fmt4s8bIhSvwSfC7TsxM8e2vG7TBXpZEQFMTDbpMPHoRDlf2NX35dP
dZepH7+1UsEiawin2Nv9wmEozDN+KHCX24LWZkqe3tlDGPcdueFWpl0kXfAtrOgwFGy44XWgT7QN
xanmCkFnOzIUOi1gg07GbhfJIrm3tTLOwAuodMA28+dUEepQ/44OBWcPUoEocG+WCMbZXihIm+y4
DSw7N7E41f2E8No9clTAp6S6DUB7ezg/bBEDuUEHiK3FdlSc6r5C9GqODAVgM5TRWEu/v/W9UcGG
G1A/tc7tCnOyueL4DTeUN7CWICh+UtcFnIvUIDXu7QQ61WOY9ix1XU7eBrCaP3PB3qggFEwe3dw+
6gRX0eO3mQwHQCLogP0kBtYZ2wkaptuOwunFQIjvHZkdIJELygKmsweLhUgbKny/3R77VDPkIw/6
v3/4BHQIS1wThPy9OQB4mwVTQRp0s56eambUj8+MgGfoXjAKthvKx+slXVBMt3cQ1c3kO8EZcXxm
ZBdlCogpuOTpOtxbm0Cu8I3XKfNurmkOnmAoniNBou85Fev+/Kp7EwRIFc0gQfnbTJBTresbx+dJ
kQ4BVIGv3HzVw0IVgsVIG+qky831N9LlXxg6f2oQzP0gvp/UB4KH6in9gZ/9wo5w//jnP2gLCEb9
3i8KMYLNszc0a/Hnf++x6SZBgB9+uBMImJ6z/efbL/j40XvP2n2r3V9eBg/luvzqD9MPhu3HvF0n
iBf8v3j9ZZ2sD3URdn9+QkPhh4XyNzeuooP7ilX2+zf873/tff+/et8yGLN0/8aMpue4cbROq3W1
u9MkEYGKy+7P/zwU83UcfMvKNNj71JweySvHhgM1laxc32e7O4lPbU3q28ffOU0fvtbB16beuzlE
1N2f/3lIzh/idbcuH3Z3Eh9bnJx2fz7izltthz+yb38QnCb5sh92diHPMAqXRD2433ufiqipHf/5
Lx6y0tv/yAqIShaEY1/oJREPgt19puGtTVLxx9746n7t7w1Aqu+CzHP0fXGUTrNgf0ZC5nqG8XeV
3gfrgywiUEjP8KGzbn9YsJKxlTo2FqvHuQnk1DPMlxWfrPkaDbuPOI0Lkyjv/uKfT8UXWRNUj8Ls
qPYzjI2bdZDuZQ8QVM+xvNysUd1bp/e7by/CARzjOV7hzbqq1l+REnyo670xjXi4AAkcO0Rugq9+
4K33lX2oRbGBOv7WrAVVVu+NbFVBHvc57l1VAf/L873cpMI+eKa7Z015eOtn+eBZWh/kECFP7hwf
ktuHL+X6YPeEtDzmnEe/yduHdr2/blGiE7XRY4fI7UP3x+U6ySs/2F/Wub9gwj/H/a8fyuph2N1r
mpoUW5/p5jcPffB1bxmjif4cK7qIzKesjA4+t+DpHh2UrKz9P+brMmOl3J+cGkSN53rA+To6nPvo
yz/DluSlH+xHHLLZMyw8L6OYHcn+qQY8ttBpOTbiL8sH71A8DSbU8Td+9ZCm1RC364NjAq1H9Rk+
952f3T/8cVU9Wtvo3jzDi3yTNT8ZiBqrxDO80s0DHg9Ecftn2A++JfoPVfWwt6VAdkOw6Y4dMm8f
+v1TJVqBz3FgfVev/d2nE7lQIKefYa1//1AmrGx7d2Ypfoa1+El/a1Hr2T3rn281P6xZd1IP2+Xd
vaaICMLJ7i+OuPnvzLl/bgH2Z0/hV6WSD78y/zr23j8X0/3lnZ+qNP2pWfm4/rTTonzqn+0X18Rv
fI0f1uW//wcAAP//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59531</xdr:colOff>
      <xdr:row>29</xdr:row>
      <xdr:rowOff>59531</xdr:rowOff>
    </xdr:to>
    <xdr:sp macro="" textlink="">
      <xdr:nvSpPr>
        <xdr:cNvPr id="2" name="Rectangle 1">
          <a:extLst>
            <a:ext uri="{FF2B5EF4-FFF2-40B4-BE49-F238E27FC236}">
              <a16:creationId xmlns:a16="http://schemas.microsoft.com/office/drawing/2014/main" id="{2DFEA975-E8A7-20A2-C684-0174C7569644}"/>
            </a:ext>
          </a:extLst>
        </xdr:cNvPr>
        <xdr:cNvSpPr/>
      </xdr:nvSpPr>
      <xdr:spPr>
        <a:xfrm>
          <a:off x="0" y="0"/>
          <a:ext cx="1881187" cy="55840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gradFill>
                <a:gsLst>
                  <a:gs pos="0">
                    <a:schemeClr val="accent2">
                      <a:lumMod val="40000"/>
                      <a:lumOff val="60000"/>
                    </a:schemeClr>
                  </a:gs>
                  <a:gs pos="98165">
                    <a:schemeClr val="accent1">
                      <a:lumMod val="30000"/>
                      <a:lumOff val="70000"/>
                    </a:schemeClr>
                  </a:gs>
                  <a:gs pos="67000">
                    <a:srgbClr val="00B050"/>
                  </a:gs>
                  <a:gs pos="32000">
                    <a:schemeClr val="accent4">
                      <a:lumMod val="60000"/>
                      <a:lumOff val="40000"/>
                    </a:schemeClr>
                  </a:gs>
                  <a:gs pos="91000">
                    <a:schemeClr val="accent1">
                      <a:lumMod val="30000"/>
                      <a:lumOff val="70000"/>
                    </a:schemeClr>
                  </a:gs>
                </a:gsLst>
                <a:lin ang="5400000" scaled="1"/>
              </a:gradFill>
            </a:rPr>
            <a:t>=</a:t>
          </a:r>
        </a:p>
      </xdr:txBody>
    </xdr:sp>
    <xdr:clientData/>
  </xdr:twoCellAnchor>
  <xdr:twoCellAnchor>
    <xdr:from>
      <xdr:col>3</xdr:col>
      <xdr:colOff>59532</xdr:colOff>
      <xdr:row>0</xdr:row>
      <xdr:rowOff>11907</xdr:rowOff>
    </xdr:from>
    <xdr:to>
      <xdr:col>25</xdr:col>
      <xdr:colOff>559593</xdr:colOff>
      <xdr:row>29</xdr:row>
      <xdr:rowOff>23812</xdr:rowOff>
    </xdr:to>
    <xdr:sp macro="" textlink="">
      <xdr:nvSpPr>
        <xdr:cNvPr id="3" name="Rectangle 2">
          <a:extLst>
            <a:ext uri="{FF2B5EF4-FFF2-40B4-BE49-F238E27FC236}">
              <a16:creationId xmlns:a16="http://schemas.microsoft.com/office/drawing/2014/main" id="{9CC4777A-3B38-4953-81F9-A73009494D60}"/>
            </a:ext>
          </a:extLst>
        </xdr:cNvPr>
        <xdr:cNvSpPr/>
      </xdr:nvSpPr>
      <xdr:spPr>
        <a:xfrm>
          <a:off x="1881188" y="11907"/>
          <a:ext cx="13858874" cy="55364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83344</xdr:colOff>
      <xdr:row>0</xdr:row>
      <xdr:rowOff>23813</xdr:rowOff>
    </xdr:from>
    <xdr:to>
      <xdr:col>11</xdr:col>
      <xdr:colOff>350042</xdr:colOff>
      <xdr:row>13</xdr:row>
      <xdr:rowOff>47625</xdr:rowOff>
    </xdr:to>
    <xdr:graphicFrame macro="">
      <xdr:nvGraphicFramePr>
        <xdr:cNvPr id="4" name="Chart 3">
          <a:extLst>
            <a:ext uri="{FF2B5EF4-FFF2-40B4-BE49-F238E27FC236}">
              <a16:creationId xmlns:a16="http://schemas.microsoft.com/office/drawing/2014/main" id="{81C425C1-6B79-40BC-B5C2-87E8B633C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309561</xdr:colOff>
      <xdr:row>13</xdr:row>
      <xdr:rowOff>95249</xdr:rowOff>
    </xdr:from>
    <xdr:to>
      <xdr:col>25</xdr:col>
      <xdr:colOff>559593</xdr:colOff>
      <xdr:row>28</xdr:row>
      <xdr:rowOff>166687</xdr:rowOff>
    </xdr:to>
    <xdr:graphicFrame macro="">
      <xdr:nvGraphicFramePr>
        <xdr:cNvPr id="5" name="Chart 4">
          <a:extLst>
            <a:ext uri="{FF2B5EF4-FFF2-40B4-BE49-F238E27FC236}">
              <a16:creationId xmlns:a16="http://schemas.microsoft.com/office/drawing/2014/main" id="{D623F333-7BF8-42C8-B132-0F4C09D98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83344</xdr:colOff>
      <xdr:row>13</xdr:row>
      <xdr:rowOff>47624</xdr:rowOff>
    </xdr:from>
    <xdr:to>
      <xdr:col>10</xdr:col>
      <xdr:colOff>404812</xdr:colOff>
      <xdr:row>28</xdr:row>
      <xdr:rowOff>178593</xdr:rowOff>
    </xdr:to>
    <xdr:graphicFrame macro="">
      <xdr:nvGraphicFramePr>
        <xdr:cNvPr id="6" name="Chart 5">
          <a:extLst>
            <a:ext uri="{FF2B5EF4-FFF2-40B4-BE49-F238E27FC236}">
              <a16:creationId xmlns:a16="http://schemas.microsoft.com/office/drawing/2014/main" id="{1124D602-0505-4873-8A27-04FEE1A12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345281</xdr:colOff>
      <xdr:row>0</xdr:row>
      <xdr:rowOff>0</xdr:rowOff>
    </xdr:from>
    <xdr:to>
      <xdr:col>16</xdr:col>
      <xdr:colOff>535780</xdr:colOff>
      <xdr:row>13</xdr:row>
      <xdr:rowOff>71437</xdr:rowOff>
    </xdr:to>
    <xdr:graphicFrame macro="">
      <xdr:nvGraphicFramePr>
        <xdr:cNvPr id="8" name="Chart 7">
          <a:extLst>
            <a:ext uri="{FF2B5EF4-FFF2-40B4-BE49-F238E27FC236}">
              <a16:creationId xmlns:a16="http://schemas.microsoft.com/office/drawing/2014/main" id="{8ABC6672-E37F-4927-8F2C-313F57E24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416718</xdr:colOff>
      <xdr:row>13</xdr:row>
      <xdr:rowOff>47624</xdr:rowOff>
    </xdr:from>
    <xdr:to>
      <xdr:col>18</xdr:col>
      <xdr:colOff>297655</xdr:colOff>
      <xdr:row>28</xdr:row>
      <xdr:rowOff>190499</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AEA8401C-3E1E-4CB1-AD81-40DC4DCF2A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12718" y="2524124"/>
              <a:ext cx="4757737" cy="3000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547687</xdr:colOff>
      <xdr:row>0</xdr:row>
      <xdr:rowOff>23813</xdr:rowOff>
    </xdr:from>
    <xdr:to>
      <xdr:col>25</xdr:col>
      <xdr:colOff>523875</xdr:colOff>
      <xdr:row>13</xdr:row>
      <xdr:rowOff>83345</xdr:rowOff>
    </xdr:to>
    <xdr:sp macro="" textlink="">
      <xdr:nvSpPr>
        <xdr:cNvPr id="14" name="Rectangle 13">
          <a:extLst>
            <a:ext uri="{FF2B5EF4-FFF2-40B4-BE49-F238E27FC236}">
              <a16:creationId xmlns:a16="http://schemas.microsoft.com/office/drawing/2014/main" id="{9745EB48-8547-9CDD-AD4A-4DB8F1FF3F88}"/>
            </a:ext>
          </a:extLst>
        </xdr:cNvPr>
        <xdr:cNvSpPr/>
      </xdr:nvSpPr>
      <xdr:spPr>
        <a:xfrm>
          <a:off x="10263187" y="23813"/>
          <a:ext cx="5441157" cy="253603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535781</xdr:colOff>
      <xdr:row>1</xdr:row>
      <xdr:rowOff>83344</xdr:rowOff>
    </xdr:from>
    <xdr:to>
      <xdr:col>25</xdr:col>
      <xdr:colOff>548949</xdr:colOff>
      <xdr:row>13</xdr:row>
      <xdr:rowOff>119063</xdr:rowOff>
    </xdr:to>
    <xdr:pic>
      <xdr:nvPicPr>
        <xdr:cNvPr id="15" name="Picture 14">
          <a:extLst>
            <a:ext uri="{FF2B5EF4-FFF2-40B4-BE49-F238E27FC236}">
              <a16:creationId xmlns:a16="http://schemas.microsoft.com/office/drawing/2014/main" id="{4B14A6D8-64B8-4E62-B73A-6D09335C97E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51281" y="273844"/>
          <a:ext cx="5478137" cy="2321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535781</xdr:colOff>
      <xdr:row>0</xdr:row>
      <xdr:rowOff>0</xdr:rowOff>
    </xdr:from>
    <xdr:to>
      <xdr:col>25</xdr:col>
      <xdr:colOff>511967</xdr:colOff>
      <xdr:row>1</xdr:row>
      <xdr:rowOff>130969</xdr:rowOff>
    </xdr:to>
    <xdr:sp macro="" textlink="">
      <xdr:nvSpPr>
        <xdr:cNvPr id="16" name="TextBox 15">
          <a:extLst>
            <a:ext uri="{FF2B5EF4-FFF2-40B4-BE49-F238E27FC236}">
              <a16:creationId xmlns:a16="http://schemas.microsoft.com/office/drawing/2014/main" id="{280DF1EA-23E1-4DAE-A16E-89470B7BE6E6}"/>
            </a:ext>
          </a:extLst>
        </xdr:cNvPr>
        <xdr:cNvSpPr txBox="1"/>
      </xdr:nvSpPr>
      <xdr:spPr>
        <a:xfrm>
          <a:off x="10251281" y="0"/>
          <a:ext cx="5441155" cy="32146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Region wise average sale</a:t>
          </a:r>
          <a:r>
            <a:rPr lang="en-US" sz="1600" b="1" baseline="0">
              <a:solidFill>
                <a:schemeClr val="bg1"/>
              </a:solidFill>
            </a:rPr>
            <a:t>s  percentage</a:t>
          </a:r>
          <a:endParaRPr lang="en-US" sz="1600" b="1">
            <a:solidFill>
              <a:schemeClr val="bg1"/>
            </a:solidFill>
          </a:endParaRPr>
        </a:p>
      </xdr:txBody>
    </xdr:sp>
    <xdr:clientData/>
  </xdr:twoCellAnchor>
  <xdr:twoCellAnchor editAs="oneCell">
    <xdr:from>
      <xdr:col>0</xdr:col>
      <xdr:colOff>0</xdr:colOff>
      <xdr:row>11</xdr:row>
      <xdr:rowOff>59530</xdr:rowOff>
    </xdr:from>
    <xdr:to>
      <xdr:col>3</xdr:col>
      <xdr:colOff>59531</xdr:colOff>
      <xdr:row>20</xdr:row>
      <xdr:rowOff>40480</xdr:rowOff>
    </xdr:to>
    <mc:AlternateContent xmlns:mc="http://schemas.openxmlformats.org/markup-compatibility/2006">
      <mc:Choice xmlns:a14="http://schemas.microsoft.com/office/drawing/2010/main" Requires="a14">
        <xdr:graphicFrame macro="">
          <xdr:nvGraphicFramePr>
            <xdr:cNvPr id="18" name="Brand">
              <a:extLst>
                <a:ext uri="{FF2B5EF4-FFF2-40B4-BE49-F238E27FC236}">
                  <a16:creationId xmlns:a16="http://schemas.microsoft.com/office/drawing/2014/main" id="{813F3B96-BD80-4FB6-B2C6-96AE69884E8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0" y="2155030"/>
              <a:ext cx="1881187"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11907</xdr:colOff>
      <xdr:row>19</xdr:row>
      <xdr:rowOff>166685</xdr:rowOff>
    </xdr:from>
    <xdr:to>
      <xdr:col>3</xdr:col>
      <xdr:colOff>59533</xdr:colOff>
      <xdr:row>29</xdr:row>
      <xdr:rowOff>35719</xdr:rowOff>
    </xdr:to>
    <mc:AlternateContent xmlns:mc="http://schemas.openxmlformats.org/markup-compatibility/2006">
      <mc:Choice xmlns:a14="http://schemas.microsoft.com/office/drawing/2010/main" Requires="a14">
        <xdr:graphicFrame macro="">
          <xdr:nvGraphicFramePr>
            <xdr:cNvPr id="19" name="Distribution type">
              <a:extLst>
                <a:ext uri="{FF2B5EF4-FFF2-40B4-BE49-F238E27FC236}">
                  <a16:creationId xmlns:a16="http://schemas.microsoft.com/office/drawing/2014/main" id="{68971870-7150-42FA-855B-88E4A9449C47}"/>
                </a:ext>
              </a:extLst>
            </xdr:cNvPr>
            <xdr:cNvGraphicFramePr/>
          </xdr:nvGraphicFramePr>
          <xdr:xfrm>
            <a:off x="0" y="0"/>
            <a:ext cx="0" cy="0"/>
          </xdr:xfrm>
          <a:graphic>
            <a:graphicData uri="http://schemas.microsoft.com/office/drawing/2010/slicer">
              <sle:slicer xmlns:sle="http://schemas.microsoft.com/office/drawing/2010/slicer" name="Distribution type"/>
            </a:graphicData>
          </a:graphic>
        </xdr:graphicFrame>
      </mc:Choice>
      <mc:Fallback>
        <xdr:sp macro="" textlink="">
          <xdr:nvSpPr>
            <xdr:cNvPr id="0" name=""/>
            <xdr:cNvSpPr>
              <a:spLocks noTextEdit="1"/>
            </xdr:cNvSpPr>
          </xdr:nvSpPr>
          <xdr:spPr>
            <a:xfrm>
              <a:off x="11907" y="3786185"/>
              <a:ext cx="1869282" cy="1774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xdr:colOff>
      <xdr:row>0</xdr:row>
      <xdr:rowOff>23812</xdr:rowOff>
    </xdr:from>
    <xdr:to>
      <xdr:col>3</xdr:col>
      <xdr:colOff>83344</xdr:colOff>
      <xdr:row>1</xdr:row>
      <xdr:rowOff>130969</xdr:rowOff>
    </xdr:to>
    <xdr:sp macro="" textlink="">
      <xdr:nvSpPr>
        <xdr:cNvPr id="20" name="Rectangle 19">
          <a:extLst>
            <a:ext uri="{FF2B5EF4-FFF2-40B4-BE49-F238E27FC236}">
              <a16:creationId xmlns:a16="http://schemas.microsoft.com/office/drawing/2014/main" id="{F456302F-B798-8561-4C46-B14281D210A2}"/>
            </a:ext>
          </a:extLst>
        </xdr:cNvPr>
        <xdr:cNvSpPr/>
      </xdr:nvSpPr>
      <xdr:spPr>
        <a:xfrm>
          <a:off x="23812" y="23812"/>
          <a:ext cx="1881188" cy="29765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gradFill>
                <a:gsLst>
                  <a:gs pos="0">
                    <a:schemeClr val="accent1">
                      <a:lumMod val="5000"/>
                      <a:lumOff val="95000"/>
                    </a:schemeClr>
                  </a:gs>
                  <a:gs pos="67000">
                    <a:schemeClr val="accent1">
                      <a:lumMod val="45000"/>
                      <a:lumOff val="55000"/>
                    </a:schemeClr>
                  </a:gs>
                  <a:gs pos="32000">
                    <a:schemeClr val="accent1">
                      <a:lumMod val="45000"/>
                      <a:lumOff val="55000"/>
                    </a:schemeClr>
                  </a:gs>
                  <a:gs pos="91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XYZ </a:t>
          </a:r>
          <a:r>
            <a:rPr lang="en-US" sz="1400" b="1" baseline="0">
              <a:gradFill>
                <a:gsLst>
                  <a:gs pos="0">
                    <a:schemeClr val="accent1">
                      <a:lumMod val="5000"/>
                      <a:lumOff val="95000"/>
                    </a:schemeClr>
                  </a:gs>
                  <a:gs pos="67000">
                    <a:schemeClr val="accent1">
                      <a:lumMod val="45000"/>
                      <a:lumOff val="55000"/>
                    </a:schemeClr>
                  </a:gs>
                  <a:gs pos="32000">
                    <a:schemeClr val="accent1">
                      <a:lumMod val="45000"/>
                      <a:lumOff val="55000"/>
                    </a:schemeClr>
                  </a:gs>
                  <a:gs pos="91000">
                    <a:schemeClr val="accent1">
                      <a:lumMod val="30000"/>
                      <a:lumOff val="70000"/>
                    </a:schemeClr>
                  </a:gs>
                </a:gsLst>
                <a:lin ang="5400000" scaled="1"/>
              </a:gradFill>
              <a:latin typeface="Times New Roman" panose="02020603050405020304" pitchFamily="18" charset="0"/>
              <a:cs typeface="Times New Roman" panose="02020603050405020304" pitchFamily="18" charset="0"/>
            </a:rPr>
            <a:t> chocolates &amp; co</a:t>
          </a:r>
          <a:endParaRPr lang="en-US" sz="1400" b="1">
            <a:gradFill>
              <a:gsLst>
                <a:gs pos="0">
                  <a:schemeClr val="accent1">
                    <a:lumMod val="5000"/>
                    <a:lumOff val="95000"/>
                  </a:schemeClr>
                </a:gs>
                <a:gs pos="67000">
                  <a:schemeClr val="accent1">
                    <a:lumMod val="45000"/>
                    <a:lumOff val="55000"/>
                  </a:schemeClr>
                </a:gs>
                <a:gs pos="32000">
                  <a:schemeClr val="accent1">
                    <a:lumMod val="45000"/>
                    <a:lumOff val="55000"/>
                  </a:schemeClr>
                </a:gs>
                <a:gs pos="91000">
                  <a:schemeClr val="accent1">
                    <a:lumMod val="30000"/>
                    <a:lumOff val="70000"/>
                  </a:schemeClr>
                </a:gs>
              </a:gsLst>
              <a:lin ang="5400000" scaled="1"/>
            </a:gra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11906</xdr:rowOff>
    </xdr:from>
    <xdr:to>
      <xdr:col>3</xdr:col>
      <xdr:colOff>59532</xdr:colOff>
      <xdr:row>1</xdr:row>
      <xdr:rowOff>154781</xdr:rowOff>
    </xdr:to>
    <xdr:sp macro="" textlink="">
      <xdr:nvSpPr>
        <xdr:cNvPr id="22" name="Rectangle 21">
          <a:extLst>
            <a:ext uri="{FF2B5EF4-FFF2-40B4-BE49-F238E27FC236}">
              <a16:creationId xmlns:a16="http://schemas.microsoft.com/office/drawing/2014/main" id="{4A8F15B9-10A5-4D96-998A-EEE7AAA25D31}"/>
            </a:ext>
          </a:extLst>
        </xdr:cNvPr>
        <xdr:cNvSpPr/>
      </xdr:nvSpPr>
      <xdr:spPr>
        <a:xfrm>
          <a:off x="0" y="11906"/>
          <a:ext cx="1881188"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C00000"/>
              </a:solidFill>
              <a:latin typeface="Times New Roman" panose="02020603050405020304" pitchFamily="18" charset="0"/>
              <a:cs typeface="Times New Roman" panose="02020603050405020304" pitchFamily="18" charset="0"/>
            </a:rPr>
            <a:t>XYZ </a:t>
          </a:r>
          <a:r>
            <a:rPr lang="en-US" sz="1400" b="1" baseline="0">
              <a:solidFill>
                <a:srgbClr val="C00000"/>
              </a:solidFill>
              <a:latin typeface="Times New Roman" panose="02020603050405020304" pitchFamily="18" charset="0"/>
              <a:cs typeface="Times New Roman" panose="02020603050405020304" pitchFamily="18" charset="0"/>
            </a:rPr>
            <a:t> chocolates &amp; co</a:t>
          </a:r>
          <a:endParaRPr lang="en-US" sz="14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523874</xdr:colOff>
      <xdr:row>1</xdr:row>
      <xdr:rowOff>130968</xdr:rowOff>
    </xdr:from>
    <xdr:to>
      <xdr:col>2</xdr:col>
      <xdr:colOff>190499</xdr:colOff>
      <xdr:row>3</xdr:row>
      <xdr:rowOff>107156</xdr:rowOff>
    </xdr:to>
    <xdr:sp macro="" textlink="'KPI''s'!A6">
      <xdr:nvSpPr>
        <xdr:cNvPr id="26" name="Rectangle 25">
          <a:extLst>
            <a:ext uri="{FF2B5EF4-FFF2-40B4-BE49-F238E27FC236}">
              <a16:creationId xmlns:a16="http://schemas.microsoft.com/office/drawing/2014/main" id="{B9C2DB04-0D3D-E8DE-5A27-A14D261018A0}"/>
            </a:ext>
          </a:extLst>
        </xdr:cNvPr>
        <xdr:cNvSpPr/>
      </xdr:nvSpPr>
      <xdr:spPr>
        <a:xfrm>
          <a:off x="523874" y="321468"/>
          <a:ext cx="881063" cy="3571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E688CB-DCAC-493B-B13E-CE1F5BC4F7E1}" type="TxLink">
            <a:rPr lang="en-US" sz="1800" b="1" i="1" u="none" strike="noStrike">
              <a:solidFill>
                <a:schemeClr val="tx1"/>
              </a:solidFill>
              <a:latin typeface="Calibri"/>
              <a:cs typeface="Calibri"/>
            </a:rPr>
            <a:pPr algn="ctr"/>
            <a:t>Orders</a:t>
          </a:fld>
          <a:endParaRPr lang="en-US" sz="1800" i="1">
            <a:solidFill>
              <a:schemeClr val="tx1"/>
            </a:solidFill>
          </a:endParaRPr>
        </a:p>
      </xdr:txBody>
    </xdr:sp>
    <xdr:clientData/>
  </xdr:twoCellAnchor>
  <xdr:twoCellAnchor>
    <xdr:from>
      <xdr:col>0</xdr:col>
      <xdr:colOff>607218</xdr:colOff>
      <xdr:row>3</xdr:row>
      <xdr:rowOff>9524</xdr:rowOff>
    </xdr:from>
    <xdr:to>
      <xdr:col>2</xdr:col>
      <xdr:colOff>178592</xdr:colOff>
      <xdr:row>4</xdr:row>
      <xdr:rowOff>130967</xdr:rowOff>
    </xdr:to>
    <xdr:sp macro="" textlink="'KPI''s'!A7">
      <xdr:nvSpPr>
        <xdr:cNvPr id="27" name="Rectangle 26">
          <a:extLst>
            <a:ext uri="{FF2B5EF4-FFF2-40B4-BE49-F238E27FC236}">
              <a16:creationId xmlns:a16="http://schemas.microsoft.com/office/drawing/2014/main" id="{0EBD5452-3DAC-4EFF-8C1E-34497E8411F2}"/>
            </a:ext>
          </a:extLst>
        </xdr:cNvPr>
        <xdr:cNvSpPr/>
      </xdr:nvSpPr>
      <xdr:spPr>
        <a:xfrm>
          <a:off x="607218" y="581024"/>
          <a:ext cx="785812" cy="311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D6510D-EC8D-4C38-AD7D-B157BB8E8188}" type="TxLink">
            <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rPr>
            <a:pPr marL="0" indent="0" algn="ctr"/>
            <a:t>903</a:t>
          </a:fld>
          <a:endPar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endParaRPr>
        </a:p>
      </xdr:txBody>
    </xdr:sp>
    <xdr:clientData/>
  </xdr:twoCellAnchor>
  <xdr:twoCellAnchor>
    <xdr:from>
      <xdr:col>0</xdr:col>
      <xdr:colOff>488156</xdr:colOff>
      <xdr:row>4</xdr:row>
      <xdr:rowOff>161926</xdr:rowOff>
    </xdr:from>
    <xdr:to>
      <xdr:col>2</xdr:col>
      <xdr:colOff>297656</xdr:colOff>
      <xdr:row>6</xdr:row>
      <xdr:rowOff>107156</xdr:rowOff>
    </xdr:to>
    <xdr:sp macro="" textlink="'KPI''s'!B6">
      <xdr:nvSpPr>
        <xdr:cNvPr id="28" name="Rectangle 27">
          <a:extLst>
            <a:ext uri="{FF2B5EF4-FFF2-40B4-BE49-F238E27FC236}">
              <a16:creationId xmlns:a16="http://schemas.microsoft.com/office/drawing/2014/main" id="{B221510A-5961-4DDC-B935-55A99E58FB04}"/>
            </a:ext>
          </a:extLst>
        </xdr:cNvPr>
        <xdr:cNvSpPr/>
      </xdr:nvSpPr>
      <xdr:spPr>
        <a:xfrm>
          <a:off x="488156" y="923926"/>
          <a:ext cx="1023938" cy="326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63AF7D6-D89B-425C-BA5F-39283A1E7110}" type="TxLink">
            <a:rPr lang="en-US" sz="1800" b="1" i="1" u="none" strike="noStrike">
              <a:solidFill>
                <a:schemeClr val="tx1"/>
              </a:solidFill>
              <a:latin typeface="Calibri"/>
              <a:ea typeface="+mn-ea"/>
              <a:cs typeface="Calibri"/>
            </a:rPr>
            <a:pPr marL="0" indent="0" algn="ctr"/>
            <a:t>Quantity</a:t>
          </a:fld>
          <a:endParaRPr lang="en-US" sz="1800" b="1" i="1" u="none" strike="noStrike">
            <a:solidFill>
              <a:schemeClr val="tx1"/>
            </a:solidFill>
            <a:latin typeface="Calibri"/>
            <a:ea typeface="+mn-ea"/>
            <a:cs typeface="Calibri"/>
          </a:endParaRPr>
        </a:p>
      </xdr:txBody>
    </xdr:sp>
    <xdr:clientData/>
  </xdr:twoCellAnchor>
  <xdr:twoCellAnchor>
    <xdr:from>
      <xdr:col>0</xdr:col>
      <xdr:colOff>351235</xdr:colOff>
      <xdr:row>6</xdr:row>
      <xdr:rowOff>64294</xdr:rowOff>
    </xdr:from>
    <xdr:to>
      <xdr:col>2</xdr:col>
      <xdr:colOff>428624</xdr:colOff>
      <xdr:row>7</xdr:row>
      <xdr:rowOff>166687</xdr:rowOff>
    </xdr:to>
    <xdr:sp macro="" textlink="'KPI''s'!B7">
      <xdr:nvSpPr>
        <xdr:cNvPr id="29" name="Rectangle 28">
          <a:extLst>
            <a:ext uri="{FF2B5EF4-FFF2-40B4-BE49-F238E27FC236}">
              <a16:creationId xmlns:a16="http://schemas.microsoft.com/office/drawing/2014/main" id="{CB335353-E3B5-4DDE-9A9F-25F52792F7A6}"/>
            </a:ext>
          </a:extLst>
        </xdr:cNvPr>
        <xdr:cNvSpPr/>
      </xdr:nvSpPr>
      <xdr:spPr>
        <a:xfrm>
          <a:off x="351235" y="1207294"/>
          <a:ext cx="1291827" cy="2928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71DA7A1-D886-4EF6-B560-B0D94FBD1DE0}" type="TxLink">
            <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rPr>
            <a:pPr marL="0" indent="0" algn="ctr"/>
            <a:t>1,40,106</a:t>
          </a:fld>
          <a:endPar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endParaRPr>
        </a:p>
      </xdr:txBody>
    </xdr:sp>
    <xdr:clientData/>
  </xdr:twoCellAnchor>
  <xdr:twoCellAnchor>
    <xdr:from>
      <xdr:col>0</xdr:col>
      <xdr:colOff>428624</xdr:colOff>
      <xdr:row>8</xdr:row>
      <xdr:rowOff>50006</xdr:rowOff>
    </xdr:from>
    <xdr:to>
      <xdr:col>2</xdr:col>
      <xdr:colOff>357186</xdr:colOff>
      <xdr:row>9</xdr:row>
      <xdr:rowOff>95249</xdr:rowOff>
    </xdr:to>
    <xdr:sp macro="" textlink="'KPI''s'!C6">
      <xdr:nvSpPr>
        <xdr:cNvPr id="30" name="Rectangle 29">
          <a:extLst>
            <a:ext uri="{FF2B5EF4-FFF2-40B4-BE49-F238E27FC236}">
              <a16:creationId xmlns:a16="http://schemas.microsoft.com/office/drawing/2014/main" id="{950AD380-B001-424F-9DAB-6754CDD8F212}"/>
            </a:ext>
          </a:extLst>
        </xdr:cNvPr>
        <xdr:cNvSpPr/>
      </xdr:nvSpPr>
      <xdr:spPr>
        <a:xfrm>
          <a:off x="428624" y="1574006"/>
          <a:ext cx="1143000" cy="2357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FED5CCF-30E5-4752-979E-C13756E86930}" type="TxLink">
            <a:rPr lang="en-US" sz="1800" b="1" i="1" u="none" strike="noStrike">
              <a:solidFill>
                <a:schemeClr val="tx1"/>
              </a:solidFill>
              <a:latin typeface="Calibri"/>
              <a:ea typeface="+mn-ea"/>
              <a:cs typeface="Calibri"/>
            </a:rPr>
            <a:pPr marL="0" indent="0" algn="ctr"/>
            <a:t>Amount</a:t>
          </a:fld>
          <a:endParaRPr lang="en-US" sz="1800" b="1" i="1" u="none" strike="noStrike">
            <a:solidFill>
              <a:schemeClr val="tx1"/>
            </a:solidFill>
            <a:latin typeface="Calibri"/>
            <a:ea typeface="+mn-ea"/>
            <a:cs typeface="Calibri"/>
          </a:endParaRPr>
        </a:p>
      </xdr:txBody>
    </xdr:sp>
    <xdr:clientData/>
  </xdr:twoCellAnchor>
  <xdr:twoCellAnchor>
    <xdr:from>
      <xdr:col>0</xdr:col>
      <xdr:colOff>369094</xdr:colOff>
      <xdr:row>9</xdr:row>
      <xdr:rowOff>83345</xdr:rowOff>
    </xdr:from>
    <xdr:to>
      <xdr:col>2</xdr:col>
      <xdr:colOff>452437</xdr:colOff>
      <xdr:row>10</xdr:row>
      <xdr:rowOff>166687</xdr:rowOff>
    </xdr:to>
    <xdr:sp macro="" textlink="'KPI''s'!C7">
      <xdr:nvSpPr>
        <xdr:cNvPr id="31" name="Rectangle 30">
          <a:extLst>
            <a:ext uri="{FF2B5EF4-FFF2-40B4-BE49-F238E27FC236}">
              <a16:creationId xmlns:a16="http://schemas.microsoft.com/office/drawing/2014/main" id="{BC987B08-53BD-4DB8-A598-2C9235BB9385}"/>
            </a:ext>
          </a:extLst>
        </xdr:cNvPr>
        <xdr:cNvSpPr/>
      </xdr:nvSpPr>
      <xdr:spPr>
        <a:xfrm>
          <a:off x="369094" y="1797845"/>
          <a:ext cx="1297781" cy="2738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E522AF3-CBFE-45FA-8646-AB35F0F0AA0E}" type="TxLink">
            <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rPr>
            <a:pPr marL="0" indent="0" algn="ctr"/>
            <a:t>$8,254.6K</a:t>
          </a:fld>
          <a:endParaRPr lang="en-US" sz="1800" b="1" i="1" u="none" strike="noStrike">
            <a:gradFill>
              <a:gsLst>
                <a:gs pos="0">
                  <a:schemeClr val="bg1">
                    <a:lumMod val="75000"/>
                  </a:schemeClr>
                </a:gs>
                <a:gs pos="98165">
                  <a:schemeClr val="bg1">
                    <a:lumMod val="75000"/>
                  </a:schemeClr>
                </a:gs>
                <a:gs pos="67000">
                  <a:schemeClr val="bg1"/>
                </a:gs>
                <a:gs pos="32000">
                  <a:schemeClr val="bg1">
                    <a:lumMod val="85000"/>
                  </a:schemeClr>
                </a:gs>
                <a:gs pos="91000">
                  <a:schemeClr val="bg1">
                    <a:lumMod val="85000"/>
                  </a:schemeClr>
                </a:gs>
              </a:gsLst>
              <a:lin ang="5400000" scaled="1"/>
            </a:gradFill>
            <a:latin typeface="Calibri"/>
            <a:ea typeface="+mn-ea"/>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190502</xdr:colOff>
      <xdr:row>2</xdr:row>
      <xdr:rowOff>57152</xdr:rowOff>
    </xdr:from>
    <xdr:to>
      <xdr:col>11</xdr:col>
      <xdr:colOff>438150</xdr:colOff>
      <xdr:row>12</xdr:row>
      <xdr:rowOff>133350</xdr:rowOff>
    </xdr:to>
    <xdr:graphicFrame macro="">
      <xdr:nvGraphicFramePr>
        <xdr:cNvPr id="2" name="Chart 1">
          <a:extLst>
            <a:ext uri="{FF2B5EF4-FFF2-40B4-BE49-F238E27FC236}">
              <a16:creationId xmlns:a16="http://schemas.microsoft.com/office/drawing/2014/main" id="{68E5CC3D-A53A-6454-3758-212912378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457201</xdr:colOff>
      <xdr:row>7</xdr:row>
      <xdr:rowOff>95250</xdr:rowOff>
    </xdr:from>
    <xdr:to>
      <xdr:col>7</xdr:col>
      <xdr:colOff>247651</xdr:colOff>
      <xdr:row>18</xdr:row>
      <xdr:rowOff>109536</xdr:rowOff>
    </xdr:to>
    <xdr:graphicFrame macro="">
      <xdr:nvGraphicFramePr>
        <xdr:cNvPr id="2" name="Chart 1">
          <a:extLst>
            <a:ext uri="{FF2B5EF4-FFF2-40B4-BE49-F238E27FC236}">
              <a16:creationId xmlns:a16="http://schemas.microsoft.com/office/drawing/2014/main" id="{3EA32CEA-B740-0CA4-F3B9-26740466E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4</xdr:row>
      <xdr:rowOff>76200</xdr:rowOff>
    </xdr:from>
    <xdr:to>
      <xdr:col>11</xdr:col>
      <xdr:colOff>514350</xdr:colOff>
      <xdr:row>18</xdr:row>
      <xdr:rowOff>152400</xdr:rowOff>
    </xdr:to>
    <xdr:graphicFrame macro="">
      <xdr:nvGraphicFramePr>
        <xdr:cNvPr id="2" name="Chart 1">
          <a:extLst>
            <a:ext uri="{FF2B5EF4-FFF2-40B4-BE49-F238E27FC236}">
              <a16:creationId xmlns:a16="http://schemas.microsoft.com/office/drawing/2014/main" id="{2B435496-4573-11EC-AE9D-BC59004ED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1323975</xdr:colOff>
      <xdr:row>54</xdr:row>
      <xdr:rowOff>128587</xdr:rowOff>
    </xdr:from>
    <xdr:to>
      <xdr:col>7</xdr:col>
      <xdr:colOff>180975</xdr:colOff>
      <xdr:row>69</xdr:row>
      <xdr:rowOff>14287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3C93B2F-F0D6-39F7-AF05-1907D98A88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47900" y="10415587"/>
              <a:ext cx="42576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523875</xdr:colOff>
      <xdr:row>93</xdr:row>
      <xdr:rowOff>14287</xdr:rowOff>
    </xdr:from>
    <xdr:to>
      <xdr:col>9</xdr:col>
      <xdr:colOff>66675</xdr:colOff>
      <xdr:row>107</xdr:row>
      <xdr:rowOff>90487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5EAA7EC-A14C-EB6E-1EA9-7638B28EA9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05175" y="17730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542925</xdr:colOff>
      <xdr:row>60</xdr:row>
      <xdr:rowOff>33337</xdr:rowOff>
    </xdr:from>
    <xdr:to>
      <xdr:col>19</xdr:col>
      <xdr:colOff>95250</xdr:colOff>
      <xdr:row>74</xdr:row>
      <xdr:rowOff>109537</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8F7B7B2-4ACA-7D7C-7495-EBCD87E311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801475" y="114633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200023</xdr:colOff>
      <xdr:row>5</xdr:row>
      <xdr:rowOff>133350</xdr:rowOff>
    </xdr:from>
    <xdr:to>
      <xdr:col>20</xdr:col>
      <xdr:colOff>209549</xdr:colOff>
      <xdr:row>18</xdr:row>
      <xdr:rowOff>109536</xdr:rowOff>
    </xdr:to>
    <xdr:graphicFrame macro="">
      <xdr:nvGraphicFramePr>
        <xdr:cNvPr id="3" name="Chart 2">
          <a:extLst>
            <a:ext uri="{FF2B5EF4-FFF2-40B4-BE49-F238E27FC236}">
              <a16:creationId xmlns:a16="http://schemas.microsoft.com/office/drawing/2014/main" id="{0844C18E-9318-1C52-7349-C8263B102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6</xdr:row>
      <xdr:rowOff>33337</xdr:rowOff>
    </xdr:from>
    <xdr:to>
      <xdr:col>9</xdr:col>
      <xdr:colOff>438150</xdr:colOff>
      <xdr:row>20</xdr:row>
      <xdr:rowOff>109537</xdr:rowOff>
    </xdr:to>
    <xdr:graphicFrame macro="">
      <xdr:nvGraphicFramePr>
        <xdr:cNvPr id="2" name="Chart 1">
          <a:extLst>
            <a:ext uri="{FF2B5EF4-FFF2-40B4-BE49-F238E27FC236}">
              <a16:creationId xmlns:a16="http://schemas.microsoft.com/office/drawing/2014/main" id="{497F8B10-01E6-EB6A-1BB0-3501D3B98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024.924284606481" createdVersion="8" refreshedVersion="8" minRefreshableVersion="3" recordCount="903" xr:uid="{E9D5EC70-A109-4622-813B-21BF84FA9353}">
  <cacheSource type="worksheet">
    <worksheetSource name="Table1"/>
  </cacheSource>
  <cacheFields count="11">
    <cacheField name="Date" numFmtId="14">
      <sharedItems containsSemiMixedTypes="0" containsNonDate="0" containsDate="1" containsString="0" minDate="2025-01-02T00:00:00" maxDate="2025-12-31T00:00:00" count="326">
        <d v="2025-07-29T00:00:00"/>
        <d v="2025-01-30T00:00:00"/>
        <d v="2025-06-09T00:00:00"/>
        <d v="2025-08-29T00:00:00"/>
        <d v="2025-01-27T00:00:00"/>
        <d v="2025-07-19T00:00:00"/>
        <d v="2025-10-06T00:00:00"/>
        <d v="2025-07-22T00:00:00"/>
        <d v="2025-03-30T00:00:00"/>
        <d v="2025-06-08T00:00:00"/>
        <d v="2025-03-17T00:00:00"/>
        <d v="2025-12-30T00:00:00"/>
        <d v="2025-05-13T00:00:00"/>
        <d v="2025-12-09T00:00:00"/>
        <d v="2025-03-18T00:00:00"/>
        <d v="2025-12-16T00:00:00"/>
        <d v="2025-11-03T00:00:00"/>
        <d v="2025-02-03T00:00:00"/>
        <d v="2025-06-22T00:00:00"/>
        <d v="2025-10-24T00:00:00"/>
        <d v="2025-08-05T00:00:00"/>
        <d v="2025-02-04T00:00:00"/>
        <d v="2025-11-08T00:00:00"/>
        <d v="2025-10-27T00:00:00"/>
        <d v="2025-07-08T00:00:00"/>
        <d v="2025-08-31T00:00:00"/>
        <d v="2025-03-28T00:00:00"/>
        <d v="2025-04-28T00:00:00"/>
        <d v="2025-09-13T00:00:00"/>
        <d v="2025-08-15T00:00:00"/>
        <d v="2025-02-10T00:00:00"/>
        <d v="2025-10-23T00:00:00"/>
        <d v="2025-12-11T00:00:00"/>
        <d v="2025-08-12T00:00:00"/>
        <d v="2025-06-12T00:00:00"/>
        <d v="2025-11-23T00:00:00"/>
        <d v="2025-11-10T00:00:00"/>
        <d v="2025-01-31T00:00:00"/>
        <d v="2025-12-22T00:00:00"/>
        <d v="2025-08-20T00:00:00"/>
        <d v="2025-03-11T00:00:00"/>
        <d v="2025-12-13T00:00:00"/>
        <d v="2025-08-08T00:00:00"/>
        <d v="2025-04-25T00:00:00"/>
        <d v="2025-01-15T00:00:00"/>
        <d v="2025-04-17T00:00:00"/>
        <d v="2025-08-11T00:00:00"/>
        <d v="2025-08-24T00:00:00"/>
        <d v="2025-09-03T00:00:00"/>
        <d v="2025-09-09T00:00:00"/>
        <d v="2025-04-07T00:00:00"/>
        <d v="2025-11-15T00:00:00"/>
        <d v="2025-07-21T00:00:00"/>
        <d v="2025-04-29T00:00:00"/>
        <d v="2025-06-24T00:00:00"/>
        <d v="2025-06-04T00:00:00"/>
        <d v="2025-10-29T00:00:00"/>
        <d v="2025-10-03T00:00:00"/>
        <d v="2025-01-24T00:00:00"/>
        <d v="2025-02-13T00:00:00"/>
        <d v="2025-05-11T00:00:00"/>
        <d v="2025-02-08T00:00:00"/>
        <d v="2025-01-28T00:00:00"/>
        <d v="2025-05-22T00:00:00"/>
        <d v="2025-09-16T00:00:00"/>
        <d v="2025-03-02T00:00:00"/>
        <d v="2025-05-08T00:00:00"/>
        <d v="2025-04-27T00:00:00"/>
        <d v="2025-10-01T00:00:00"/>
        <d v="2025-11-18T00:00:00"/>
        <d v="2025-06-14T00:00:00"/>
        <d v="2025-01-02T00:00:00"/>
        <d v="2025-12-21T00:00:00"/>
        <d v="2025-09-25T00:00:00"/>
        <d v="2025-02-06T00:00:00"/>
        <d v="2025-08-17T00:00:00"/>
        <d v="2025-11-02T00:00:00"/>
        <d v="2025-02-24T00:00:00"/>
        <d v="2025-02-18T00:00:00"/>
        <d v="2025-04-14T00:00:00"/>
        <d v="2025-06-30T00:00:00"/>
        <d v="2025-02-11T00:00:00"/>
        <d v="2025-12-24T00:00:00"/>
        <d v="2025-12-14T00:00:00"/>
        <d v="2025-08-21T00:00:00"/>
        <d v="2025-05-09T00:00:00"/>
        <d v="2025-10-28T00:00:00"/>
        <d v="2025-09-07T00:00:00"/>
        <d v="2025-05-29T00:00:00"/>
        <d v="2025-07-15T00:00:00"/>
        <d v="2025-01-14T00:00:00"/>
        <d v="2025-08-09T00:00:00"/>
        <d v="2025-08-03T00:00:00"/>
        <d v="2025-03-25T00:00:00"/>
        <d v="2025-10-04T00:00:00"/>
        <d v="2025-09-04T00:00:00"/>
        <d v="2025-03-03T00:00:00"/>
        <d v="2025-07-27T00:00:00"/>
        <d v="2025-02-23T00:00:00"/>
        <d v="2025-03-13T00:00:00"/>
        <d v="2025-05-10T00:00:00"/>
        <d v="2025-12-23T00:00:00"/>
        <d v="2025-02-01T00:00:00"/>
        <d v="2025-08-14T00:00:00"/>
        <d v="2025-10-17T00:00:00"/>
        <d v="2025-09-14T00:00:00"/>
        <d v="2025-01-26T00:00:00"/>
        <d v="2025-05-31T00:00:00"/>
        <d v="2025-02-07T00:00:00"/>
        <d v="2025-04-03T00:00:00"/>
        <d v="2025-05-07T00:00:00"/>
        <d v="2025-12-03T00:00:00"/>
        <d v="2025-05-24T00:00:00"/>
        <d v="2025-03-16T00:00:00"/>
        <d v="2025-09-20T00:00:00"/>
        <d v="2025-03-15T00:00:00"/>
        <d v="2025-11-04T00:00:00"/>
        <d v="2025-06-21T00:00:00"/>
        <d v="2025-11-21T00:00:00"/>
        <d v="2025-06-25T00:00:00"/>
        <d v="2025-11-05T00:00:00"/>
        <d v="2025-09-08T00:00:00"/>
        <d v="2025-07-28T00:00:00"/>
        <d v="2025-06-16T00:00:00"/>
        <d v="2025-04-05T00:00:00"/>
        <d v="2025-10-20T00:00:00"/>
        <d v="2025-10-10T00:00:00"/>
        <d v="2025-07-24T00:00:00"/>
        <d v="2025-09-01T00:00:00"/>
        <d v="2025-07-14T00:00:00"/>
        <d v="2025-02-17T00:00:00"/>
        <d v="2025-02-14T00:00:00"/>
        <d v="2025-01-23T00:00:00"/>
        <d v="2025-12-07T00:00:00"/>
        <d v="2025-03-24T00:00:00"/>
        <d v="2025-01-09T00:00:00"/>
        <d v="2025-06-13T00:00:00"/>
        <d v="2025-07-18T00:00:00"/>
        <d v="2025-08-07T00:00:00"/>
        <d v="2025-04-24T00:00:00"/>
        <d v="2025-12-01T00:00:00"/>
        <d v="2025-04-23T00:00:00"/>
        <d v="2025-05-27T00:00:00"/>
        <d v="2025-11-29T00:00:00"/>
        <d v="2025-10-12T00:00:00"/>
        <d v="2025-05-12T00:00:00"/>
        <d v="2025-01-05T00:00:00"/>
        <d v="2025-03-23T00:00:00"/>
        <d v="2025-08-19T00:00:00"/>
        <d v="2025-04-26T00:00:00"/>
        <d v="2025-08-04T00:00:00"/>
        <d v="2025-05-06T00:00:00"/>
        <d v="2025-04-21T00:00:00"/>
        <d v="2025-05-15T00:00:00"/>
        <d v="2025-07-04T00:00:00"/>
        <d v="2025-04-12T00:00:00"/>
        <d v="2025-01-10T00:00:00"/>
        <d v="2025-07-13T00:00:00"/>
        <d v="2025-12-26T00:00:00"/>
        <d v="2025-12-27T00:00:00"/>
        <d v="2025-04-09T00:00:00"/>
        <d v="2025-06-03T00:00:00"/>
        <d v="2025-12-29T00:00:00"/>
        <d v="2025-02-16T00:00:00"/>
        <d v="2025-09-12T00:00:00"/>
        <d v="2025-10-05T00:00:00"/>
        <d v="2025-08-23T00:00:00"/>
        <d v="2025-02-28T00:00:00"/>
        <d v="2025-03-07T00:00:00"/>
        <d v="2025-08-26T00:00:00"/>
        <d v="2025-10-11T00:00:00"/>
        <d v="2025-04-08T00:00:00"/>
        <d v="2025-04-18T00:00:00"/>
        <d v="2025-05-28T00:00:00"/>
        <d v="2025-07-12T00:00:00"/>
        <d v="2025-06-10T00:00:00"/>
        <d v="2025-09-22T00:00:00"/>
        <d v="2025-10-14T00:00:00"/>
        <d v="2025-09-10T00:00:00"/>
        <d v="2025-10-31T00:00:00"/>
        <d v="2025-12-02T00:00:00"/>
        <d v="2025-10-09T00:00:00"/>
        <d v="2025-05-17T00:00:00"/>
        <d v="2025-09-23T00:00:00"/>
        <d v="2025-10-25T00:00:00"/>
        <d v="2025-03-10T00:00:00"/>
        <d v="2025-04-10T00:00:00"/>
        <d v="2025-09-27T00:00:00"/>
        <d v="2025-09-05T00:00:00"/>
        <d v="2025-02-12T00:00:00"/>
        <d v="2025-09-21T00:00:00"/>
        <d v="2025-03-29T00:00:00"/>
        <d v="2025-02-27T00:00:00"/>
        <d v="2025-04-11T00:00:00"/>
        <d v="2025-01-20T00:00:00"/>
        <d v="2025-11-11T00:00:00"/>
        <d v="2025-01-08T00:00:00"/>
        <d v="2025-05-21T00:00:00"/>
        <d v="2025-03-31T00:00:00"/>
        <d v="2025-03-21T00:00:00"/>
        <d v="2025-08-02T00:00:00"/>
        <d v="2025-01-25T00:00:00"/>
        <d v="2025-05-05T00:00:00"/>
        <d v="2025-02-20T00:00:00"/>
        <d v="2025-08-01T00:00:00"/>
        <d v="2025-04-04T00:00:00"/>
        <d v="2025-02-09T00:00:00"/>
        <d v="2025-10-15T00:00:00"/>
        <d v="2025-03-22T00:00:00"/>
        <d v="2025-07-09T00:00:00"/>
        <d v="2025-06-17T00:00:00"/>
        <d v="2025-07-20T00:00:00"/>
        <d v="2025-04-06T00:00:00"/>
        <d v="2025-06-11T00:00:00"/>
        <d v="2025-01-13T00:00:00"/>
        <d v="2025-06-28T00:00:00"/>
        <d v="2025-10-02T00:00:00"/>
        <d v="2025-02-05T00:00:00"/>
        <d v="2025-05-19T00:00:00"/>
        <d v="2025-11-06T00:00:00"/>
        <d v="2025-12-15T00:00:00"/>
        <d v="2025-08-10T00:00:00"/>
        <d v="2025-02-02T00:00:00"/>
        <d v="2025-04-02T00:00:00"/>
        <d v="2025-09-18T00:00:00"/>
        <d v="2025-03-27T00:00:00"/>
        <d v="2025-03-20T00:00:00"/>
        <d v="2025-10-19T00:00:00"/>
        <d v="2025-05-23T00:00:00"/>
        <d v="2025-04-16T00:00:00"/>
        <d v="2025-06-06T00:00:00"/>
        <d v="2025-09-29T00:00:00"/>
        <d v="2025-09-15T00:00:00"/>
        <d v="2025-11-28T00:00:00"/>
        <d v="2025-10-30T00:00:00"/>
        <d v="2025-09-06T00:00:00"/>
        <d v="2025-07-30T00:00:00"/>
        <d v="2025-09-28T00:00:00"/>
        <d v="2025-03-04T00:00:00"/>
        <d v="2025-11-20T00:00:00"/>
        <d v="2025-10-21T00:00:00"/>
        <d v="2025-11-01T00:00:00"/>
        <d v="2025-06-07T00:00:00"/>
        <d v="2025-08-25T00:00:00"/>
        <d v="2025-07-25T00:00:00"/>
        <d v="2025-03-09T00:00:00"/>
        <d v="2025-01-11T00:00:00"/>
        <d v="2025-10-07T00:00:00"/>
        <d v="2025-05-30T00:00:00"/>
        <d v="2025-06-27T00:00:00"/>
        <d v="2025-05-03T00:00:00"/>
        <d v="2025-03-19T00:00:00"/>
        <d v="2025-08-22T00:00:00"/>
        <d v="2025-08-13T00:00:00"/>
        <d v="2025-05-14T00:00:00"/>
        <d v="2025-06-18T00:00:00"/>
        <d v="2025-11-12T00:00:00"/>
        <d v="2025-02-25T00:00:00"/>
        <d v="2025-11-19T00:00:00"/>
        <d v="2025-04-30T00:00:00"/>
        <d v="2025-11-17T00:00:00"/>
        <d v="2025-04-20T00:00:00"/>
        <d v="2025-07-10T00:00:00"/>
        <d v="2025-09-30T00:00:00"/>
        <d v="2025-10-26T00:00:00"/>
        <d v="2025-08-06T00:00:00"/>
        <d v="2025-09-19T00:00:00"/>
        <d v="2025-04-22T00:00:00"/>
        <d v="2025-11-26T00:00:00"/>
        <d v="2025-09-17T00:00:00"/>
        <d v="2025-11-24T00:00:00"/>
        <d v="2025-05-16T00:00:00"/>
        <d v="2025-01-03T00:00:00"/>
        <d v="2025-02-15T00:00:00"/>
        <d v="2025-07-01T00:00:00"/>
        <d v="2025-03-01T00:00:00"/>
        <d v="2025-07-06T00:00:00"/>
        <d v="2025-11-14T00:00:00"/>
        <d v="2025-09-11T00:00:00"/>
        <d v="2025-07-03T00:00:00"/>
        <d v="2025-07-07T00:00:00"/>
        <d v="2025-02-22T00:00:00"/>
        <d v="2025-01-16T00:00:00"/>
        <d v="2025-12-18T00:00:00"/>
        <d v="2025-11-13T00:00:00"/>
        <d v="2025-08-16T00:00:00"/>
        <d v="2025-01-06T00:00:00"/>
        <d v="2025-03-26T00:00:00"/>
        <d v="2025-01-12T00:00:00"/>
        <d v="2025-12-25T00:00:00"/>
        <d v="2025-03-14T00:00:00"/>
        <d v="2025-12-05T00:00:00"/>
        <d v="2025-02-26T00:00:00"/>
        <d v="2025-10-18T00:00:00"/>
        <d v="2025-09-26T00:00:00"/>
        <d v="2025-05-18T00:00:00"/>
        <d v="2025-12-08T00:00:00"/>
        <d v="2025-11-16T00:00:00"/>
        <d v="2025-04-19T00:00:00"/>
        <d v="2025-05-20T00:00:00"/>
        <d v="2025-06-01T00:00:00"/>
        <d v="2025-12-10T00:00:00"/>
        <d v="2025-06-05T00:00:00"/>
        <d v="2025-04-15T00:00:00"/>
        <d v="2025-11-07T00:00:00"/>
        <d v="2025-12-04T00:00:00"/>
        <d v="2025-01-18T00:00:00"/>
        <d v="2025-11-30T00:00:00"/>
        <d v="2025-01-07T00:00:00"/>
        <d v="2025-12-12T00:00:00"/>
        <d v="2025-08-18T00:00:00"/>
        <d v="2025-07-11T00:00:00"/>
        <d v="2025-03-06T00:00:00"/>
        <d v="2025-06-19T00:00:00"/>
        <d v="2025-07-16T00:00:00"/>
        <d v="2025-05-25T00:00:00"/>
        <d v="2025-04-13T00:00:00"/>
        <d v="2025-11-25T00:00:00"/>
        <d v="2025-12-28T00:00:00"/>
        <d v="2025-06-15T00:00:00"/>
        <d v="2025-07-31T00:00:00"/>
        <d v="2025-02-21T00:00:00"/>
        <d v="2025-12-20T00:00:00"/>
        <d v="2025-05-26T00:00:00"/>
        <d v="2025-08-28T00:00:00"/>
        <d v="2025-11-09T00:00:00"/>
      </sharedItems>
      <fieldGroup par="10"/>
    </cacheField>
    <cacheField name="Product" numFmtId="0">
      <sharedItems count="22">
        <s v="Mint Chip Choco"/>
        <s v="85% Dark Bars"/>
        <s v="Peanut Butter Cubes"/>
        <s v="Spicy Special Slims"/>
        <s v="Smooth Sliky Salty"/>
        <s v="99% Dark &amp; Pure"/>
        <s v="After Nines"/>
        <s v="Orange Choco"/>
        <s v="70% Dark Bites"/>
        <s v="Organic Choco Syrup"/>
        <s v="Fruit &amp; Nut Bars"/>
        <s v="Almond Choco"/>
        <s v="Drinking Coco"/>
        <s v="Raspberry Choco"/>
        <s v="50% Dark Bites"/>
        <s v="Caramel Stuffed Bars"/>
        <s v="Choco Coated Almonds"/>
        <s v="White Choc"/>
        <s v="Milk Bars"/>
        <s v="Eclairs"/>
        <s v="Baker's Choco Chips"/>
        <s v="Manuka Honey Choco"/>
      </sharedItems>
    </cacheField>
    <cacheField name="Brand" numFmtId="0">
      <sharedItems count="5">
        <s v="ChocoDelight"/>
        <s v="CocoaLux"/>
        <s v="SweetScape"/>
        <s v="NuttyGood"/>
        <s v="VelvetCacao."/>
      </sharedItems>
    </cacheField>
    <cacheField name="Boxes Shipped" numFmtId="0">
      <sharedItems containsSemiMixedTypes="0" containsString="0" containsNumber="1" containsInteger="1" minValue="1" maxValue="708" count="354">
        <n v="180"/>
        <n v="94"/>
        <n v="91"/>
        <n v="342"/>
        <n v="520"/>
        <n v="38"/>
        <n v="176"/>
        <n v="73"/>
        <n v="446"/>
        <n v="102"/>
        <n v="62"/>
        <n v="11"/>
        <n v="597"/>
        <n v="173"/>
        <n v="356"/>
        <n v="42"/>
        <n v="140"/>
        <n v="70"/>
        <n v="23"/>
        <n v="135"/>
        <n v="83"/>
        <n v="179"/>
        <n v="18"/>
        <n v="55"/>
        <n v="227"/>
        <n v="48"/>
        <n v="174"/>
        <n v="149"/>
        <n v="411"/>
        <n v="56"/>
        <n v="103"/>
        <n v="9"/>
        <n v="241"/>
        <n v="214"/>
        <n v="32"/>
        <n v="244"/>
        <n v="181"/>
        <n v="137"/>
        <n v="21"/>
        <n v="311"/>
        <n v="10"/>
        <n v="108"/>
        <n v="401"/>
        <n v="408"/>
        <n v="420"/>
        <n v="348"/>
        <n v="270"/>
        <n v="111"/>
        <n v="65"/>
        <n v="97"/>
        <n v="6"/>
        <n v="482"/>
        <n v="106"/>
        <n v="31"/>
        <n v="359"/>
        <n v="80"/>
        <n v="296"/>
        <n v="101"/>
        <n v="40"/>
        <n v="167"/>
        <n v="138"/>
        <n v="313"/>
        <n v="175"/>
        <n v="92"/>
        <n v="141"/>
        <n v="283"/>
        <n v="47"/>
        <n v="336"/>
        <n v="396"/>
        <n v="87"/>
        <n v="27"/>
        <n v="547"/>
        <n v="392"/>
        <n v="308"/>
        <n v="57"/>
        <n v="22"/>
        <n v="96"/>
        <n v="539"/>
        <n v="317"/>
        <n v="387"/>
        <n v="50"/>
        <n v="264"/>
        <n v="90"/>
        <n v="403"/>
        <n v="110"/>
        <n v="30"/>
        <n v="121"/>
        <n v="117"/>
        <n v="272"/>
        <n v="212"/>
        <n v="178"/>
        <n v="81"/>
        <n v="196"/>
        <n v="447"/>
        <n v="136"/>
        <n v="184"/>
        <n v="82"/>
        <n v="299"/>
        <n v="26"/>
        <n v="146"/>
        <n v="41"/>
        <n v="54"/>
        <n v="304"/>
        <n v="210"/>
        <n v="12"/>
        <n v="252"/>
        <n v="187"/>
        <n v="233"/>
        <n v="282"/>
        <n v="475"/>
        <n v="43"/>
        <n v="84"/>
        <n v="78"/>
        <n v="100"/>
        <n v="265"/>
        <n v="333"/>
        <n v="344"/>
        <n v="190"/>
        <n v="424"/>
        <n v="134"/>
        <n v="46"/>
        <n v="358"/>
        <n v="249"/>
        <n v="88"/>
        <n v="219"/>
        <n v="390"/>
        <n v="79"/>
        <n v="122"/>
        <n v="430"/>
        <n v="69"/>
        <n v="125"/>
        <n v="154"/>
        <n v="200"/>
        <n v="433"/>
        <n v="235"/>
        <n v="258"/>
        <n v="61"/>
        <n v="246"/>
        <n v="256"/>
        <n v="239"/>
        <n v="277"/>
        <n v="44"/>
        <n v="216"/>
        <n v="37"/>
        <n v="158"/>
        <n v="215"/>
        <n v="109"/>
        <n v="377"/>
        <n v="170"/>
        <n v="99"/>
        <n v="275"/>
        <n v="157"/>
        <n v="145"/>
        <n v="409"/>
        <n v="155"/>
        <n v="417"/>
        <n v="269"/>
        <n v="166"/>
        <n v="3"/>
        <n v="72"/>
        <n v="95"/>
        <n v="276"/>
        <n v="288"/>
        <n v="188"/>
        <n v="7"/>
        <n v="286"/>
        <n v="242"/>
        <n v="128"/>
        <n v="156"/>
        <n v="209"/>
        <n v="52"/>
        <n v="51"/>
        <n v="318"/>
        <n v="238"/>
        <n v="315"/>
        <n v="45"/>
        <n v="53"/>
        <n v="172"/>
        <n v="259"/>
        <n v="107"/>
        <n v="86"/>
        <n v="303"/>
        <n v="218"/>
        <n v="60"/>
        <n v="418"/>
        <n v="151"/>
        <n v="202"/>
        <n v="160"/>
        <n v="58"/>
        <n v="59"/>
        <n v="273"/>
        <n v="28"/>
        <n v="75"/>
        <n v="329"/>
        <n v="195"/>
        <n v="554"/>
        <n v="152"/>
        <n v="112"/>
        <n v="16"/>
        <n v="350"/>
        <n v="261"/>
        <n v="203"/>
        <n v="183"/>
        <n v="197"/>
        <n v="25"/>
        <n v="211"/>
        <n v="415"/>
        <n v="229"/>
        <n v="74"/>
        <n v="368"/>
        <n v="104"/>
        <n v="164"/>
        <n v="76"/>
        <n v="395"/>
        <n v="169"/>
        <n v="223"/>
        <n v="284"/>
        <n v="139"/>
        <n v="309"/>
        <n v="118"/>
        <n v="24"/>
        <n v="144"/>
        <n v="370"/>
        <n v="130"/>
        <n v="280"/>
        <n v="352"/>
        <n v="234"/>
        <n v="177"/>
        <n v="142"/>
        <n v="147"/>
        <n v="13"/>
        <n v="126"/>
        <n v="68"/>
        <n v="105"/>
        <n v="39"/>
        <n v="120"/>
        <n v="257"/>
        <n v="85"/>
        <n v="226"/>
        <n v="341"/>
        <n v="330"/>
        <n v="4"/>
        <n v="285"/>
        <n v="281"/>
        <n v="322"/>
        <n v="182"/>
        <n v="467"/>
        <n v="14"/>
        <n v="191"/>
        <n v="312"/>
        <n v="410"/>
        <n v="254"/>
        <n v="232"/>
        <n v="543"/>
        <n v="204"/>
        <n v="469"/>
        <n v="150"/>
        <n v="5"/>
        <n v="248"/>
        <n v="129"/>
        <n v="148"/>
        <n v="93"/>
        <n v="208"/>
        <n v="159"/>
        <n v="316"/>
        <n v="384"/>
        <n v="260"/>
        <n v="71"/>
        <n v="127"/>
        <n v="224"/>
        <n v="67"/>
        <n v="194"/>
        <n v="116"/>
        <n v="334"/>
        <n v="407"/>
        <n v="353"/>
        <n v="114"/>
        <n v="320"/>
        <n v="113"/>
        <n v="301"/>
        <n v="207"/>
        <n v="49"/>
        <n v="34"/>
        <n v="339"/>
        <n v="321"/>
        <n v="305"/>
        <n v="347"/>
        <n v="432"/>
        <n v="236"/>
        <n v="168"/>
        <n v="64"/>
        <n v="479"/>
        <n v="287"/>
        <n v="293"/>
        <n v="153"/>
        <n v="131"/>
        <n v="15"/>
        <n v="198"/>
        <n v="8"/>
        <n v="162"/>
        <n v="300"/>
        <n v="66"/>
        <n v="189"/>
        <n v="251"/>
        <n v="361"/>
        <n v="33"/>
        <n v="201"/>
        <n v="323"/>
        <n v="220"/>
        <n v="488"/>
        <n v="512"/>
        <n v="271"/>
        <n v="89"/>
        <n v="508"/>
        <n v="243"/>
        <n v="398"/>
        <n v="124"/>
        <n v="351"/>
        <n v="708"/>
        <n v="185"/>
        <n v="289"/>
        <n v="171"/>
        <n v="29"/>
        <n v="419"/>
        <n v="457"/>
        <n v="524"/>
        <n v="2"/>
        <n v="98"/>
        <n v="205"/>
        <n v="307"/>
        <n v="163"/>
        <n v="133"/>
        <n v="228"/>
        <n v="425"/>
        <n v="495"/>
        <n v="310"/>
        <n v="294"/>
        <n v="413"/>
        <n v="115"/>
        <n v="614"/>
        <n v="222"/>
        <n v="468"/>
        <n v="518"/>
        <n v="262"/>
        <n v="306"/>
        <n v="165"/>
        <n v="213"/>
        <n v="20"/>
        <n v="119"/>
        <n v="434"/>
        <n v="35"/>
        <n v="19"/>
        <n v="363"/>
        <n v="1"/>
      </sharedItems>
    </cacheField>
    <cacheField name="Per unit" numFmtId="0">
      <sharedItems containsSemiMixedTypes="0" containsString="0" containsNumber="1" containsInteger="1" minValue="20" maxValue="100"/>
    </cacheField>
    <cacheField name="City" numFmtId="0">
      <sharedItems count="10">
        <s v="Staten Island"/>
        <s v="Upstate West"/>
        <s v="Capital Region"/>
        <s v="Queens"/>
        <s v="Manhattan"/>
        <s v="Central NY."/>
        <s v="The Bronx"/>
        <s v="Upstate North"/>
        <s v="Long Island"/>
        <s v="Brooklyn"/>
      </sharedItems>
    </cacheField>
    <cacheField name="Sales region" numFmtId="0">
      <sharedItems/>
    </cacheField>
    <cacheField name="Distribution type" numFmtId="0">
      <sharedItems count="5">
        <s v="Convenience Store"/>
        <s v="Online"/>
        <s v="Super Market"/>
        <s v="Vending Machine."/>
        <s v="Retail Store"/>
      </sharedItems>
    </cacheField>
    <cacheField name="Amount" numFmtId="0">
      <sharedItems containsSemiMixedTypes="0" containsString="0" containsNumber="1" containsInteger="1" minValue="60" maxValue="60888" count="839">
        <n v="9540"/>
        <n v="6016"/>
        <n v="6643"/>
        <n v="30780"/>
        <n v="49920"/>
        <n v="760"/>
        <n v="14960"/>
        <n v="2482"/>
        <n v="44154"/>
        <n v="3162"/>
        <n v="2108"/>
        <n v="748"/>
        <n v="41790"/>
        <n v="9169"/>
        <n v="28836"/>
        <n v="1512"/>
        <n v="5320"/>
        <n v="15840"/>
        <n v="3570"/>
        <n v="1426"/>
        <n v="4995"/>
        <n v="7304"/>
        <n v="3938"/>
        <n v="360"/>
        <n v="5170"/>
        <n v="10896"/>
        <n v="1488"/>
        <n v="13746"/>
        <n v="5662"/>
        <n v="1001"/>
        <n v="363"/>
        <n v="18495"/>
        <n v="2072"/>
        <n v="6120"/>
        <n v="7828"/>
        <n v="351"/>
        <n v="24100"/>
        <n v="11342"/>
        <n v="672"/>
        <n v="10492"/>
        <n v="9774"/>
        <n v="7535"/>
        <n v="588"/>
        <n v="18349"/>
        <n v="3620"/>
        <n v="240"/>
        <n v="3024"/>
        <n v="29273"/>
        <n v="26112"/>
        <n v="22680"/>
        <n v="27492"/>
        <n v="9990"/>
        <n v="612"/>
        <n v="8769"/>
        <n v="5395"/>
        <n v="3492"/>
        <n v="564"/>
        <n v="15906"/>
        <n v="4876"/>
        <n v="12600"/>
        <n v="899"/>
        <n v="17232"/>
        <n v="2080"/>
        <n v="25160"/>
        <n v="5858"/>
        <n v="3400"/>
        <n v="1806"/>
        <n v="8851"/>
        <n v="12558"/>
        <n v="26605"/>
        <n v="6768"/>
        <n v="16800"/>
        <n v="2576"/>
        <n v="5640"/>
        <n v="9056"/>
        <n v="1995"/>
        <n v="1927"/>
        <n v="25536"/>
        <n v="18612"/>
        <n v="7221"/>
        <n v="1296"/>
        <n v="54153"/>
        <n v="25480"/>
        <n v="24640"/>
        <n v="4332"/>
        <n v="2200"/>
        <n v="7008"/>
        <n v="24255"/>
        <n v="23458"/>
        <n v="15480"/>
        <n v="4900"/>
        <n v="22440"/>
        <n v="8010"/>
        <n v="9672"/>
        <n v="16704"/>
        <n v="1809"/>
        <n v="8690"/>
        <n v="2550"/>
        <n v="3146"/>
        <n v="7575"/>
        <n v="7605"/>
        <n v="14688"/>
        <n v="2322"/>
        <n v="6784"/>
        <n v="810"/>
        <n v="11324"/>
        <n v="7120"/>
        <n v="7209"/>
        <n v="16856"/>
        <n v="24138"/>
        <n v="6300"/>
        <n v="12104"/>
        <n v="4416"/>
        <n v="12328"/>
        <n v="3198"/>
        <n v="20033"/>
        <n v="1508"/>
        <n v="9490"/>
        <n v="3854"/>
        <n v="4374"/>
        <n v="19760"/>
        <n v="7568"/>
        <n v="6090"/>
        <n v="1140"/>
        <n v="19404"/>
        <n v="8602"/>
        <n v="13514"/>
        <n v="13536"/>
        <n v="20425"/>
        <n v="6175"/>
        <n v="9330"/>
        <n v="2752"/>
        <n v="2340"/>
        <n v="6384"/>
        <n v="7488"/>
        <n v="4700"/>
        <n v="18285"/>
        <n v="17982"/>
        <n v="13818"/>
        <n v="3234"/>
        <n v="17544"/>
        <n v="12920"/>
        <n v="3942"/>
        <n v="864"/>
        <n v="9752"/>
        <n v="6566"/>
        <n v="17435"/>
        <n v="3216"/>
        <n v="2990"/>
        <n v="3720"/>
        <n v="11098"/>
        <n v="6723"/>
        <n v="7040"/>
        <n v="17301"/>
        <n v="9750"/>
        <n v="2765"/>
        <n v="8174"/>
        <n v="6210"/>
        <n v="15050"/>
        <n v="5934"/>
        <n v="10125"/>
        <n v="6468"/>
        <n v="17014"/>
        <n v="16400"/>
        <n v="35073"/>
        <n v="15980"/>
        <n v="24768"/>
        <n v="2668"/>
        <n v="6600"/>
        <n v="1952"/>
        <n v="13776"/>
        <n v="5264"/>
        <n v="4611"/>
        <n v="14186"/>
        <n v="17640"/>
        <n v="19456"/>
        <n v="15774"/>
        <n v="6925"/>
        <n v="3872"/>
        <n v="9720"/>
        <n v="30952"/>
        <n v="2257"/>
        <n v="15642"/>
        <n v="15265"/>
        <n v="4142"/>
        <n v="14600"/>
        <n v="14703"/>
        <n v="1485"/>
        <n v="6279"/>
        <n v="1748"/>
        <n v="16490"/>
        <n v="14575"/>
        <n v="5460"/>
        <n v="9207"/>
        <n v="13750"/>
        <n v="10048"/>
        <n v="9577"/>
        <n v="6960"/>
        <n v="14315"/>
        <n v="13950"/>
        <n v="2584"/>
        <n v="10998"/>
        <n v="17097"/>
        <n v="4731"/>
        <n v="13719"/>
        <n v="12284"/>
        <n v="270"/>
        <n v="5688"/>
        <n v="2660"/>
        <n v="12696"/>
        <n v="2600"/>
        <n v="12672"/>
        <n v="12596"/>
        <n v="273"/>
        <n v="13261"/>
        <n v="12298"/>
        <n v="21780"/>
        <n v="3468"/>
        <n v="8058"/>
        <n v="5760"/>
        <n v="12168"/>
        <n v="17765"/>
        <n v="5200"/>
        <n v="12160"/>
        <n v="12144"/>
        <n v="4386"/>
        <n v="14256"/>
        <n v="31800"/>
        <n v="11186"/>
        <n v="5950"/>
        <n v="16065"/>
        <n v="219"/>
        <n v="1890"/>
        <n v="2809"/>
        <n v="12728"/>
        <n v="4959"/>
        <n v="1254"/>
        <n v="9394"/>
        <n v="5000"/>
        <n v="11914"/>
        <n v="6313"/>
        <n v="3000"/>
        <n v="16794"/>
        <n v="4472"/>
        <n v="4968"/>
        <n v="9999"/>
        <n v="8448"/>
        <n v="18530"/>
        <n v="1800"/>
        <n v="12122"/>
        <n v="14345"/>
        <n v="13938"/>
        <n v="9760"/>
        <n v="1740"/>
        <n v="2655"/>
        <n v="10647"/>
        <n v="1428"/>
        <n v="4650"/>
        <n v="27965"/>
        <n v="8019"/>
        <n v="1482"/>
        <n v="1920"/>
        <n v="8190"/>
        <n v="40996"/>
        <n v="1222"/>
        <n v="8056"/>
        <n v="10720"/>
        <n v="10976"/>
        <n v="1520"/>
        <n v="3696"/>
        <n v="5940"/>
        <n v="10500"/>
        <n v="10440"/>
        <n v="9947"/>
        <n v="5856"/>
        <n v="5655"/>
        <n v="2970"/>
        <n v="16745"/>
        <n v="12584"/>
        <n v="2225"/>
        <n v="10339"/>
        <n v="9960"/>
        <n v="8352"/>
        <n v="4642"/>
        <n v="10305"/>
        <n v="9715"/>
        <n v="5476"/>
        <n v="3636"/>
        <n v="8645"/>
        <n v="4212"/>
        <n v="30176"/>
        <n v="28630"/>
        <n v="4264"/>
        <n v="6888"/>
        <n v="3800"/>
        <n v="5518"/>
        <n v="1581"/>
        <n v="10270"/>
        <n v="14534"/>
        <n v="14272"/>
        <n v="6716"/>
        <n v="9520"/>
        <n v="23004"/>
        <n v="8201"/>
        <n v="24411"/>
        <n v="10266"/>
        <n v="1974"/>
        <n v="480"/>
        <n v="2988"/>
        <n v="9972"/>
        <n v="8378"/>
        <n v="2714"/>
        <n v="7200"/>
        <n v="23925"/>
        <n v="12420"/>
        <n v="9360"/>
        <n v="8576"/>
        <n v="9265"/>
        <n v="11760"/>
        <n v="28160"/>
        <n v="9126"/>
        <n v="4425"/>
        <n v="10508"/>
        <n v="9060"/>
        <n v="9016"/>
        <n v="12936"/>
        <n v="12056"/>
        <n v="1144"/>
        <n v="8896"/>
        <n v="8792"/>
        <n v="8694"/>
        <n v="2720"/>
        <n v="3320"/>
        <n v="5525"/>
        <n v="2889"/>
        <n v="17706"/>
        <n v="1248"/>
        <n v="4284"/>
        <n v="3200"/>
        <n v="7440"/>
        <n v="7453"/>
        <n v="5865"/>
        <n v="4450"/>
        <n v="11476"/>
        <n v="10934"/>
        <n v="7458"/>
        <n v="31713"/>
        <n v="30690"/>
        <n v="5986"/>
        <n v="168"/>
        <n v="20235"/>
        <n v="8692"/>
        <n v="8282"/>
        <n v="8607"/>
        <n v="1305"/>
        <n v="18265"/>
        <n v="8592"/>
        <n v="14812"/>
        <n v="5695"/>
        <n v="12012"/>
        <n v="42497"/>
        <n v="1092"/>
        <n v="8442"/>
        <n v="17763"/>
        <n v="8424"/>
        <n v="22550"/>
        <n v="10412"/>
        <n v="792"/>
        <n v="12954"/>
        <n v="624"/>
        <n v="6728"/>
        <n v="17242"/>
        <n v="11682"/>
        <n v="47784"/>
        <n v="6913"/>
        <n v="11220"/>
        <n v="5265"/>
        <n v="3869"/>
        <n v="42679"/>
        <n v="8400"/>
        <n v="200"/>
        <n v="8673"/>
        <n v="1924"/>
        <n v="8024"/>
        <n v="21576"/>
        <n v="9798"/>
        <n v="13741"/>
        <n v="9682"/>
        <n v="5160"/>
        <n v="7752"/>
        <n v="3182"/>
        <n v="7956"/>
        <n v="11804"/>
        <n v="4060"/>
        <n v="4140"/>
        <n v="7776"/>
        <n v="7708"/>
        <n v="7400"/>
        <n v="1958"/>
        <n v="11502"/>
        <n v="6417"/>
        <n v="13936"/>
        <n v="840"/>
        <n v="3480"/>
        <n v="11766"/>
        <n v="25912"/>
        <n v="1081"/>
        <n v="10485"/>
        <n v="8064"/>
        <n v="11700"/>
        <n v="1232"/>
        <n v="1746"/>
        <n v="7140"/>
        <n v="7138"/>
        <n v="15246"/>
        <n v="6461"/>
        <n v="3810"/>
        <n v="14560"/>
        <n v="5913"/>
        <n v="5824"/>
        <n v="7480"/>
        <n v="6480"/>
        <n v="2295"/>
        <n v="7000"/>
        <n v="6954"/>
        <n v="3213"/>
        <n v="4824"/>
        <n v="7566"/>
        <n v="4872"/>
        <n v="3116"/>
        <n v="7326"/>
        <n v="30060"/>
        <n v="8680"/>
        <n v="17501"/>
        <n v="4368"/>
        <n v="6160"/>
        <n v="6258"/>
        <n v="13067"/>
        <n v="25769"/>
        <n v="4268"/>
        <n v="3780"/>
        <n v="340"/>
        <n v="5278"/>
        <n v="9690"/>
        <n v="1932"/>
        <n v="22080"/>
        <n v="11036"/>
        <n v="8160"/>
        <n v="6893"/>
        <n v="10836"/>
        <n v="6831"/>
        <n v="8229"/>
        <n v="11778"/>
        <n v="20592"/>
        <n v="4154"/>
        <n v="2205"/>
        <n v="816"/>
        <n v="2002"/>
        <n v="6808"/>
        <n v="2420"/>
        <n v="6780"/>
        <n v="25680"/>
        <n v="6710"/>
        <n v="6642"/>
        <n v="3528"/>
        <n v="6625"/>
        <n v="9796"/>
        <n v="603"/>
        <n v="14227"/>
        <n v="6528"/>
        <n v="12000"/>
        <n v="36288"/>
        <n v="9676"/>
        <n v="11880"/>
        <n v="3880"/>
        <n v="6552"/>
        <n v="6396"/>
        <n v="6336"/>
        <n v="5129"/>
        <n v="8888"/>
        <n v="40236"/>
        <n v="10619"/>
        <n v="21052"/>
        <n v="4020"/>
        <n v="6255"/>
        <n v="7392"/>
        <n v="6446"/>
        <n v="6003"/>
        <n v="4773"/>
        <n v="5814"/>
        <n v="25284"/>
        <n v="7424"/>
        <n v="23754"/>
        <n v="5724"/>
        <n v="4736"/>
        <n v="5723"/>
        <n v="8122"/>
        <n v="1170"/>
        <n v="13160"/>
        <n v="4841"/>
        <n v="10659"/>
        <n v="11250"/>
        <n v="5390"/>
        <n v="12720"/>
        <n v="19240"/>
        <n v="1302"/>
        <n v="8217"/>
        <n v="9396"/>
        <n v="6235"/>
        <n v="4092"/>
        <n v="4100"/>
        <n v="19888"/>
        <n v="5632"/>
        <n v="17424"/>
        <n v="21736"/>
        <n v="29100"/>
        <n v="5610"/>
        <n v="9875"/>
        <n v="12470"/>
        <n v="4420"/>
        <n v="5586"/>
        <n v="8370"/>
        <n v="5494"/>
        <n v="15120"/>
        <n v="23200"/>
        <n v="3465"/>
        <n v="5226"/>
        <n v="12972"/>
        <n v="5544"/>
        <n v="5020"/>
        <n v="21672"/>
        <n v="9100"/>
        <n v="6006"/>
        <n v="1537"/>
        <n v="1750"/>
        <n v="5481"/>
        <n v="15400"/>
        <n v="13357"/>
        <n v="5304"/>
        <n v="5208"/>
        <n v="1430"/>
        <n v="1701"/>
        <n v="266"/>
        <n v="17458"/>
        <n v="6164"/>
        <n v="32200"/>
        <n v="1056"/>
        <n v="2070"/>
        <n v="4623"/>
        <n v="8075"/>
        <n v="35136"/>
        <n v="5187"/>
        <n v="5166"/>
        <n v="595"/>
        <n v="8800"/>
        <n v="19800"/>
        <n v="29184"/>
        <n v="10622"/>
        <n v="9350"/>
        <n v="4183"/>
        <n v="7452"/>
        <n v="13356"/>
        <n v="10150"/>
        <n v="2697"/>
        <n v="21409"/>
        <n v="5120"/>
        <n v="5032"/>
        <n v="23040"/>
        <n v="9964"/>
        <n v="408"/>
        <n v="11526"/>
        <n v="3993"/>
        <n v="16756"/>
        <n v="2670"/>
        <n v="10160"/>
        <n v="4860"/>
        <n v="4080"/>
        <n v="1584"/>
        <n v="4725"/>
        <n v="12084"/>
        <n v="11718"/>
        <n v="462"/>
        <n v="1620"/>
        <n v="2852"/>
        <n v="9393"/>
        <n v="5088"/>
        <n v="4680"/>
        <n v="1496"/>
        <n v="11033"/>
        <n v="4655"/>
        <n v="4556"/>
        <n v="7979"/>
        <n v="9316"/>
        <n v="39004"/>
        <n v="19256"/>
        <n v="4466"/>
        <n v="1716"/>
        <n v="9424"/>
        <n v="6630"/>
        <n v="30349"/>
        <n v="4674"/>
        <n v="120"/>
        <n v="1166"/>
        <n v="1980"/>
        <n v="11583"/>
        <n v="60888"/>
        <n v="4452"/>
        <n v="22072"/>
        <n v="13690"/>
        <n v="22420"/>
        <n v="750"/>
        <n v="6549"/>
        <n v="8381"/>
        <n v="3708"/>
        <n v="4446"/>
        <n v="3905"/>
        <n v="4428"/>
        <n v="11514"/>
        <n v="7434"/>
        <n v="9919"/>
        <n v="6256"/>
        <n v="4366"/>
        <n v="5510"/>
        <n v="5720"/>
        <n v="3591"/>
        <n v="7839"/>
        <n v="2142"/>
        <n v="3239"/>
        <n v="1334"/>
        <n v="8137"/>
        <n v="4342"/>
        <n v="2201"/>
        <n v="11136"/>
        <n v="27654"/>
        <n v="630"/>
        <n v="4982"/>
        <n v="4324"/>
        <n v="36103"/>
        <n v="47684"/>
        <n v="8220"/>
        <n v="6966"/>
        <n v="26640"/>
        <n v="4320"/>
        <n v="9387"/>
        <n v="4280"/>
        <n v="506"/>
        <n v="7750"/>
        <n v="7353"/>
        <n v="3975"/>
        <n v="6873"/>
        <n v="20862"/>
        <n v="1014"/>
        <n v="2910"/>
        <n v="15834"/>
        <n v="5936"/>
        <n v="5850"/>
        <n v="2800"/>
        <n v="4230"/>
        <n v="4200"/>
        <n v="4108"/>
        <n v="11952"/>
        <n v="5626"/>
        <n v="192"/>
        <n v="8525"/>
        <n v="9077"/>
        <n v="22287"/>
        <n v="12245"/>
        <n v="4088"/>
        <n v="3496"/>
        <n v="4048"/>
        <n v="12141"/>
        <n v="3920"/>
        <n v="14760"/>
        <n v="1566"/>
        <n v="12587"/>
        <n v="3770"/>
        <n v="28215"/>
        <n v="6560"/>
        <n v="11147"/>
        <n v="8918"/>
        <n v="3749"/>
        <n v="20293"/>
        <n v="2806"/>
        <n v="6650"/>
        <n v="8892"/>
        <n v="23067"/>
        <n v="20400"/>
        <n v="3680"/>
        <n v="47025"/>
        <n v="17000"/>
        <n v="1404"/>
        <n v="3652"/>
        <n v="3536"/>
        <n v="9156"/>
        <n v="3397"/>
        <n v="3300"/>
        <n v="3276"/>
        <n v="3174"/>
        <n v="3150"/>
        <n v="6734"/>
        <n v="13640"/>
        <n v="3069"/>
        <n v="8840"/>
        <n v="3066"/>
        <n v="105"/>
        <n v="14994"/>
        <n v="34692"/>
        <n v="7700"/>
        <n v="2952"/>
        <n v="4375"/>
        <n v="800"/>
        <n v="3510"/>
        <n v="7098"/>
        <n v="50348"/>
        <n v="2950"/>
        <n v="420"/>
        <n v="2904"/>
        <n v="9102"/>
        <n v="5966"/>
        <n v="1269"/>
        <n v="2898"/>
        <n v="2888"/>
        <n v="41652"/>
        <n v="12480"/>
        <n v="10530"/>
        <n v="42994"/>
        <n v="3675"/>
        <n v="16408"/>
        <n v="23808"/>
        <n v="11340"/>
        <n v="2208"/>
        <n v="21749"/>
        <n v="1188"/>
        <n v="20202"/>
        <n v="5733"/>
        <n v="4956"/>
        <n v="3996"/>
        <n v="5076"/>
        <n v="2805"/>
        <n v="2772"/>
        <n v="2750"/>
        <n v="10269"/>
        <n v="6720"/>
        <n v="2419"/>
        <n v="16643"/>
        <n v="4394"/>
        <n v="1080"/>
        <n v="5432"/>
        <n v="7308"/>
        <n v="2310"/>
        <n v="6264"/>
        <n v="22528"/>
        <n v="3741"/>
        <n v="8000"/>
        <n v="4704"/>
        <n v="1596"/>
        <n v="18864"/>
        <n v="10736"/>
        <n v="876"/>
        <n v="2304"/>
        <n v="2277"/>
        <n v="11266"/>
        <n v="10922"/>
        <n v="12496"/>
        <n v="5092"/>
        <n v="18780"/>
        <n v="20878"/>
        <n v="9483"/>
        <n v="16600"/>
        <n v="2035"/>
        <n v="5822"/>
        <n v="6136"/>
        <n v="1976"/>
        <n v="1242"/>
        <n v="1600"/>
        <n v="1936"/>
        <n v="11448"/>
        <n v="20196"/>
        <n v="7602"/>
        <n v="2145"/>
        <n v="12166"/>
        <n v="17615"/>
        <n v="936"/>
        <n v="510"/>
        <n v="1898"/>
        <n v="7832"/>
        <n v="10108"/>
        <n v="12375"/>
        <n v="9150"/>
        <n v="1848"/>
        <n v="7881"/>
        <n v="12103"/>
        <n v="1674"/>
        <n v="7614"/>
        <n v="2726"/>
        <n v="15096"/>
        <n v="1640"/>
        <n v="7616"/>
        <n v="3978"/>
        <n v="23520"/>
        <n v="3519"/>
        <n v="1632"/>
        <n v="3640"/>
        <n v="3306"/>
        <n v="4116"/>
        <n v="10608"/>
        <n v="1012"/>
        <n v="1380"/>
        <n v="1161"/>
        <n v="1298"/>
        <n v="7448"/>
        <n v="3725"/>
        <n v="32116"/>
        <n v="4760"/>
        <n v="5546"/>
        <n v="1224"/>
        <n v="770"/>
        <n v="1176"/>
        <n v="19136"/>
        <n v="2604"/>
        <n v="1159"/>
        <n v="19035"/>
        <n v="8712"/>
        <n v="15600"/>
        <n v="966"/>
        <n v="960"/>
        <n v="783"/>
        <n v="726"/>
        <n v="720"/>
        <n v="675"/>
        <n v="600"/>
        <n v="469"/>
        <n v="348"/>
        <n v="322"/>
        <n v="282"/>
        <n v="124"/>
        <n v="84"/>
        <n v="72"/>
        <n v="60"/>
      </sharedItems>
    </cacheField>
    <cacheField name="Days (Date)" numFmtId="0" databaseField="0">
      <fieldGroup base="0">
        <rangePr groupBy="days" startDate="2025-01-02T00:00:00" endDate="2025-12-3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Date)" numFmtId="0" databaseField="0">
      <fieldGroup base="0">
        <rangePr groupBy="months" startDate="2025-01-02T00:00:00" endDate="2025-12-31T00:00:00"/>
        <groupItems count="14">
          <s v="&lt;02-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750134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3">
  <r>
    <x v="0"/>
    <x v="0"/>
    <x v="0"/>
    <x v="0"/>
    <n v="53"/>
    <x v="0"/>
    <s v="Long Island"/>
    <x v="0"/>
    <x v="0"/>
  </r>
  <r>
    <x v="1"/>
    <x v="1"/>
    <x v="0"/>
    <x v="1"/>
    <n v="64"/>
    <x v="0"/>
    <s v="Staten Island"/>
    <x v="0"/>
    <x v="1"/>
  </r>
  <r>
    <x v="2"/>
    <x v="2"/>
    <x v="1"/>
    <x v="2"/>
    <n v="73"/>
    <x v="0"/>
    <s v="Upstate West"/>
    <x v="1"/>
    <x v="2"/>
  </r>
  <r>
    <x v="3"/>
    <x v="2"/>
    <x v="2"/>
    <x v="3"/>
    <n v="90"/>
    <x v="1"/>
    <s v="Queens"/>
    <x v="2"/>
    <x v="3"/>
  </r>
  <r>
    <x v="4"/>
    <x v="3"/>
    <x v="3"/>
    <x v="4"/>
    <n v="96"/>
    <x v="2"/>
    <s v="Brooklyn"/>
    <x v="3"/>
    <x v="4"/>
  </r>
  <r>
    <x v="5"/>
    <x v="4"/>
    <x v="3"/>
    <x v="5"/>
    <n v="20"/>
    <x v="1"/>
    <s v="Queens"/>
    <x v="0"/>
    <x v="5"/>
  </r>
  <r>
    <x v="6"/>
    <x v="5"/>
    <x v="0"/>
    <x v="6"/>
    <n v="85"/>
    <x v="3"/>
    <s v="Upstate West"/>
    <x v="0"/>
    <x v="6"/>
  </r>
  <r>
    <x v="7"/>
    <x v="6"/>
    <x v="4"/>
    <x v="7"/>
    <n v="34"/>
    <x v="4"/>
    <s v="Upstate West"/>
    <x v="0"/>
    <x v="7"/>
  </r>
  <r>
    <x v="8"/>
    <x v="2"/>
    <x v="0"/>
    <x v="8"/>
    <n v="99"/>
    <x v="5"/>
    <s v="Brooklyn"/>
    <x v="3"/>
    <x v="8"/>
  </r>
  <r>
    <x v="9"/>
    <x v="5"/>
    <x v="0"/>
    <x v="9"/>
    <n v="31"/>
    <x v="5"/>
    <s v="Brooklyn"/>
    <x v="0"/>
    <x v="9"/>
  </r>
  <r>
    <x v="10"/>
    <x v="4"/>
    <x v="4"/>
    <x v="10"/>
    <n v="34"/>
    <x v="4"/>
    <s v="Queens"/>
    <x v="4"/>
    <x v="10"/>
  </r>
  <r>
    <x v="11"/>
    <x v="7"/>
    <x v="1"/>
    <x v="11"/>
    <n v="68"/>
    <x v="6"/>
    <s v="The Bronx"/>
    <x v="1"/>
    <x v="11"/>
  </r>
  <r>
    <x v="12"/>
    <x v="8"/>
    <x v="2"/>
    <x v="12"/>
    <n v="70"/>
    <x v="3"/>
    <s v="Upstate North"/>
    <x v="3"/>
    <x v="12"/>
  </r>
  <r>
    <x v="13"/>
    <x v="2"/>
    <x v="0"/>
    <x v="13"/>
    <n v="53"/>
    <x v="1"/>
    <s v="Upstate North"/>
    <x v="1"/>
    <x v="13"/>
  </r>
  <r>
    <x v="14"/>
    <x v="9"/>
    <x v="3"/>
    <x v="14"/>
    <n v="81"/>
    <x v="3"/>
    <s v="Manhattan"/>
    <x v="2"/>
    <x v="14"/>
  </r>
  <r>
    <x v="15"/>
    <x v="9"/>
    <x v="3"/>
    <x v="15"/>
    <n v="36"/>
    <x v="1"/>
    <s v="Brooklyn"/>
    <x v="0"/>
    <x v="15"/>
  </r>
  <r>
    <x v="16"/>
    <x v="4"/>
    <x v="1"/>
    <x v="16"/>
    <n v="38"/>
    <x v="5"/>
    <s v="Brooklyn"/>
    <x v="1"/>
    <x v="16"/>
  </r>
  <r>
    <x v="17"/>
    <x v="10"/>
    <x v="1"/>
    <x v="6"/>
    <n v="90"/>
    <x v="4"/>
    <s v="Manhattan"/>
    <x v="2"/>
    <x v="17"/>
  </r>
  <r>
    <x v="18"/>
    <x v="11"/>
    <x v="4"/>
    <x v="17"/>
    <n v="51"/>
    <x v="1"/>
    <s v="Long Island"/>
    <x v="0"/>
    <x v="18"/>
  </r>
  <r>
    <x v="19"/>
    <x v="10"/>
    <x v="3"/>
    <x v="18"/>
    <n v="62"/>
    <x v="7"/>
    <s v="Central NY."/>
    <x v="0"/>
    <x v="19"/>
  </r>
  <r>
    <x v="20"/>
    <x v="12"/>
    <x v="0"/>
    <x v="19"/>
    <n v="37"/>
    <x v="6"/>
    <s v="Capital Region"/>
    <x v="2"/>
    <x v="20"/>
  </r>
  <r>
    <x v="0"/>
    <x v="13"/>
    <x v="3"/>
    <x v="20"/>
    <n v="88"/>
    <x v="3"/>
    <s v="Upstate West"/>
    <x v="1"/>
    <x v="21"/>
  </r>
  <r>
    <x v="21"/>
    <x v="1"/>
    <x v="3"/>
    <x v="21"/>
    <n v="22"/>
    <x v="8"/>
    <s v="Upstate North"/>
    <x v="1"/>
    <x v="22"/>
  </r>
  <r>
    <x v="22"/>
    <x v="3"/>
    <x v="3"/>
    <x v="22"/>
    <n v="20"/>
    <x v="9"/>
    <s v="Brooklyn"/>
    <x v="2"/>
    <x v="23"/>
  </r>
  <r>
    <x v="23"/>
    <x v="10"/>
    <x v="2"/>
    <x v="23"/>
    <n v="94"/>
    <x v="2"/>
    <s v="Upstate West"/>
    <x v="2"/>
    <x v="24"/>
  </r>
  <r>
    <x v="24"/>
    <x v="14"/>
    <x v="1"/>
    <x v="24"/>
    <n v="48"/>
    <x v="2"/>
    <s v="Brooklyn"/>
    <x v="0"/>
    <x v="25"/>
  </r>
  <r>
    <x v="25"/>
    <x v="12"/>
    <x v="4"/>
    <x v="25"/>
    <n v="31"/>
    <x v="7"/>
    <s v="Brooklyn"/>
    <x v="0"/>
    <x v="26"/>
  </r>
  <r>
    <x v="26"/>
    <x v="9"/>
    <x v="2"/>
    <x v="26"/>
    <n v="79"/>
    <x v="1"/>
    <s v="Upstate North"/>
    <x v="1"/>
    <x v="27"/>
  </r>
  <r>
    <x v="27"/>
    <x v="11"/>
    <x v="2"/>
    <x v="27"/>
    <n v="38"/>
    <x v="8"/>
    <s v="The Bronx"/>
    <x v="1"/>
    <x v="28"/>
  </r>
  <r>
    <x v="28"/>
    <x v="5"/>
    <x v="3"/>
    <x v="11"/>
    <n v="91"/>
    <x v="9"/>
    <s v="Brooklyn"/>
    <x v="2"/>
    <x v="29"/>
  </r>
  <r>
    <x v="29"/>
    <x v="15"/>
    <x v="2"/>
    <x v="11"/>
    <n v="33"/>
    <x v="1"/>
    <s v="Long Island"/>
    <x v="2"/>
    <x v="30"/>
  </r>
  <r>
    <x v="30"/>
    <x v="14"/>
    <x v="3"/>
    <x v="28"/>
    <n v="45"/>
    <x v="9"/>
    <s v="Capital Region"/>
    <x v="2"/>
    <x v="31"/>
  </r>
  <r>
    <x v="31"/>
    <x v="9"/>
    <x v="0"/>
    <x v="29"/>
    <n v="37"/>
    <x v="7"/>
    <s v="Brooklyn"/>
    <x v="0"/>
    <x v="32"/>
  </r>
  <r>
    <x v="32"/>
    <x v="2"/>
    <x v="4"/>
    <x v="9"/>
    <n v="60"/>
    <x v="4"/>
    <s v="Queens"/>
    <x v="4"/>
    <x v="33"/>
  </r>
  <r>
    <x v="33"/>
    <x v="16"/>
    <x v="1"/>
    <x v="30"/>
    <n v="76"/>
    <x v="8"/>
    <s v="The Bronx"/>
    <x v="1"/>
    <x v="34"/>
  </r>
  <r>
    <x v="34"/>
    <x v="11"/>
    <x v="0"/>
    <x v="31"/>
    <n v="39"/>
    <x v="3"/>
    <s v="Queens"/>
    <x v="2"/>
    <x v="35"/>
  </r>
  <r>
    <x v="35"/>
    <x v="17"/>
    <x v="1"/>
    <x v="32"/>
    <n v="100"/>
    <x v="7"/>
    <s v="Staten Island"/>
    <x v="1"/>
    <x v="36"/>
  </r>
  <r>
    <x v="36"/>
    <x v="9"/>
    <x v="1"/>
    <x v="33"/>
    <n v="53"/>
    <x v="4"/>
    <s v="Staten Island"/>
    <x v="4"/>
    <x v="37"/>
  </r>
  <r>
    <x v="37"/>
    <x v="18"/>
    <x v="1"/>
    <x v="34"/>
    <n v="21"/>
    <x v="5"/>
    <s v="Queens"/>
    <x v="1"/>
    <x v="38"/>
  </r>
  <r>
    <x v="38"/>
    <x v="3"/>
    <x v="2"/>
    <x v="35"/>
    <n v="43"/>
    <x v="8"/>
    <s v="Upstate West"/>
    <x v="1"/>
    <x v="39"/>
  </r>
  <r>
    <x v="39"/>
    <x v="7"/>
    <x v="2"/>
    <x v="36"/>
    <n v="54"/>
    <x v="6"/>
    <s v="Queens"/>
    <x v="2"/>
    <x v="40"/>
  </r>
  <r>
    <x v="40"/>
    <x v="5"/>
    <x v="1"/>
    <x v="37"/>
    <n v="55"/>
    <x v="5"/>
    <s v="Manhattan"/>
    <x v="4"/>
    <x v="41"/>
  </r>
  <r>
    <x v="41"/>
    <x v="13"/>
    <x v="2"/>
    <x v="38"/>
    <n v="28"/>
    <x v="5"/>
    <s v="Brooklyn"/>
    <x v="4"/>
    <x v="42"/>
  </r>
  <r>
    <x v="42"/>
    <x v="10"/>
    <x v="3"/>
    <x v="39"/>
    <n v="59"/>
    <x v="2"/>
    <s v="Staten Island"/>
    <x v="4"/>
    <x v="43"/>
  </r>
  <r>
    <x v="43"/>
    <x v="0"/>
    <x v="0"/>
    <x v="36"/>
    <n v="20"/>
    <x v="1"/>
    <s v="Central NY."/>
    <x v="2"/>
    <x v="44"/>
  </r>
  <r>
    <x v="44"/>
    <x v="6"/>
    <x v="1"/>
    <x v="40"/>
    <n v="24"/>
    <x v="6"/>
    <s v="Upstate North"/>
    <x v="2"/>
    <x v="45"/>
  </r>
  <r>
    <x v="45"/>
    <x v="8"/>
    <x v="4"/>
    <x v="41"/>
    <n v="28"/>
    <x v="9"/>
    <s v="Long Island"/>
    <x v="4"/>
    <x v="46"/>
  </r>
  <r>
    <x v="46"/>
    <x v="7"/>
    <x v="2"/>
    <x v="42"/>
    <n v="73"/>
    <x v="0"/>
    <s v="Capital Region"/>
    <x v="2"/>
    <x v="47"/>
  </r>
  <r>
    <x v="47"/>
    <x v="3"/>
    <x v="0"/>
    <x v="43"/>
    <n v="64"/>
    <x v="5"/>
    <s v="Staten Island"/>
    <x v="2"/>
    <x v="48"/>
  </r>
  <r>
    <x v="48"/>
    <x v="1"/>
    <x v="1"/>
    <x v="44"/>
    <n v="54"/>
    <x v="2"/>
    <s v="Queens"/>
    <x v="0"/>
    <x v="49"/>
  </r>
  <r>
    <x v="49"/>
    <x v="15"/>
    <x v="2"/>
    <x v="45"/>
    <n v="79"/>
    <x v="6"/>
    <s v="Capital Region"/>
    <x v="1"/>
    <x v="50"/>
  </r>
  <r>
    <x v="50"/>
    <x v="19"/>
    <x v="1"/>
    <x v="46"/>
    <n v="37"/>
    <x v="6"/>
    <s v="The Bronx"/>
    <x v="4"/>
    <x v="51"/>
  </r>
  <r>
    <x v="51"/>
    <x v="13"/>
    <x v="0"/>
    <x v="31"/>
    <n v="68"/>
    <x v="7"/>
    <s v="Manhattan"/>
    <x v="4"/>
    <x v="52"/>
  </r>
  <r>
    <x v="52"/>
    <x v="9"/>
    <x v="1"/>
    <x v="47"/>
    <n v="79"/>
    <x v="7"/>
    <s v="Central NY."/>
    <x v="0"/>
    <x v="53"/>
  </r>
  <r>
    <x v="53"/>
    <x v="14"/>
    <x v="4"/>
    <x v="48"/>
    <n v="83"/>
    <x v="7"/>
    <s v="The Bronx"/>
    <x v="2"/>
    <x v="54"/>
  </r>
  <r>
    <x v="54"/>
    <x v="7"/>
    <x v="2"/>
    <x v="49"/>
    <n v="36"/>
    <x v="6"/>
    <s v="Manhattan"/>
    <x v="4"/>
    <x v="55"/>
  </r>
  <r>
    <x v="55"/>
    <x v="19"/>
    <x v="3"/>
    <x v="50"/>
    <n v="94"/>
    <x v="8"/>
    <s v="Staten Island"/>
    <x v="0"/>
    <x v="56"/>
  </r>
  <r>
    <x v="56"/>
    <x v="10"/>
    <x v="0"/>
    <x v="51"/>
    <n v="33"/>
    <x v="3"/>
    <s v="Long Island"/>
    <x v="4"/>
    <x v="57"/>
  </r>
  <r>
    <x v="57"/>
    <x v="14"/>
    <x v="0"/>
    <x v="52"/>
    <n v="46"/>
    <x v="3"/>
    <s v="The Bronx"/>
    <x v="2"/>
    <x v="58"/>
  </r>
  <r>
    <x v="58"/>
    <x v="6"/>
    <x v="4"/>
    <x v="0"/>
    <n v="70"/>
    <x v="2"/>
    <s v="Queens"/>
    <x v="4"/>
    <x v="59"/>
  </r>
  <r>
    <x v="59"/>
    <x v="13"/>
    <x v="3"/>
    <x v="53"/>
    <n v="29"/>
    <x v="4"/>
    <s v="Central NY."/>
    <x v="4"/>
    <x v="60"/>
  </r>
  <r>
    <x v="60"/>
    <x v="10"/>
    <x v="2"/>
    <x v="54"/>
    <n v="48"/>
    <x v="8"/>
    <s v="The Bronx"/>
    <x v="1"/>
    <x v="61"/>
  </r>
  <r>
    <x v="61"/>
    <x v="19"/>
    <x v="4"/>
    <x v="55"/>
    <n v="26"/>
    <x v="2"/>
    <s v="Staten Island"/>
    <x v="1"/>
    <x v="62"/>
  </r>
  <r>
    <x v="62"/>
    <x v="5"/>
    <x v="1"/>
    <x v="56"/>
    <n v="85"/>
    <x v="4"/>
    <s v="Upstate North"/>
    <x v="4"/>
    <x v="63"/>
  </r>
  <r>
    <x v="63"/>
    <x v="3"/>
    <x v="2"/>
    <x v="57"/>
    <n v="58"/>
    <x v="4"/>
    <s v="Manhattan"/>
    <x v="0"/>
    <x v="64"/>
  </r>
  <r>
    <x v="49"/>
    <x v="8"/>
    <x v="1"/>
    <x v="58"/>
    <n v="85"/>
    <x v="8"/>
    <s v="Queens"/>
    <x v="4"/>
    <x v="65"/>
  </r>
  <r>
    <x v="64"/>
    <x v="3"/>
    <x v="1"/>
    <x v="15"/>
    <n v="43"/>
    <x v="6"/>
    <s v="Upstate North"/>
    <x v="4"/>
    <x v="66"/>
  </r>
  <r>
    <x v="65"/>
    <x v="11"/>
    <x v="4"/>
    <x v="59"/>
    <n v="53"/>
    <x v="2"/>
    <s v="Upstate West"/>
    <x v="1"/>
    <x v="67"/>
  </r>
  <r>
    <x v="66"/>
    <x v="7"/>
    <x v="4"/>
    <x v="60"/>
    <n v="91"/>
    <x v="4"/>
    <s v="Upstate West"/>
    <x v="0"/>
    <x v="68"/>
  </r>
  <r>
    <x v="52"/>
    <x v="9"/>
    <x v="4"/>
    <x v="61"/>
    <n v="85"/>
    <x v="8"/>
    <s v="Upstate North"/>
    <x v="3"/>
    <x v="69"/>
  </r>
  <r>
    <x v="67"/>
    <x v="3"/>
    <x v="3"/>
    <x v="1"/>
    <n v="72"/>
    <x v="4"/>
    <s v="Long Island"/>
    <x v="2"/>
    <x v="70"/>
  </r>
  <r>
    <x v="68"/>
    <x v="4"/>
    <x v="4"/>
    <x v="62"/>
    <n v="96"/>
    <x v="7"/>
    <s v="Upstate West"/>
    <x v="0"/>
    <x v="71"/>
  </r>
  <r>
    <x v="29"/>
    <x v="10"/>
    <x v="4"/>
    <x v="63"/>
    <n v="28"/>
    <x v="6"/>
    <s v="Upstate West"/>
    <x v="4"/>
    <x v="72"/>
  </r>
  <r>
    <x v="69"/>
    <x v="8"/>
    <x v="3"/>
    <x v="64"/>
    <n v="40"/>
    <x v="7"/>
    <s v="Queens"/>
    <x v="0"/>
    <x v="73"/>
  </r>
  <r>
    <x v="70"/>
    <x v="12"/>
    <x v="1"/>
    <x v="65"/>
    <n v="32"/>
    <x v="6"/>
    <s v="The Bronx"/>
    <x v="1"/>
    <x v="74"/>
  </r>
  <r>
    <x v="71"/>
    <x v="10"/>
    <x v="4"/>
    <x v="38"/>
    <n v="95"/>
    <x v="4"/>
    <s v="Queens"/>
    <x v="1"/>
    <x v="75"/>
  </r>
  <r>
    <x v="50"/>
    <x v="20"/>
    <x v="2"/>
    <x v="66"/>
    <n v="41"/>
    <x v="6"/>
    <s v="Central NY."/>
    <x v="2"/>
    <x v="76"/>
  </r>
  <r>
    <x v="72"/>
    <x v="3"/>
    <x v="4"/>
    <x v="67"/>
    <n v="76"/>
    <x v="8"/>
    <s v="Manhattan"/>
    <x v="3"/>
    <x v="77"/>
  </r>
  <r>
    <x v="73"/>
    <x v="12"/>
    <x v="4"/>
    <x v="68"/>
    <n v="47"/>
    <x v="7"/>
    <s v="Capital Region"/>
    <x v="0"/>
    <x v="78"/>
  </r>
  <r>
    <x v="74"/>
    <x v="21"/>
    <x v="2"/>
    <x v="69"/>
    <n v="83"/>
    <x v="2"/>
    <s v="Manhattan"/>
    <x v="0"/>
    <x v="79"/>
  </r>
  <r>
    <x v="15"/>
    <x v="3"/>
    <x v="3"/>
    <x v="70"/>
    <n v="48"/>
    <x v="1"/>
    <s v="Queens"/>
    <x v="2"/>
    <x v="80"/>
  </r>
  <r>
    <x v="75"/>
    <x v="19"/>
    <x v="0"/>
    <x v="71"/>
    <n v="99"/>
    <x v="3"/>
    <s v="Upstate West"/>
    <x v="1"/>
    <x v="81"/>
  </r>
  <r>
    <x v="76"/>
    <x v="11"/>
    <x v="1"/>
    <x v="72"/>
    <n v="65"/>
    <x v="3"/>
    <s v="Queens"/>
    <x v="3"/>
    <x v="82"/>
  </r>
  <r>
    <x v="49"/>
    <x v="14"/>
    <x v="1"/>
    <x v="73"/>
    <n v="80"/>
    <x v="3"/>
    <s v="Manhattan"/>
    <x v="3"/>
    <x v="83"/>
  </r>
  <r>
    <x v="77"/>
    <x v="19"/>
    <x v="0"/>
    <x v="74"/>
    <n v="76"/>
    <x v="0"/>
    <s v="Long Island"/>
    <x v="0"/>
    <x v="84"/>
  </r>
  <r>
    <x v="63"/>
    <x v="11"/>
    <x v="3"/>
    <x v="75"/>
    <n v="100"/>
    <x v="3"/>
    <s v="Long Island"/>
    <x v="1"/>
    <x v="85"/>
  </r>
  <r>
    <x v="78"/>
    <x v="11"/>
    <x v="2"/>
    <x v="76"/>
    <n v="73"/>
    <x v="2"/>
    <s v="Central NY."/>
    <x v="4"/>
    <x v="86"/>
  </r>
  <r>
    <x v="79"/>
    <x v="15"/>
    <x v="4"/>
    <x v="77"/>
    <n v="45"/>
    <x v="2"/>
    <s v="Brooklyn"/>
    <x v="3"/>
    <x v="87"/>
  </r>
  <r>
    <x v="80"/>
    <x v="8"/>
    <x v="4"/>
    <x v="78"/>
    <n v="74"/>
    <x v="1"/>
    <s v="Long Island"/>
    <x v="3"/>
    <x v="88"/>
  </r>
  <r>
    <x v="81"/>
    <x v="18"/>
    <x v="2"/>
    <x v="79"/>
    <n v="40"/>
    <x v="3"/>
    <s v="Upstate West"/>
    <x v="0"/>
    <x v="89"/>
  </r>
  <r>
    <x v="4"/>
    <x v="5"/>
    <x v="3"/>
    <x v="80"/>
    <n v="98"/>
    <x v="3"/>
    <s v="Brooklyn"/>
    <x v="2"/>
    <x v="90"/>
  </r>
  <r>
    <x v="82"/>
    <x v="21"/>
    <x v="4"/>
    <x v="81"/>
    <n v="85"/>
    <x v="8"/>
    <s v="Upstate North"/>
    <x v="4"/>
    <x v="91"/>
  </r>
  <r>
    <x v="83"/>
    <x v="18"/>
    <x v="1"/>
    <x v="82"/>
    <n v="89"/>
    <x v="2"/>
    <s v="Staten Island"/>
    <x v="4"/>
    <x v="92"/>
  </r>
  <r>
    <x v="15"/>
    <x v="5"/>
    <x v="1"/>
    <x v="83"/>
    <n v="24"/>
    <x v="8"/>
    <s v="Upstate West"/>
    <x v="1"/>
    <x v="93"/>
  </r>
  <r>
    <x v="84"/>
    <x v="9"/>
    <x v="1"/>
    <x v="26"/>
    <n v="96"/>
    <x v="7"/>
    <s v="Brooklyn"/>
    <x v="2"/>
    <x v="94"/>
  </r>
  <r>
    <x v="85"/>
    <x v="19"/>
    <x v="1"/>
    <x v="70"/>
    <n v="67"/>
    <x v="1"/>
    <s v="The Bronx"/>
    <x v="4"/>
    <x v="95"/>
  </r>
  <r>
    <x v="63"/>
    <x v="4"/>
    <x v="4"/>
    <x v="84"/>
    <n v="79"/>
    <x v="9"/>
    <s v="Central NY."/>
    <x v="2"/>
    <x v="96"/>
  </r>
  <r>
    <x v="86"/>
    <x v="6"/>
    <x v="3"/>
    <x v="85"/>
    <n v="85"/>
    <x v="7"/>
    <s v="Queens"/>
    <x v="2"/>
    <x v="97"/>
  </r>
  <r>
    <x v="84"/>
    <x v="10"/>
    <x v="3"/>
    <x v="86"/>
    <n v="26"/>
    <x v="9"/>
    <s v="Brooklyn"/>
    <x v="0"/>
    <x v="98"/>
  </r>
  <r>
    <x v="87"/>
    <x v="13"/>
    <x v="2"/>
    <x v="57"/>
    <n v="75"/>
    <x v="2"/>
    <s v="Brooklyn"/>
    <x v="2"/>
    <x v="99"/>
  </r>
  <r>
    <x v="54"/>
    <x v="1"/>
    <x v="0"/>
    <x v="87"/>
    <n v="65"/>
    <x v="9"/>
    <s v="Brooklyn"/>
    <x v="0"/>
    <x v="100"/>
  </r>
  <r>
    <x v="88"/>
    <x v="21"/>
    <x v="2"/>
    <x v="88"/>
    <n v="54"/>
    <x v="1"/>
    <s v="Queens"/>
    <x v="0"/>
    <x v="101"/>
  </r>
  <r>
    <x v="89"/>
    <x v="4"/>
    <x v="1"/>
    <x v="70"/>
    <n v="86"/>
    <x v="8"/>
    <s v="The Bronx"/>
    <x v="1"/>
    <x v="102"/>
  </r>
  <r>
    <x v="90"/>
    <x v="20"/>
    <x v="4"/>
    <x v="89"/>
    <n v="32"/>
    <x v="4"/>
    <s v="The Bronx"/>
    <x v="2"/>
    <x v="103"/>
  </r>
  <r>
    <x v="91"/>
    <x v="5"/>
    <x v="2"/>
    <x v="22"/>
    <n v="45"/>
    <x v="7"/>
    <s v="Brooklyn"/>
    <x v="0"/>
    <x v="104"/>
  </r>
  <r>
    <x v="92"/>
    <x v="11"/>
    <x v="4"/>
    <x v="27"/>
    <n v="76"/>
    <x v="5"/>
    <s v="Upstate West"/>
    <x v="1"/>
    <x v="105"/>
  </r>
  <r>
    <x v="83"/>
    <x v="9"/>
    <x v="1"/>
    <x v="90"/>
    <n v="40"/>
    <x v="1"/>
    <s v="Manhattan"/>
    <x v="4"/>
    <x v="106"/>
  </r>
  <r>
    <x v="93"/>
    <x v="15"/>
    <x v="3"/>
    <x v="91"/>
    <n v="89"/>
    <x v="1"/>
    <s v="Staten Island"/>
    <x v="0"/>
    <x v="107"/>
  </r>
  <r>
    <x v="20"/>
    <x v="19"/>
    <x v="3"/>
    <x v="92"/>
    <n v="86"/>
    <x v="7"/>
    <s v="Queens"/>
    <x v="1"/>
    <x v="108"/>
  </r>
  <r>
    <x v="31"/>
    <x v="20"/>
    <x v="1"/>
    <x v="93"/>
    <n v="54"/>
    <x v="3"/>
    <s v="Central NY."/>
    <x v="1"/>
    <x v="109"/>
  </r>
  <r>
    <x v="94"/>
    <x v="6"/>
    <x v="1"/>
    <x v="62"/>
    <n v="36"/>
    <x v="7"/>
    <s v="Upstate West"/>
    <x v="2"/>
    <x v="110"/>
  </r>
  <r>
    <x v="95"/>
    <x v="7"/>
    <x v="0"/>
    <x v="94"/>
    <n v="89"/>
    <x v="4"/>
    <s v="Long Island"/>
    <x v="2"/>
    <x v="111"/>
  </r>
  <r>
    <x v="15"/>
    <x v="4"/>
    <x v="0"/>
    <x v="60"/>
    <n v="32"/>
    <x v="8"/>
    <s v="Brooklyn"/>
    <x v="2"/>
    <x v="112"/>
  </r>
  <r>
    <x v="96"/>
    <x v="4"/>
    <x v="3"/>
    <x v="95"/>
    <n v="67"/>
    <x v="6"/>
    <s v="Long Island"/>
    <x v="4"/>
    <x v="113"/>
  </r>
  <r>
    <x v="97"/>
    <x v="1"/>
    <x v="0"/>
    <x v="96"/>
    <n v="39"/>
    <x v="5"/>
    <s v="Long Island"/>
    <x v="2"/>
    <x v="114"/>
  </r>
  <r>
    <x v="98"/>
    <x v="15"/>
    <x v="4"/>
    <x v="97"/>
    <n v="67"/>
    <x v="9"/>
    <s v="Manhattan"/>
    <x v="3"/>
    <x v="115"/>
  </r>
  <r>
    <x v="31"/>
    <x v="7"/>
    <x v="3"/>
    <x v="98"/>
    <n v="58"/>
    <x v="4"/>
    <s v="Upstate West"/>
    <x v="1"/>
    <x v="116"/>
  </r>
  <r>
    <x v="78"/>
    <x v="2"/>
    <x v="4"/>
    <x v="99"/>
    <n v="65"/>
    <x v="2"/>
    <s v="Manhattan"/>
    <x v="2"/>
    <x v="117"/>
  </r>
  <r>
    <x v="38"/>
    <x v="16"/>
    <x v="4"/>
    <x v="100"/>
    <n v="94"/>
    <x v="1"/>
    <s v="Manhattan"/>
    <x v="0"/>
    <x v="118"/>
  </r>
  <r>
    <x v="99"/>
    <x v="3"/>
    <x v="0"/>
    <x v="101"/>
    <n v="81"/>
    <x v="7"/>
    <s v="Central NY."/>
    <x v="2"/>
    <x v="119"/>
  </r>
  <r>
    <x v="100"/>
    <x v="15"/>
    <x v="1"/>
    <x v="102"/>
    <n v="65"/>
    <x v="4"/>
    <s v="Manhattan"/>
    <x v="3"/>
    <x v="120"/>
  </r>
  <r>
    <x v="101"/>
    <x v="2"/>
    <x v="3"/>
    <x v="6"/>
    <n v="43"/>
    <x v="4"/>
    <s v="Upstate West"/>
    <x v="1"/>
    <x v="121"/>
  </r>
  <r>
    <x v="65"/>
    <x v="21"/>
    <x v="0"/>
    <x v="103"/>
    <n v="29"/>
    <x v="6"/>
    <s v="Capital Region"/>
    <x v="4"/>
    <x v="122"/>
  </r>
  <r>
    <x v="102"/>
    <x v="14"/>
    <x v="2"/>
    <x v="104"/>
    <n v="95"/>
    <x v="7"/>
    <s v="Brooklyn"/>
    <x v="1"/>
    <x v="123"/>
  </r>
  <r>
    <x v="54"/>
    <x v="0"/>
    <x v="0"/>
    <x v="105"/>
    <n v="77"/>
    <x v="3"/>
    <s v="Upstate North"/>
    <x v="3"/>
    <x v="124"/>
  </r>
  <r>
    <x v="103"/>
    <x v="17"/>
    <x v="3"/>
    <x v="106"/>
    <n v="46"/>
    <x v="4"/>
    <s v="Upstate North"/>
    <x v="0"/>
    <x v="125"/>
  </r>
  <r>
    <x v="14"/>
    <x v="12"/>
    <x v="4"/>
    <x v="107"/>
    <n v="58"/>
    <x v="8"/>
    <s v="Long Island"/>
    <x v="1"/>
    <x v="126"/>
  </r>
  <r>
    <x v="104"/>
    <x v="5"/>
    <x v="1"/>
    <x v="108"/>
    <n v="48"/>
    <x v="5"/>
    <s v="The Bronx"/>
    <x v="1"/>
    <x v="127"/>
  </r>
  <r>
    <x v="105"/>
    <x v="15"/>
    <x v="1"/>
    <x v="109"/>
    <n v="43"/>
    <x v="8"/>
    <s v="Capital Region"/>
    <x v="4"/>
    <x v="128"/>
  </r>
  <r>
    <x v="106"/>
    <x v="14"/>
    <x v="0"/>
    <x v="48"/>
    <n v="95"/>
    <x v="6"/>
    <s v="Manhattan"/>
    <x v="4"/>
    <x v="129"/>
  </r>
  <r>
    <x v="55"/>
    <x v="9"/>
    <x v="4"/>
    <x v="39"/>
    <n v="30"/>
    <x v="3"/>
    <s v="Manhattan"/>
    <x v="2"/>
    <x v="130"/>
  </r>
  <r>
    <x v="107"/>
    <x v="16"/>
    <x v="4"/>
    <x v="110"/>
    <n v="64"/>
    <x v="1"/>
    <s v="The Bronx"/>
    <x v="2"/>
    <x v="131"/>
  </r>
  <r>
    <x v="40"/>
    <x v="6"/>
    <x v="2"/>
    <x v="98"/>
    <n v="90"/>
    <x v="2"/>
    <s v="Queens"/>
    <x v="2"/>
    <x v="132"/>
  </r>
  <r>
    <x v="108"/>
    <x v="11"/>
    <x v="2"/>
    <x v="111"/>
    <n v="76"/>
    <x v="4"/>
    <s v="Queens"/>
    <x v="1"/>
    <x v="133"/>
  </r>
  <r>
    <x v="75"/>
    <x v="2"/>
    <x v="3"/>
    <x v="112"/>
    <n v="96"/>
    <x v="9"/>
    <s v="Brooklyn"/>
    <x v="4"/>
    <x v="134"/>
  </r>
  <r>
    <x v="60"/>
    <x v="8"/>
    <x v="2"/>
    <x v="113"/>
    <n v="47"/>
    <x v="2"/>
    <s v="Capital Region"/>
    <x v="0"/>
    <x v="135"/>
  </r>
  <r>
    <x v="109"/>
    <x v="2"/>
    <x v="3"/>
    <x v="114"/>
    <n v="69"/>
    <x v="1"/>
    <s v="Brooklyn"/>
    <x v="3"/>
    <x v="136"/>
  </r>
  <r>
    <x v="8"/>
    <x v="2"/>
    <x v="4"/>
    <x v="115"/>
    <n v="54"/>
    <x v="8"/>
    <s v="Upstate West"/>
    <x v="3"/>
    <x v="137"/>
  </r>
  <r>
    <x v="56"/>
    <x v="20"/>
    <x v="2"/>
    <x v="64"/>
    <n v="98"/>
    <x v="9"/>
    <s v="Manhattan"/>
    <x v="1"/>
    <x v="138"/>
  </r>
  <r>
    <x v="110"/>
    <x v="4"/>
    <x v="4"/>
    <x v="15"/>
    <n v="77"/>
    <x v="3"/>
    <s v="Manhattan"/>
    <x v="2"/>
    <x v="139"/>
  </r>
  <r>
    <x v="111"/>
    <x v="13"/>
    <x v="1"/>
    <x v="116"/>
    <n v="51"/>
    <x v="0"/>
    <s v="Central NY."/>
    <x v="3"/>
    <x v="140"/>
  </r>
  <r>
    <x v="92"/>
    <x v="0"/>
    <x v="3"/>
    <x v="117"/>
    <n v="68"/>
    <x v="4"/>
    <s v="Central NY."/>
    <x v="4"/>
    <x v="141"/>
  </r>
  <r>
    <x v="112"/>
    <x v="7"/>
    <x v="4"/>
    <x v="101"/>
    <n v="73"/>
    <x v="6"/>
    <s v="Capital Region"/>
    <x v="1"/>
    <x v="142"/>
  </r>
  <r>
    <x v="113"/>
    <x v="17"/>
    <x v="2"/>
    <x v="34"/>
    <n v="27"/>
    <x v="4"/>
    <s v="Brooklyn"/>
    <x v="0"/>
    <x v="143"/>
  </r>
  <r>
    <x v="68"/>
    <x v="1"/>
    <x v="1"/>
    <x v="118"/>
    <n v="23"/>
    <x v="5"/>
    <s v="The Bronx"/>
    <x v="4"/>
    <x v="144"/>
  </r>
  <r>
    <x v="114"/>
    <x v="3"/>
    <x v="1"/>
    <x v="119"/>
    <n v="49"/>
    <x v="6"/>
    <s v="Manhattan"/>
    <x v="2"/>
    <x v="145"/>
  </r>
  <r>
    <x v="115"/>
    <x v="0"/>
    <x v="3"/>
    <x v="78"/>
    <n v="55"/>
    <x v="2"/>
    <s v="Capital Region"/>
    <x v="3"/>
    <x v="146"/>
  </r>
  <r>
    <x v="116"/>
    <x v="17"/>
    <x v="0"/>
    <x v="25"/>
    <n v="67"/>
    <x v="9"/>
    <s v="Central NY."/>
    <x v="0"/>
    <x v="147"/>
  </r>
  <r>
    <x v="117"/>
    <x v="12"/>
    <x v="4"/>
    <x v="120"/>
    <n v="65"/>
    <x v="5"/>
    <s v="Central NY."/>
    <x v="4"/>
    <x v="148"/>
  </r>
  <r>
    <x v="118"/>
    <x v="16"/>
    <x v="1"/>
    <x v="10"/>
    <n v="60"/>
    <x v="1"/>
    <s v="Brooklyn"/>
    <x v="1"/>
    <x v="149"/>
  </r>
  <r>
    <x v="119"/>
    <x v="19"/>
    <x v="2"/>
    <x v="121"/>
    <n v="31"/>
    <x v="2"/>
    <s v="The Bronx"/>
    <x v="1"/>
    <x v="150"/>
  </r>
  <r>
    <x v="26"/>
    <x v="5"/>
    <x v="0"/>
    <x v="122"/>
    <n v="27"/>
    <x v="1"/>
    <s v="Upstate West"/>
    <x v="0"/>
    <x v="151"/>
  </r>
  <r>
    <x v="120"/>
    <x v="4"/>
    <x v="3"/>
    <x v="123"/>
    <n v="80"/>
    <x v="9"/>
    <s v="Upstate North"/>
    <x v="2"/>
    <x v="152"/>
  </r>
  <r>
    <x v="121"/>
    <x v="5"/>
    <x v="0"/>
    <x v="124"/>
    <n v="79"/>
    <x v="3"/>
    <s v="Long Island"/>
    <x v="3"/>
    <x v="153"/>
  </r>
  <r>
    <x v="122"/>
    <x v="18"/>
    <x v="3"/>
    <x v="125"/>
    <n v="25"/>
    <x v="7"/>
    <s v="Staten Island"/>
    <x v="2"/>
    <x v="154"/>
  </r>
  <r>
    <x v="123"/>
    <x v="13"/>
    <x v="3"/>
    <x v="126"/>
    <n v="35"/>
    <x v="3"/>
    <s v="Upstate West"/>
    <x v="1"/>
    <x v="155"/>
  </r>
  <r>
    <x v="124"/>
    <x v="7"/>
    <x v="4"/>
    <x v="127"/>
    <n v="67"/>
    <x v="3"/>
    <s v="Upstate North"/>
    <x v="2"/>
    <x v="156"/>
  </r>
  <r>
    <x v="125"/>
    <x v="14"/>
    <x v="3"/>
    <x v="19"/>
    <n v="46"/>
    <x v="0"/>
    <s v="Brooklyn"/>
    <x v="0"/>
    <x v="157"/>
  </r>
  <r>
    <x v="126"/>
    <x v="6"/>
    <x v="3"/>
    <x v="128"/>
    <n v="35"/>
    <x v="1"/>
    <s v="Central NY."/>
    <x v="0"/>
    <x v="158"/>
  </r>
  <r>
    <x v="127"/>
    <x v="13"/>
    <x v="4"/>
    <x v="129"/>
    <n v="86"/>
    <x v="8"/>
    <s v="Long Island"/>
    <x v="2"/>
    <x v="159"/>
  </r>
  <r>
    <x v="128"/>
    <x v="8"/>
    <x v="2"/>
    <x v="130"/>
    <n v="81"/>
    <x v="5"/>
    <s v="Queens"/>
    <x v="0"/>
    <x v="160"/>
  </r>
  <r>
    <x v="129"/>
    <x v="20"/>
    <x v="2"/>
    <x v="131"/>
    <n v="42"/>
    <x v="4"/>
    <s v="Upstate North"/>
    <x v="2"/>
    <x v="161"/>
  </r>
  <r>
    <x v="42"/>
    <x v="8"/>
    <x v="0"/>
    <x v="36"/>
    <n v="94"/>
    <x v="1"/>
    <s v="Manhattan"/>
    <x v="3"/>
    <x v="162"/>
  </r>
  <r>
    <x v="130"/>
    <x v="3"/>
    <x v="1"/>
    <x v="132"/>
    <n v="82"/>
    <x v="0"/>
    <s v="The Bronx"/>
    <x v="3"/>
    <x v="163"/>
  </r>
  <r>
    <x v="131"/>
    <x v="15"/>
    <x v="4"/>
    <x v="133"/>
    <n v="81"/>
    <x v="1"/>
    <s v="Long Island"/>
    <x v="1"/>
    <x v="164"/>
  </r>
  <r>
    <x v="132"/>
    <x v="10"/>
    <x v="0"/>
    <x v="134"/>
    <n v="68"/>
    <x v="9"/>
    <s v="Staten Island"/>
    <x v="3"/>
    <x v="165"/>
  </r>
  <r>
    <x v="28"/>
    <x v="8"/>
    <x v="2"/>
    <x v="135"/>
    <n v="96"/>
    <x v="8"/>
    <s v="Upstate North"/>
    <x v="0"/>
    <x v="166"/>
  </r>
  <r>
    <x v="133"/>
    <x v="21"/>
    <x v="1"/>
    <x v="63"/>
    <n v="29"/>
    <x v="1"/>
    <s v="Staten Island"/>
    <x v="1"/>
    <x v="167"/>
  </r>
  <r>
    <x v="134"/>
    <x v="19"/>
    <x v="3"/>
    <x v="132"/>
    <n v="33"/>
    <x v="2"/>
    <s v="Queens"/>
    <x v="0"/>
    <x v="168"/>
  </r>
  <r>
    <x v="98"/>
    <x v="19"/>
    <x v="4"/>
    <x v="136"/>
    <n v="32"/>
    <x v="6"/>
    <s v="Central NY."/>
    <x v="0"/>
    <x v="169"/>
  </r>
  <r>
    <x v="135"/>
    <x v="17"/>
    <x v="1"/>
    <x v="137"/>
    <n v="56"/>
    <x v="5"/>
    <s v="Staten Island"/>
    <x v="0"/>
    <x v="170"/>
  </r>
  <r>
    <x v="136"/>
    <x v="18"/>
    <x v="4"/>
    <x v="29"/>
    <n v="94"/>
    <x v="7"/>
    <s v="Capital Region"/>
    <x v="0"/>
    <x v="171"/>
  </r>
  <r>
    <x v="137"/>
    <x v="18"/>
    <x v="4"/>
    <x v="69"/>
    <n v="53"/>
    <x v="0"/>
    <s v="The Bronx"/>
    <x v="1"/>
    <x v="172"/>
  </r>
  <r>
    <x v="26"/>
    <x v="17"/>
    <x v="2"/>
    <x v="13"/>
    <n v="82"/>
    <x v="8"/>
    <s v="The Bronx"/>
    <x v="2"/>
    <x v="173"/>
  </r>
  <r>
    <x v="138"/>
    <x v="14"/>
    <x v="0"/>
    <x v="105"/>
    <n v="70"/>
    <x v="5"/>
    <s v="Staten Island"/>
    <x v="4"/>
    <x v="174"/>
  </r>
  <r>
    <x v="139"/>
    <x v="9"/>
    <x v="3"/>
    <x v="138"/>
    <n v="76"/>
    <x v="6"/>
    <s v="Long Island"/>
    <x v="0"/>
    <x v="175"/>
  </r>
  <r>
    <x v="140"/>
    <x v="21"/>
    <x v="0"/>
    <x v="139"/>
    <n v="66"/>
    <x v="0"/>
    <s v="Queens"/>
    <x v="3"/>
    <x v="176"/>
  </r>
  <r>
    <x v="69"/>
    <x v="12"/>
    <x v="1"/>
    <x v="23"/>
    <n v="94"/>
    <x v="4"/>
    <s v="The Bronx"/>
    <x v="1"/>
    <x v="24"/>
  </r>
  <r>
    <x v="104"/>
    <x v="2"/>
    <x v="3"/>
    <x v="140"/>
    <n v="25"/>
    <x v="1"/>
    <s v="Queens"/>
    <x v="1"/>
    <x v="177"/>
  </r>
  <r>
    <x v="141"/>
    <x v="8"/>
    <x v="1"/>
    <x v="141"/>
    <n v="88"/>
    <x v="7"/>
    <s v="Central NY."/>
    <x v="1"/>
    <x v="178"/>
  </r>
  <r>
    <x v="22"/>
    <x v="21"/>
    <x v="0"/>
    <x v="76"/>
    <n v="78"/>
    <x v="5"/>
    <s v="Queens"/>
    <x v="1"/>
    <x v="134"/>
  </r>
  <r>
    <x v="73"/>
    <x v="8"/>
    <x v="1"/>
    <x v="142"/>
    <n v="45"/>
    <x v="1"/>
    <s v="Long Island"/>
    <x v="4"/>
    <x v="179"/>
  </r>
  <r>
    <x v="142"/>
    <x v="11"/>
    <x v="4"/>
    <x v="118"/>
    <n v="73"/>
    <x v="7"/>
    <s v="Brooklyn"/>
    <x v="1"/>
    <x v="180"/>
  </r>
  <r>
    <x v="143"/>
    <x v="3"/>
    <x v="1"/>
    <x v="143"/>
    <n v="61"/>
    <x v="7"/>
    <s v="Manhattan"/>
    <x v="1"/>
    <x v="181"/>
  </r>
  <r>
    <x v="89"/>
    <x v="9"/>
    <x v="2"/>
    <x v="144"/>
    <n v="99"/>
    <x v="9"/>
    <s v="Central NY."/>
    <x v="3"/>
    <x v="182"/>
  </r>
  <r>
    <x v="144"/>
    <x v="20"/>
    <x v="0"/>
    <x v="145"/>
    <n v="71"/>
    <x v="4"/>
    <s v="Staten Island"/>
    <x v="3"/>
    <x v="183"/>
  </r>
  <r>
    <x v="145"/>
    <x v="20"/>
    <x v="1"/>
    <x v="146"/>
    <n v="38"/>
    <x v="9"/>
    <s v="Central NY."/>
    <x v="4"/>
    <x v="184"/>
  </r>
  <r>
    <x v="146"/>
    <x v="8"/>
    <x v="0"/>
    <x v="99"/>
    <n v="100"/>
    <x v="4"/>
    <s v="The Bronx"/>
    <x v="1"/>
    <x v="185"/>
  </r>
  <r>
    <x v="147"/>
    <x v="21"/>
    <x v="0"/>
    <x v="147"/>
    <n v="39"/>
    <x v="1"/>
    <s v="Capital Region"/>
    <x v="3"/>
    <x v="186"/>
  </r>
  <r>
    <x v="148"/>
    <x v="14"/>
    <x v="3"/>
    <x v="70"/>
    <n v="55"/>
    <x v="5"/>
    <s v="Upstate West"/>
    <x v="0"/>
    <x v="187"/>
  </r>
  <r>
    <x v="112"/>
    <x v="7"/>
    <x v="4"/>
    <x v="129"/>
    <n v="91"/>
    <x v="4"/>
    <s v="Staten Island"/>
    <x v="2"/>
    <x v="188"/>
  </r>
  <r>
    <x v="149"/>
    <x v="21"/>
    <x v="3"/>
    <x v="120"/>
    <n v="38"/>
    <x v="4"/>
    <s v="Manhattan"/>
    <x v="0"/>
    <x v="189"/>
  </r>
  <r>
    <x v="71"/>
    <x v="4"/>
    <x v="0"/>
    <x v="148"/>
    <n v="97"/>
    <x v="7"/>
    <s v="Upstate West"/>
    <x v="4"/>
    <x v="190"/>
  </r>
  <r>
    <x v="147"/>
    <x v="6"/>
    <x v="2"/>
    <x v="21"/>
    <n v="22"/>
    <x v="2"/>
    <s v="Manhattan"/>
    <x v="0"/>
    <x v="22"/>
  </r>
  <r>
    <x v="25"/>
    <x v="17"/>
    <x v="3"/>
    <x v="114"/>
    <n v="55"/>
    <x v="2"/>
    <s v="Queens"/>
    <x v="3"/>
    <x v="191"/>
  </r>
  <r>
    <x v="150"/>
    <x v="10"/>
    <x v="0"/>
    <x v="48"/>
    <n v="84"/>
    <x v="6"/>
    <s v="Upstate North"/>
    <x v="2"/>
    <x v="192"/>
  </r>
  <r>
    <x v="151"/>
    <x v="9"/>
    <x v="2"/>
    <x v="149"/>
    <n v="93"/>
    <x v="0"/>
    <s v="Capital Region"/>
    <x v="2"/>
    <x v="193"/>
  </r>
  <r>
    <x v="152"/>
    <x v="7"/>
    <x v="4"/>
    <x v="150"/>
    <n v="50"/>
    <x v="6"/>
    <s v="Long Island"/>
    <x v="4"/>
    <x v="194"/>
  </r>
  <r>
    <x v="153"/>
    <x v="8"/>
    <x v="4"/>
    <x v="151"/>
    <n v="64"/>
    <x v="5"/>
    <s v="Staten Island"/>
    <x v="2"/>
    <x v="195"/>
  </r>
  <r>
    <x v="154"/>
    <x v="1"/>
    <x v="4"/>
    <x v="151"/>
    <n v="61"/>
    <x v="7"/>
    <s v="Brooklyn"/>
    <x v="4"/>
    <x v="196"/>
  </r>
  <r>
    <x v="122"/>
    <x v="15"/>
    <x v="2"/>
    <x v="152"/>
    <n v="48"/>
    <x v="9"/>
    <s v="Brooklyn"/>
    <x v="4"/>
    <x v="197"/>
  </r>
  <r>
    <x v="155"/>
    <x v="20"/>
    <x v="2"/>
    <x v="153"/>
    <n v="35"/>
    <x v="8"/>
    <s v="Capital Region"/>
    <x v="3"/>
    <x v="198"/>
  </r>
  <r>
    <x v="156"/>
    <x v="19"/>
    <x v="0"/>
    <x v="154"/>
    <n v="90"/>
    <x v="5"/>
    <s v="Central NY."/>
    <x v="3"/>
    <x v="199"/>
  </r>
  <r>
    <x v="157"/>
    <x v="9"/>
    <x v="1"/>
    <x v="5"/>
    <n v="68"/>
    <x v="1"/>
    <s v="Staten Island"/>
    <x v="2"/>
    <x v="200"/>
  </r>
  <r>
    <x v="24"/>
    <x v="14"/>
    <x v="1"/>
    <x v="87"/>
    <n v="94"/>
    <x v="2"/>
    <s v="Long Island"/>
    <x v="0"/>
    <x v="201"/>
  </r>
  <r>
    <x v="8"/>
    <x v="0"/>
    <x v="0"/>
    <x v="155"/>
    <n v="41"/>
    <x v="5"/>
    <s v="Staten Island"/>
    <x v="4"/>
    <x v="202"/>
  </r>
  <r>
    <x v="158"/>
    <x v="4"/>
    <x v="4"/>
    <x v="74"/>
    <n v="83"/>
    <x v="6"/>
    <s v="Brooklyn"/>
    <x v="0"/>
    <x v="203"/>
  </r>
  <r>
    <x v="159"/>
    <x v="16"/>
    <x v="2"/>
    <x v="156"/>
    <n v="51"/>
    <x v="9"/>
    <s v="Staten Island"/>
    <x v="3"/>
    <x v="204"/>
  </r>
  <r>
    <x v="111"/>
    <x v="17"/>
    <x v="4"/>
    <x v="157"/>
    <n v="74"/>
    <x v="1"/>
    <s v="Brooklyn"/>
    <x v="2"/>
    <x v="205"/>
  </r>
  <r>
    <x v="160"/>
    <x v="19"/>
    <x v="0"/>
    <x v="158"/>
    <n v="90"/>
    <x v="0"/>
    <s v="Queens"/>
    <x v="2"/>
    <x v="206"/>
  </r>
  <r>
    <x v="161"/>
    <x v="17"/>
    <x v="2"/>
    <x v="159"/>
    <n v="79"/>
    <x v="7"/>
    <s v="Manhattan"/>
    <x v="1"/>
    <x v="207"/>
  </r>
  <r>
    <x v="162"/>
    <x v="20"/>
    <x v="4"/>
    <x v="160"/>
    <n v="28"/>
    <x v="4"/>
    <s v="Manhattan"/>
    <x v="0"/>
    <x v="208"/>
  </r>
  <r>
    <x v="38"/>
    <x v="15"/>
    <x v="4"/>
    <x v="161"/>
    <n v="46"/>
    <x v="3"/>
    <s v="Staten Island"/>
    <x v="3"/>
    <x v="209"/>
  </r>
  <r>
    <x v="127"/>
    <x v="14"/>
    <x v="3"/>
    <x v="113"/>
    <n v="26"/>
    <x v="2"/>
    <s v="Staten Island"/>
    <x v="1"/>
    <x v="210"/>
  </r>
  <r>
    <x v="37"/>
    <x v="6"/>
    <x v="3"/>
    <x v="162"/>
    <n v="44"/>
    <x v="2"/>
    <s v="Upstate North"/>
    <x v="3"/>
    <x v="211"/>
  </r>
  <r>
    <x v="163"/>
    <x v="7"/>
    <x v="3"/>
    <x v="163"/>
    <n v="67"/>
    <x v="9"/>
    <s v="The Bronx"/>
    <x v="3"/>
    <x v="212"/>
  </r>
  <r>
    <x v="46"/>
    <x v="18"/>
    <x v="0"/>
    <x v="164"/>
    <n v="39"/>
    <x v="7"/>
    <s v="Brooklyn"/>
    <x v="1"/>
    <x v="213"/>
  </r>
  <r>
    <x v="43"/>
    <x v="7"/>
    <x v="4"/>
    <x v="27"/>
    <n v="89"/>
    <x v="6"/>
    <s v="The Bronx"/>
    <x v="0"/>
    <x v="214"/>
  </r>
  <r>
    <x v="164"/>
    <x v="2"/>
    <x v="2"/>
    <x v="165"/>
    <n v="43"/>
    <x v="3"/>
    <s v="Central NY."/>
    <x v="3"/>
    <x v="215"/>
  </r>
  <r>
    <x v="165"/>
    <x v="0"/>
    <x v="2"/>
    <x v="166"/>
    <n v="90"/>
    <x v="6"/>
    <s v="Upstate West"/>
    <x v="1"/>
    <x v="216"/>
  </r>
  <r>
    <x v="142"/>
    <x v="10"/>
    <x v="3"/>
    <x v="9"/>
    <n v="34"/>
    <x v="8"/>
    <s v="Capital Region"/>
    <x v="1"/>
    <x v="217"/>
  </r>
  <r>
    <x v="102"/>
    <x v="2"/>
    <x v="4"/>
    <x v="144"/>
    <n v="51"/>
    <x v="0"/>
    <s v="Manhattan"/>
    <x v="4"/>
    <x v="218"/>
  </r>
  <r>
    <x v="89"/>
    <x v="11"/>
    <x v="2"/>
    <x v="167"/>
    <n v="45"/>
    <x v="6"/>
    <s v="Brooklyn"/>
    <x v="0"/>
    <x v="219"/>
  </r>
  <r>
    <x v="166"/>
    <x v="12"/>
    <x v="0"/>
    <x v="168"/>
    <n v="78"/>
    <x v="6"/>
    <s v="Capital Region"/>
    <x v="3"/>
    <x v="220"/>
  </r>
  <r>
    <x v="12"/>
    <x v="0"/>
    <x v="4"/>
    <x v="169"/>
    <n v="85"/>
    <x v="6"/>
    <s v="Queens"/>
    <x v="2"/>
    <x v="221"/>
  </r>
  <r>
    <x v="167"/>
    <x v="14"/>
    <x v="3"/>
    <x v="170"/>
    <n v="100"/>
    <x v="4"/>
    <s v="Staten Island"/>
    <x v="1"/>
    <x v="222"/>
  </r>
  <r>
    <x v="168"/>
    <x v="19"/>
    <x v="1"/>
    <x v="167"/>
    <n v="95"/>
    <x v="1"/>
    <s v="Capital Region"/>
    <x v="3"/>
    <x v="223"/>
  </r>
  <r>
    <x v="49"/>
    <x v="12"/>
    <x v="0"/>
    <x v="60"/>
    <n v="88"/>
    <x v="5"/>
    <s v="Upstate West"/>
    <x v="3"/>
    <x v="224"/>
  </r>
  <r>
    <x v="169"/>
    <x v="19"/>
    <x v="2"/>
    <x v="171"/>
    <n v="86"/>
    <x v="1"/>
    <s v="Long Island"/>
    <x v="1"/>
    <x v="225"/>
  </r>
  <r>
    <x v="28"/>
    <x v="3"/>
    <x v="3"/>
    <x v="142"/>
    <n v="66"/>
    <x v="4"/>
    <s v="Upstate West"/>
    <x v="0"/>
    <x v="226"/>
  </r>
  <r>
    <x v="170"/>
    <x v="10"/>
    <x v="3"/>
    <x v="172"/>
    <n v="100"/>
    <x v="1"/>
    <s v="Manhattan"/>
    <x v="1"/>
    <x v="227"/>
  </r>
  <r>
    <x v="25"/>
    <x v="5"/>
    <x v="1"/>
    <x v="173"/>
    <n v="47"/>
    <x v="5"/>
    <s v="Upstate West"/>
    <x v="0"/>
    <x v="228"/>
  </r>
  <r>
    <x v="171"/>
    <x v="13"/>
    <x v="2"/>
    <x v="173"/>
    <n v="25"/>
    <x v="0"/>
    <s v="Long Island"/>
    <x v="2"/>
    <x v="229"/>
  </r>
  <r>
    <x v="172"/>
    <x v="18"/>
    <x v="1"/>
    <x v="174"/>
    <n v="51"/>
    <x v="7"/>
    <s v="Upstate North"/>
    <x v="0"/>
    <x v="230"/>
  </r>
  <r>
    <x v="50"/>
    <x v="7"/>
    <x v="3"/>
    <x v="158"/>
    <n v="73"/>
    <x v="5"/>
    <s v="Manhattan"/>
    <x v="2"/>
    <x v="231"/>
  </r>
  <r>
    <x v="68"/>
    <x v="19"/>
    <x v="1"/>
    <x v="175"/>
    <n v="42"/>
    <x v="4"/>
    <s v="Brooklyn"/>
    <x v="1"/>
    <x v="232"/>
  </r>
  <r>
    <x v="173"/>
    <x v="1"/>
    <x v="3"/>
    <x v="176"/>
    <n v="53"/>
    <x v="4"/>
    <s v="The Bronx"/>
    <x v="2"/>
    <x v="233"/>
  </r>
  <r>
    <x v="174"/>
    <x v="19"/>
    <x v="1"/>
    <x v="177"/>
    <n v="74"/>
    <x v="0"/>
    <s v="Manhattan"/>
    <x v="1"/>
    <x v="234"/>
  </r>
  <r>
    <x v="44"/>
    <x v="17"/>
    <x v="2"/>
    <x v="69"/>
    <n v="57"/>
    <x v="1"/>
    <s v="Brooklyn"/>
    <x v="1"/>
    <x v="235"/>
  </r>
  <r>
    <x v="144"/>
    <x v="1"/>
    <x v="4"/>
    <x v="75"/>
    <n v="57"/>
    <x v="1"/>
    <s v="Queens"/>
    <x v="0"/>
    <x v="236"/>
  </r>
  <r>
    <x v="132"/>
    <x v="15"/>
    <x v="4"/>
    <x v="127"/>
    <n v="77"/>
    <x v="6"/>
    <s v="Upstate West"/>
    <x v="2"/>
    <x v="237"/>
  </r>
  <r>
    <x v="63"/>
    <x v="11"/>
    <x v="1"/>
    <x v="130"/>
    <n v="40"/>
    <x v="5"/>
    <s v="Long Island"/>
    <x v="0"/>
    <x v="238"/>
  </r>
  <r>
    <x v="13"/>
    <x v="1"/>
    <x v="2"/>
    <x v="178"/>
    <n v="46"/>
    <x v="4"/>
    <s v="Staten Island"/>
    <x v="2"/>
    <x v="239"/>
  </r>
  <r>
    <x v="1"/>
    <x v="7"/>
    <x v="3"/>
    <x v="179"/>
    <n v="59"/>
    <x v="7"/>
    <s v="Long Island"/>
    <x v="1"/>
    <x v="240"/>
  </r>
  <r>
    <x v="175"/>
    <x v="14"/>
    <x v="1"/>
    <x v="58"/>
    <n v="75"/>
    <x v="8"/>
    <s v="Upstate West"/>
    <x v="4"/>
    <x v="241"/>
  </r>
  <r>
    <x v="37"/>
    <x v="5"/>
    <x v="1"/>
    <x v="39"/>
    <n v="54"/>
    <x v="4"/>
    <s v="Upstate North"/>
    <x v="2"/>
    <x v="242"/>
  </r>
  <r>
    <x v="176"/>
    <x v="10"/>
    <x v="1"/>
    <x v="180"/>
    <n v="52"/>
    <x v="3"/>
    <s v="Staten Island"/>
    <x v="2"/>
    <x v="243"/>
  </r>
  <r>
    <x v="62"/>
    <x v="13"/>
    <x v="0"/>
    <x v="159"/>
    <n v="69"/>
    <x v="1"/>
    <s v="Upstate North"/>
    <x v="4"/>
    <x v="244"/>
  </r>
  <r>
    <x v="177"/>
    <x v="14"/>
    <x v="2"/>
    <x v="181"/>
    <n v="33"/>
    <x v="3"/>
    <s v="Upstate West"/>
    <x v="2"/>
    <x v="245"/>
  </r>
  <r>
    <x v="143"/>
    <x v="3"/>
    <x v="4"/>
    <x v="81"/>
    <n v="32"/>
    <x v="8"/>
    <s v="Central NY."/>
    <x v="0"/>
    <x v="246"/>
  </r>
  <r>
    <x v="54"/>
    <x v="11"/>
    <x v="1"/>
    <x v="182"/>
    <n v="85"/>
    <x v="7"/>
    <s v="Brooklyn"/>
    <x v="1"/>
    <x v="247"/>
  </r>
  <r>
    <x v="178"/>
    <x v="4"/>
    <x v="1"/>
    <x v="183"/>
    <n v="30"/>
    <x v="9"/>
    <s v="Capital Region"/>
    <x v="2"/>
    <x v="248"/>
  </r>
  <r>
    <x v="179"/>
    <x v="1"/>
    <x v="4"/>
    <x v="184"/>
    <n v="29"/>
    <x v="6"/>
    <s v="Upstate West"/>
    <x v="4"/>
    <x v="249"/>
  </r>
  <r>
    <x v="2"/>
    <x v="10"/>
    <x v="4"/>
    <x v="185"/>
    <n v="95"/>
    <x v="0"/>
    <s v="Central NY."/>
    <x v="4"/>
    <x v="250"/>
  </r>
  <r>
    <x v="180"/>
    <x v="14"/>
    <x v="3"/>
    <x v="186"/>
    <n v="69"/>
    <x v="7"/>
    <s v="The Bronx"/>
    <x v="0"/>
    <x v="251"/>
  </r>
  <r>
    <x v="132"/>
    <x v="12"/>
    <x v="3"/>
    <x v="187"/>
    <n v="61"/>
    <x v="9"/>
    <s v="Manhattan"/>
    <x v="2"/>
    <x v="252"/>
  </r>
  <r>
    <x v="181"/>
    <x v="20"/>
    <x v="1"/>
    <x v="188"/>
    <n v="30"/>
    <x v="0"/>
    <s v="Central NY."/>
    <x v="1"/>
    <x v="253"/>
  </r>
  <r>
    <x v="111"/>
    <x v="15"/>
    <x v="3"/>
    <x v="189"/>
    <n v="45"/>
    <x v="8"/>
    <s v="Staten Island"/>
    <x v="2"/>
    <x v="254"/>
  </r>
  <r>
    <x v="18"/>
    <x v="2"/>
    <x v="3"/>
    <x v="190"/>
    <n v="39"/>
    <x v="7"/>
    <s v="Central NY."/>
    <x v="2"/>
    <x v="255"/>
  </r>
  <r>
    <x v="115"/>
    <x v="18"/>
    <x v="0"/>
    <x v="191"/>
    <n v="51"/>
    <x v="0"/>
    <s v="Upstate North"/>
    <x v="0"/>
    <x v="256"/>
  </r>
  <r>
    <x v="182"/>
    <x v="11"/>
    <x v="4"/>
    <x v="192"/>
    <n v="62"/>
    <x v="3"/>
    <s v="Queens"/>
    <x v="2"/>
    <x v="257"/>
  </r>
  <r>
    <x v="69"/>
    <x v="1"/>
    <x v="3"/>
    <x v="193"/>
    <n v="85"/>
    <x v="9"/>
    <s v="Brooklyn"/>
    <x v="4"/>
    <x v="258"/>
  </r>
  <r>
    <x v="173"/>
    <x v="8"/>
    <x v="2"/>
    <x v="91"/>
    <n v="99"/>
    <x v="6"/>
    <s v="Upstate West"/>
    <x v="1"/>
    <x v="259"/>
  </r>
  <r>
    <x v="182"/>
    <x v="2"/>
    <x v="0"/>
    <x v="5"/>
    <n v="39"/>
    <x v="1"/>
    <s v="Manhattan"/>
    <x v="1"/>
    <x v="260"/>
  </r>
  <r>
    <x v="138"/>
    <x v="19"/>
    <x v="1"/>
    <x v="76"/>
    <n v="20"/>
    <x v="8"/>
    <s v="Manhattan"/>
    <x v="1"/>
    <x v="261"/>
  </r>
  <r>
    <x v="183"/>
    <x v="10"/>
    <x v="4"/>
    <x v="194"/>
    <n v="42"/>
    <x v="2"/>
    <s v="Capital Region"/>
    <x v="0"/>
    <x v="262"/>
  </r>
  <r>
    <x v="184"/>
    <x v="4"/>
    <x v="3"/>
    <x v="195"/>
    <n v="74"/>
    <x v="2"/>
    <s v="Capital Region"/>
    <x v="1"/>
    <x v="263"/>
  </r>
  <r>
    <x v="185"/>
    <x v="3"/>
    <x v="1"/>
    <x v="66"/>
    <n v="26"/>
    <x v="1"/>
    <s v="The Bronx"/>
    <x v="1"/>
    <x v="264"/>
  </r>
  <r>
    <x v="48"/>
    <x v="9"/>
    <x v="4"/>
    <x v="196"/>
    <n v="53"/>
    <x v="6"/>
    <s v="Staten Island"/>
    <x v="2"/>
    <x v="265"/>
  </r>
  <r>
    <x v="186"/>
    <x v="3"/>
    <x v="1"/>
    <x v="119"/>
    <n v="80"/>
    <x v="6"/>
    <s v="Manhattan"/>
    <x v="4"/>
    <x v="266"/>
  </r>
  <r>
    <x v="35"/>
    <x v="6"/>
    <x v="0"/>
    <x v="197"/>
    <n v="98"/>
    <x v="6"/>
    <s v="Upstate West"/>
    <x v="1"/>
    <x v="267"/>
  </r>
  <r>
    <x v="180"/>
    <x v="15"/>
    <x v="2"/>
    <x v="198"/>
    <n v="95"/>
    <x v="4"/>
    <s v="Upstate West"/>
    <x v="0"/>
    <x v="268"/>
  </r>
  <r>
    <x v="187"/>
    <x v="5"/>
    <x v="3"/>
    <x v="111"/>
    <n v="44"/>
    <x v="1"/>
    <s v="Capital Region"/>
    <x v="0"/>
    <x v="269"/>
  </r>
  <r>
    <x v="188"/>
    <x v="14"/>
    <x v="4"/>
    <x v="149"/>
    <n v="60"/>
    <x v="1"/>
    <s v="Capital Region"/>
    <x v="0"/>
    <x v="270"/>
  </r>
  <r>
    <x v="189"/>
    <x v="11"/>
    <x v="2"/>
    <x v="199"/>
    <n v="30"/>
    <x v="5"/>
    <s v="Manhattan"/>
    <x v="3"/>
    <x v="271"/>
  </r>
  <r>
    <x v="190"/>
    <x v="16"/>
    <x v="1"/>
    <x v="200"/>
    <n v="40"/>
    <x v="3"/>
    <s v="Long Island"/>
    <x v="3"/>
    <x v="272"/>
  </r>
  <r>
    <x v="36"/>
    <x v="10"/>
    <x v="0"/>
    <x v="201"/>
    <n v="49"/>
    <x v="8"/>
    <s v="Queens"/>
    <x v="0"/>
    <x v="273"/>
  </r>
  <r>
    <x v="191"/>
    <x v="3"/>
    <x v="2"/>
    <x v="202"/>
    <n v="32"/>
    <x v="8"/>
    <s v="Upstate North"/>
    <x v="4"/>
    <x v="274"/>
  </r>
  <r>
    <x v="74"/>
    <x v="12"/>
    <x v="0"/>
    <x v="194"/>
    <n v="29"/>
    <x v="5"/>
    <s v="Upstate West"/>
    <x v="2"/>
    <x v="275"/>
  </r>
  <r>
    <x v="169"/>
    <x v="10"/>
    <x v="0"/>
    <x v="19"/>
    <n v="22"/>
    <x v="5"/>
    <s v="Capital Region"/>
    <x v="1"/>
    <x v="276"/>
  </r>
  <r>
    <x v="192"/>
    <x v="12"/>
    <x v="3"/>
    <x v="203"/>
    <n v="85"/>
    <x v="2"/>
    <s v="Upstate West"/>
    <x v="0"/>
    <x v="277"/>
  </r>
  <r>
    <x v="90"/>
    <x v="5"/>
    <x v="0"/>
    <x v="166"/>
    <n v="52"/>
    <x v="4"/>
    <s v="Brooklyn"/>
    <x v="0"/>
    <x v="278"/>
  </r>
  <r>
    <x v="193"/>
    <x v="0"/>
    <x v="0"/>
    <x v="204"/>
    <n v="89"/>
    <x v="8"/>
    <s v="The Bronx"/>
    <x v="4"/>
    <x v="279"/>
  </r>
  <r>
    <x v="55"/>
    <x v="0"/>
    <x v="0"/>
    <x v="205"/>
    <n v="49"/>
    <x v="1"/>
    <s v="Queens"/>
    <x v="3"/>
    <x v="280"/>
  </r>
  <r>
    <x v="167"/>
    <x v="13"/>
    <x v="4"/>
    <x v="206"/>
    <n v="24"/>
    <x v="2"/>
    <s v="Capital Region"/>
    <x v="4"/>
    <x v="281"/>
  </r>
  <r>
    <x v="194"/>
    <x v="16"/>
    <x v="3"/>
    <x v="45"/>
    <n v="24"/>
    <x v="7"/>
    <s v="Long Island"/>
    <x v="0"/>
    <x v="282"/>
  </r>
  <r>
    <x v="195"/>
    <x v="14"/>
    <x v="0"/>
    <x v="205"/>
    <n v="22"/>
    <x v="7"/>
    <s v="The Bronx"/>
    <x v="0"/>
    <x v="283"/>
  </r>
  <r>
    <x v="35"/>
    <x v="0"/>
    <x v="2"/>
    <x v="207"/>
    <n v="45"/>
    <x v="1"/>
    <s v="Long Island"/>
    <x v="3"/>
    <x v="284"/>
  </r>
  <r>
    <x v="182"/>
    <x v="17"/>
    <x v="3"/>
    <x v="152"/>
    <n v="67"/>
    <x v="3"/>
    <s v="Queens"/>
    <x v="0"/>
    <x v="285"/>
  </r>
  <r>
    <x v="91"/>
    <x v="11"/>
    <x v="1"/>
    <x v="208"/>
    <n v="74"/>
    <x v="8"/>
    <s v="Staten Island"/>
    <x v="0"/>
    <x v="286"/>
  </r>
  <r>
    <x v="109"/>
    <x v="15"/>
    <x v="2"/>
    <x v="38"/>
    <n v="72"/>
    <x v="6"/>
    <s v="Staten Island"/>
    <x v="1"/>
    <x v="15"/>
  </r>
  <r>
    <x v="111"/>
    <x v="5"/>
    <x v="1"/>
    <x v="57"/>
    <n v="36"/>
    <x v="3"/>
    <s v="Capital Region"/>
    <x v="1"/>
    <x v="287"/>
  </r>
  <r>
    <x v="184"/>
    <x v="18"/>
    <x v="0"/>
    <x v="2"/>
    <n v="95"/>
    <x v="6"/>
    <s v="Staten Island"/>
    <x v="2"/>
    <x v="288"/>
  </r>
  <r>
    <x v="173"/>
    <x v="4"/>
    <x v="0"/>
    <x v="101"/>
    <n v="78"/>
    <x v="6"/>
    <s v="The Bronx"/>
    <x v="4"/>
    <x v="289"/>
  </r>
  <r>
    <x v="196"/>
    <x v="11"/>
    <x v="0"/>
    <x v="209"/>
    <n v="82"/>
    <x v="3"/>
    <s v="Upstate North"/>
    <x v="1"/>
    <x v="290"/>
  </r>
  <r>
    <x v="188"/>
    <x v="5"/>
    <x v="4"/>
    <x v="153"/>
    <n v="70"/>
    <x v="3"/>
    <s v="Central NY."/>
    <x v="0"/>
    <x v="291"/>
  </r>
  <r>
    <x v="121"/>
    <x v="6"/>
    <x v="0"/>
    <x v="210"/>
    <n v="41"/>
    <x v="5"/>
    <s v="Upstate West"/>
    <x v="0"/>
    <x v="292"/>
  </r>
  <r>
    <x v="197"/>
    <x v="19"/>
    <x v="2"/>
    <x v="211"/>
    <n v="42"/>
    <x v="3"/>
    <s v="The Bronx"/>
    <x v="1"/>
    <x v="293"/>
  </r>
  <r>
    <x v="101"/>
    <x v="15"/>
    <x v="3"/>
    <x v="212"/>
    <n v="50"/>
    <x v="1"/>
    <s v="Upstate North"/>
    <x v="0"/>
    <x v="294"/>
  </r>
  <r>
    <x v="72"/>
    <x v="2"/>
    <x v="3"/>
    <x v="90"/>
    <n v="31"/>
    <x v="9"/>
    <s v="Capital Region"/>
    <x v="1"/>
    <x v="295"/>
  </r>
  <r>
    <x v="198"/>
    <x v="19"/>
    <x v="3"/>
    <x v="53"/>
    <n v="51"/>
    <x v="9"/>
    <s v="Queens"/>
    <x v="1"/>
    <x v="296"/>
  </r>
  <r>
    <x v="199"/>
    <x v="21"/>
    <x v="0"/>
    <x v="213"/>
    <n v="26"/>
    <x v="0"/>
    <s v="Upstate North"/>
    <x v="3"/>
    <x v="297"/>
  </r>
  <r>
    <x v="200"/>
    <x v="21"/>
    <x v="1"/>
    <x v="214"/>
    <n v="86"/>
    <x v="2"/>
    <s v="Capital Region"/>
    <x v="4"/>
    <x v="298"/>
  </r>
  <r>
    <x v="171"/>
    <x v="11"/>
    <x v="2"/>
    <x v="215"/>
    <n v="64"/>
    <x v="3"/>
    <s v="Long Island"/>
    <x v="2"/>
    <x v="299"/>
  </r>
  <r>
    <x v="201"/>
    <x v="7"/>
    <x v="1"/>
    <x v="99"/>
    <n v="46"/>
    <x v="9"/>
    <s v="Queens"/>
    <x v="4"/>
    <x v="300"/>
  </r>
  <r>
    <x v="157"/>
    <x v="10"/>
    <x v="1"/>
    <x v="197"/>
    <n v="85"/>
    <x v="4"/>
    <s v="Staten Island"/>
    <x v="1"/>
    <x v="301"/>
  </r>
  <r>
    <x v="77"/>
    <x v="18"/>
    <x v="1"/>
    <x v="216"/>
    <n v="81"/>
    <x v="1"/>
    <s v="Upstate North"/>
    <x v="2"/>
    <x v="302"/>
  </r>
  <r>
    <x v="202"/>
    <x v="13"/>
    <x v="0"/>
    <x v="217"/>
    <n v="59"/>
    <x v="7"/>
    <s v="Upstate North"/>
    <x v="0"/>
    <x v="303"/>
  </r>
  <r>
    <x v="203"/>
    <x v="18"/>
    <x v="3"/>
    <x v="218"/>
    <n v="79"/>
    <x v="4"/>
    <s v="Brooklyn"/>
    <x v="4"/>
    <x v="304"/>
  </r>
  <r>
    <x v="129"/>
    <x v="3"/>
    <x v="3"/>
    <x v="219"/>
    <n v="87"/>
    <x v="1"/>
    <s v="Upstate West"/>
    <x v="3"/>
    <x v="305"/>
  </r>
  <r>
    <x v="99"/>
    <x v="19"/>
    <x v="0"/>
    <x v="15"/>
    <n v="47"/>
    <x v="5"/>
    <s v="Queens"/>
    <x v="0"/>
    <x v="306"/>
  </r>
  <r>
    <x v="143"/>
    <x v="10"/>
    <x v="3"/>
    <x v="220"/>
    <n v="20"/>
    <x v="9"/>
    <s v="Upstate West"/>
    <x v="2"/>
    <x v="307"/>
  </r>
  <r>
    <x v="204"/>
    <x v="14"/>
    <x v="3"/>
    <x v="20"/>
    <n v="36"/>
    <x v="9"/>
    <s v="Upstate North"/>
    <x v="4"/>
    <x v="308"/>
  </r>
  <r>
    <x v="108"/>
    <x v="9"/>
    <x v="0"/>
    <x v="140"/>
    <n v="36"/>
    <x v="0"/>
    <s v="Upstate North"/>
    <x v="3"/>
    <x v="309"/>
  </r>
  <r>
    <x v="107"/>
    <x v="21"/>
    <x v="0"/>
    <x v="219"/>
    <n v="71"/>
    <x v="7"/>
    <s v="Long Island"/>
    <x v="4"/>
    <x v="310"/>
  </r>
  <r>
    <x v="181"/>
    <x v="21"/>
    <x v="4"/>
    <x v="120"/>
    <n v="59"/>
    <x v="3"/>
    <s v="Central NY."/>
    <x v="1"/>
    <x v="311"/>
  </r>
  <r>
    <x v="64"/>
    <x v="11"/>
    <x v="1"/>
    <x v="221"/>
    <n v="50"/>
    <x v="1"/>
    <s v="Brooklyn"/>
    <x v="2"/>
    <x v="312"/>
  </r>
  <r>
    <x v="205"/>
    <x v="20"/>
    <x v="2"/>
    <x v="66"/>
    <n v="41"/>
    <x v="5"/>
    <s v="Staten Island"/>
    <x v="2"/>
    <x v="76"/>
  </r>
  <r>
    <x v="206"/>
    <x v="15"/>
    <x v="3"/>
    <x v="16"/>
    <n v="68"/>
    <x v="9"/>
    <s v="Queens"/>
    <x v="3"/>
    <x v="301"/>
  </r>
  <r>
    <x v="14"/>
    <x v="3"/>
    <x v="1"/>
    <x v="150"/>
    <n v="87"/>
    <x v="1"/>
    <s v="Manhattan"/>
    <x v="4"/>
    <x v="313"/>
  </r>
  <r>
    <x v="2"/>
    <x v="4"/>
    <x v="1"/>
    <x v="222"/>
    <n v="68"/>
    <x v="4"/>
    <s v="Brooklyn"/>
    <x v="0"/>
    <x v="63"/>
  </r>
  <r>
    <x v="186"/>
    <x v="9"/>
    <x v="4"/>
    <x v="60"/>
    <n v="90"/>
    <x v="7"/>
    <s v="Central NY."/>
    <x v="2"/>
    <x v="314"/>
  </r>
  <r>
    <x v="67"/>
    <x v="12"/>
    <x v="1"/>
    <x v="223"/>
    <n v="72"/>
    <x v="3"/>
    <s v="Queens"/>
    <x v="3"/>
    <x v="315"/>
  </r>
  <r>
    <x v="207"/>
    <x v="1"/>
    <x v="0"/>
    <x v="119"/>
    <n v="64"/>
    <x v="2"/>
    <s v="Manhattan"/>
    <x v="0"/>
    <x v="316"/>
  </r>
  <r>
    <x v="208"/>
    <x v="20"/>
    <x v="1"/>
    <x v="146"/>
    <n v="85"/>
    <x v="3"/>
    <s v="Brooklyn"/>
    <x v="3"/>
    <x v="317"/>
  </r>
  <r>
    <x v="209"/>
    <x v="8"/>
    <x v="4"/>
    <x v="224"/>
    <n v="42"/>
    <x v="1"/>
    <s v="Staten Island"/>
    <x v="2"/>
    <x v="318"/>
  </r>
  <r>
    <x v="26"/>
    <x v="14"/>
    <x v="1"/>
    <x v="225"/>
    <n v="80"/>
    <x v="6"/>
    <s v="Upstate West"/>
    <x v="1"/>
    <x v="319"/>
  </r>
  <r>
    <x v="210"/>
    <x v="21"/>
    <x v="4"/>
    <x v="226"/>
    <n v="39"/>
    <x v="0"/>
    <s v="Long Island"/>
    <x v="3"/>
    <x v="320"/>
  </r>
  <r>
    <x v="211"/>
    <x v="19"/>
    <x v="4"/>
    <x v="227"/>
    <n v="25"/>
    <x v="9"/>
    <s v="Long Island"/>
    <x v="2"/>
    <x v="321"/>
  </r>
  <r>
    <x v="89"/>
    <x v="12"/>
    <x v="2"/>
    <x v="228"/>
    <n v="74"/>
    <x v="9"/>
    <s v="Manhattan"/>
    <x v="1"/>
    <x v="322"/>
  </r>
  <r>
    <x v="212"/>
    <x v="7"/>
    <x v="4"/>
    <x v="104"/>
    <n v="30"/>
    <x v="2"/>
    <s v="Upstate North"/>
    <x v="1"/>
    <x v="23"/>
  </r>
  <r>
    <x v="67"/>
    <x v="13"/>
    <x v="4"/>
    <x v="185"/>
    <n v="60"/>
    <x v="2"/>
    <s v="Brooklyn"/>
    <x v="3"/>
    <x v="323"/>
  </r>
  <r>
    <x v="212"/>
    <x v="2"/>
    <x v="3"/>
    <x v="95"/>
    <n v="49"/>
    <x v="1"/>
    <s v="Upstate North"/>
    <x v="3"/>
    <x v="324"/>
  </r>
  <r>
    <x v="191"/>
    <x v="7"/>
    <x v="1"/>
    <x v="229"/>
    <n v="88"/>
    <x v="5"/>
    <s v="Brooklyn"/>
    <x v="4"/>
    <x v="325"/>
  </r>
  <r>
    <x v="34"/>
    <x v="3"/>
    <x v="4"/>
    <x v="37"/>
    <n v="88"/>
    <x v="6"/>
    <s v="Central NY."/>
    <x v="0"/>
    <x v="326"/>
  </r>
  <r>
    <x v="213"/>
    <x v="14"/>
    <x v="0"/>
    <x v="230"/>
    <n v="88"/>
    <x v="5"/>
    <s v="Long Island"/>
    <x v="4"/>
    <x v="327"/>
  </r>
  <r>
    <x v="214"/>
    <x v="14"/>
    <x v="1"/>
    <x v="217"/>
    <n v="64"/>
    <x v="5"/>
    <s v="Capital Region"/>
    <x v="3"/>
    <x v="328"/>
  </r>
  <r>
    <x v="138"/>
    <x v="18"/>
    <x v="0"/>
    <x v="151"/>
    <n v="56"/>
    <x v="5"/>
    <s v="Central NY."/>
    <x v="3"/>
    <x v="329"/>
  </r>
  <r>
    <x v="17"/>
    <x v="13"/>
    <x v="3"/>
    <x v="231"/>
    <n v="69"/>
    <x v="8"/>
    <s v="Staten Island"/>
    <x v="3"/>
    <x v="330"/>
  </r>
  <r>
    <x v="215"/>
    <x v="19"/>
    <x v="1"/>
    <x v="232"/>
    <n v="40"/>
    <x v="9"/>
    <s v="Upstate West"/>
    <x v="4"/>
    <x v="331"/>
  </r>
  <r>
    <x v="216"/>
    <x v="9"/>
    <x v="2"/>
    <x v="233"/>
    <n v="34"/>
    <x v="1"/>
    <s v="Capital Region"/>
    <x v="0"/>
    <x v="18"/>
  </r>
  <r>
    <x v="217"/>
    <x v="17"/>
    <x v="0"/>
    <x v="58"/>
    <n v="83"/>
    <x v="2"/>
    <s v="The Bronx"/>
    <x v="0"/>
    <x v="332"/>
  </r>
  <r>
    <x v="17"/>
    <x v="12"/>
    <x v="3"/>
    <x v="48"/>
    <n v="85"/>
    <x v="9"/>
    <s v="Capital Region"/>
    <x v="4"/>
    <x v="333"/>
  </r>
  <r>
    <x v="164"/>
    <x v="18"/>
    <x v="1"/>
    <x v="179"/>
    <n v="27"/>
    <x v="2"/>
    <s v="Queens"/>
    <x v="2"/>
    <x v="334"/>
  </r>
  <r>
    <x v="218"/>
    <x v="15"/>
    <x v="4"/>
    <x v="24"/>
    <n v="78"/>
    <x v="3"/>
    <s v="Staten Island"/>
    <x v="0"/>
    <x v="335"/>
  </r>
  <r>
    <x v="219"/>
    <x v="9"/>
    <x v="0"/>
    <x v="234"/>
    <n v="32"/>
    <x v="2"/>
    <s v="Central NY."/>
    <x v="4"/>
    <x v="336"/>
  </r>
  <r>
    <x v="220"/>
    <x v="6"/>
    <x v="3"/>
    <x v="111"/>
    <n v="51"/>
    <x v="2"/>
    <s v="Manhattan"/>
    <x v="0"/>
    <x v="337"/>
  </r>
  <r>
    <x v="90"/>
    <x v="11"/>
    <x v="0"/>
    <x v="113"/>
    <n v="32"/>
    <x v="5"/>
    <s v="Brooklyn"/>
    <x v="0"/>
    <x v="338"/>
  </r>
  <r>
    <x v="76"/>
    <x v="13"/>
    <x v="1"/>
    <x v="235"/>
    <n v="62"/>
    <x v="2"/>
    <s v="Brooklyn"/>
    <x v="0"/>
    <x v="339"/>
  </r>
  <r>
    <x v="69"/>
    <x v="13"/>
    <x v="2"/>
    <x v="236"/>
    <n v="29"/>
    <x v="1"/>
    <s v="Capital Region"/>
    <x v="4"/>
    <x v="340"/>
  </r>
  <r>
    <x v="221"/>
    <x v="7"/>
    <x v="3"/>
    <x v="237"/>
    <n v="69"/>
    <x v="0"/>
    <s v="Capital Region"/>
    <x v="4"/>
    <x v="341"/>
  </r>
  <r>
    <x v="205"/>
    <x v="7"/>
    <x v="1"/>
    <x v="90"/>
    <n v="25"/>
    <x v="7"/>
    <s v="Staten Island"/>
    <x v="0"/>
    <x v="342"/>
  </r>
  <r>
    <x v="222"/>
    <x v="15"/>
    <x v="3"/>
    <x v="185"/>
    <n v="76"/>
    <x v="6"/>
    <s v="Staten Island"/>
    <x v="4"/>
    <x v="343"/>
  </r>
  <r>
    <x v="147"/>
    <x v="12"/>
    <x v="3"/>
    <x v="228"/>
    <n v="77"/>
    <x v="4"/>
    <s v="Staten Island"/>
    <x v="1"/>
    <x v="344"/>
  </r>
  <r>
    <x v="156"/>
    <x v="17"/>
    <x v="3"/>
    <x v="238"/>
    <n v="33"/>
    <x v="2"/>
    <s v="Manhattan"/>
    <x v="2"/>
    <x v="345"/>
  </r>
  <r>
    <x v="172"/>
    <x v="17"/>
    <x v="1"/>
    <x v="239"/>
    <n v="93"/>
    <x v="5"/>
    <s v="Staten Island"/>
    <x v="1"/>
    <x v="346"/>
  </r>
  <r>
    <x v="223"/>
    <x v="7"/>
    <x v="1"/>
    <x v="16"/>
    <n v="39"/>
    <x v="7"/>
    <s v="Long Island"/>
    <x v="0"/>
    <x v="192"/>
  </r>
  <r>
    <x v="224"/>
    <x v="17"/>
    <x v="2"/>
    <x v="240"/>
    <n v="93"/>
    <x v="2"/>
    <s v="Upstate West"/>
    <x v="2"/>
    <x v="347"/>
  </r>
  <r>
    <x v="80"/>
    <x v="21"/>
    <x v="1"/>
    <x v="7"/>
    <n v="82"/>
    <x v="5"/>
    <s v="Central NY."/>
    <x v="1"/>
    <x v="348"/>
  </r>
  <r>
    <x v="225"/>
    <x v="3"/>
    <x v="3"/>
    <x v="241"/>
    <n v="42"/>
    <x v="9"/>
    <s v="Brooklyn"/>
    <x v="0"/>
    <x v="349"/>
  </r>
  <r>
    <x v="11"/>
    <x v="0"/>
    <x v="4"/>
    <x v="242"/>
    <n v="71"/>
    <x v="8"/>
    <s v="Queens"/>
    <x v="0"/>
    <x v="350"/>
  </r>
  <r>
    <x v="226"/>
    <x v="6"/>
    <x v="0"/>
    <x v="211"/>
    <n v="53"/>
    <x v="5"/>
    <s v="Queens"/>
    <x v="3"/>
    <x v="351"/>
  </r>
  <r>
    <x v="227"/>
    <x v="15"/>
    <x v="0"/>
    <x v="57"/>
    <n v="82"/>
    <x v="3"/>
    <s v="Long Island"/>
    <x v="4"/>
    <x v="352"/>
  </r>
  <r>
    <x v="12"/>
    <x v="14"/>
    <x v="0"/>
    <x v="185"/>
    <n v="57"/>
    <x v="3"/>
    <s v="Staten Island"/>
    <x v="3"/>
    <x v="353"/>
  </r>
  <r>
    <x v="86"/>
    <x v="6"/>
    <x v="2"/>
    <x v="175"/>
    <n v="29"/>
    <x v="1"/>
    <s v="Queens"/>
    <x v="1"/>
    <x v="354"/>
  </r>
  <r>
    <x v="191"/>
    <x v="13"/>
    <x v="2"/>
    <x v="243"/>
    <n v="65"/>
    <x v="8"/>
    <s v="Central NY."/>
    <x v="1"/>
    <x v="355"/>
  </r>
  <r>
    <x v="228"/>
    <x v="21"/>
    <x v="4"/>
    <x v="21"/>
    <n v="48"/>
    <x v="4"/>
    <s v="Central NY."/>
    <x v="3"/>
    <x v="356"/>
  </r>
  <r>
    <x v="9"/>
    <x v="19"/>
    <x v="4"/>
    <x v="244"/>
    <n v="46"/>
    <x v="7"/>
    <s v="Upstate West"/>
    <x v="1"/>
    <x v="357"/>
  </r>
  <r>
    <x v="202"/>
    <x v="9"/>
    <x v="3"/>
    <x v="237"/>
    <n v="67"/>
    <x v="5"/>
    <s v="Long Island"/>
    <x v="4"/>
    <x v="358"/>
  </r>
  <r>
    <x v="229"/>
    <x v="18"/>
    <x v="3"/>
    <x v="76"/>
    <n v="88"/>
    <x v="9"/>
    <s v="Upstate West"/>
    <x v="3"/>
    <x v="246"/>
  </r>
  <r>
    <x v="11"/>
    <x v="14"/>
    <x v="4"/>
    <x v="245"/>
    <n v="66"/>
    <x v="3"/>
    <s v="Upstate West"/>
    <x v="2"/>
    <x v="359"/>
  </r>
  <r>
    <x v="72"/>
    <x v="4"/>
    <x v="2"/>
    <x v="246"/>
    <n v="91"/>
    <x v="7"/>
    <s v="Queens"/>
    <x v="0"/>
    <x v="360"/>
  </r>
  <r>
    <x v="230"/>
    <x v="9"/>
    <x v="2"/>
    <x v="247"/>
    <n v="78"/>
    <x v="0"/>
    <s v="Long Island"/>
    <x v="1"/>
    <x v="361"/>
  </r>
  <r>
    <x v="128"/>
    <x v="16"/>
    <x v="2"/>
    <x v="119"/>
    <n v="63"/>
    <x v="2"/>
    <s v="The Bronx"/>
    <x v="3"/>
    <x v="362"/>
  </r>
  <r>
    <x v="43"/>
    <x v="7"/>
    <x v="0"/>
    <x v="248"/>
    <n v="93"/>
    <x v="0"/>
    <s v="Upstate West"/>
    <x v="0"/>
    <x v="363"/>
  </r>
  <r>
    <x v="49"/>
    <x v="9"/>
    <x v="1"/>
    <x v="249"/>
    <n v="27"/>
    <x v="7"/>
    <s v="Long Island"/>
    <x v="3"/>
    <x v="364"/>
  </r>
  <r>
    <x v="131"/>
    <x v="0"/>
    <x v="1"/>
    <x v="250"/>
    <n v="55"/>
    <x v="6"/>
    <s v="Central NY."/>
    <x v="2"/>
    <x v="365"/>
  </r>
  <r>
    <x v="125"/>
    <x v="2"/>
    <x v="2"/>
    <x v="37"/>
    <n v="76"/>
    <x v="3"/>
    <s v="Upstate West"/>
    <x v="2"/>
    <x v="366"/>
  </r>
  <r>
    <x v="89"/>
    <x v="4"/>
    <x v="0"/>
    <x v="104"/>
    <n v="66"/>
    <x v="6"/>
    <s v="Staten Island"/>
    <x v="2"/>
    <x v="367"/>
  </r>
  <r>
    <x v="150"/>
    <x v="18"/>
    <x v="2"/>
    <x v="251"/>
    <n v="51"/>
    <x v="4"/>
    <s v="Central NY."/>
    <x v="1"/>
    <x v="368"/>
  </r>
  <r>
    <x v="231"/>
    <x v="3"/>
    <x v="3"/>
    <x v="220"/>
    <n v="26"/>
    <x v="0"/>
    <s v="Long Island"/>
    <x v="0"/>
    <x v="369"/>
  </r>
  <r>
    <x v="138"/>
    <x v="18"/>
    <x v="1"/>
    <x v="252"/>
    <n v="29"/>
    <x v="1"/>
    <s v="Long Island"/>
    <x v="1"/>
    <x v="370"/>
  </r>
  <r>
    <x v="100"/>
    <x v="1"/>
    <x v="4"/>
    <x v="107"/>
    <n v="74"/>
    <x v="3"/>
    <s v="Capital Region"/>
    <x v="2"/>
    <x v="371"/>
  </r>
  <r>
    <x v="232"/>
    <x v="4"/>
    <x v="2"/>
    <x v="219"/>
    <n v="99"/>
    <x v="4"/>
    <s v="Upstate North"/>
    <x v="2"/>
    <x v="372"/>
  </r>
  <r>
    <x v="233"/>
    <x v="15"/>
    <x v="4"/>
    <x v="253"/>
    <n v="88"/>
    <x v="6"/>
    <s v="Brooklyn"/>
    <x v="0"/>
    <x v="373"/>
  </r>
  <r>
    <x v="132"/>
    <x v="12"/>
    <x v="1"/>
    <x v="215"/>
    <n v="31"/>
    <x v="8"/>
    <s v="Manhattan"/>
    <x v="0"/>
    <x v="374"/>
  </r>
  <r>
    <x v="167"/>
    <x v="9"/>
    <x v="1"/>
    <x v="254"/>
    <n v="55"/>
    <x v="4"/>
    <s v="Upstate North"/>
    <x v="2"/>
    <x v="375"/>
  </r>
  <r>
    <x v="164"/>
    <x v="12"/>
    <x v="2"/>
    <x v="48"/>
    <n v="81"/>
    <x v="9"/>
    <s v="Long Island"/>
    <x v="2"/>
    <x v="376"/>
  </r>
  <r>
    <x v="207"/>
    <x v="0"/>
    <x v="0"/>
    <x v="176"/>
    <n v="73"/>
    <x v="9"/>
    <s v="Brooklyn"/>
    <x v="0"/>
    <x v="377"/>
  </r>
  <r>
    <x v="234"/>
    <x v="3"/>
    <x v="3"/>
    <x v="255"/>
    <n v="91"/>
    <x v="6"/>
    <s v="Brooklyn"/>
    <x v="2"/>
    <x v="378"/>
  </r>
  <r>
    <x v="235"/>
    <x v="0"/>
    <x v="3"/>
    <x v="256"/>
    <n v="56"/>
    <x v="2"/>
    <s v="Upstate North"/>
    <x v="3"/>
    <x v="379"/>
  </r>
  <r>
    <x v="176"/>
    <x v="3"/>
    <x v="3"/>
    <x v="257"/>
    <n v="40"/>
    <x v="9"/>
    <s v="Upstate West"/>
    <x v="1"/>
    <x v="380"/>
  </r>
  <r>
    <x v="226"/>
    <x v="10"/>
    <x v="0"/>
    <x v="229"/>
    <n v="59"/>
    <x v="1"/>
    <s v="Long Island"/>
    <x v="0"/>
    <x v="381"/>
  </r>
  <r>
    <x v="49"/>
    <x v="9"/>
    <x v="1"/>
    <x v="208"/>
    <n v="26"/>
    <x v="4"/>
    <s v="Upstate West"/>
    <x v="2"/>
    <x v="382"/>
  </r>
  <r>
    <x v="204"/>
    <x v="12"/>
    <x v="1"/>
    <x v="94"/>
    <n v="59"/>
    <x v="4"/>
    <s v="The Bronx"/>
    <x v="3"/>
    <x v="383"/>
  </r>
  <r>
    <x v="156"/>
    <x v="0"/>
    <x v="0"/>
    <x v="258"/>
    <n v="87"/>
    <x v="4"/>
    <s v="Central NY."/>
    <x v="2"/>
    <x v="384"/>
  </r>
  <r>
    <x v="236"/>
    <x v="7"/>
    <x v="3"/>
    <x v="60"/>
    <n v="71"/>
    <x v="3"/>
    <s v="The Bronx"/>
    <x v="4"/>
    <x v="385"/>
  </r>
  <r>
    <x v="237"/>
    <x v="15"/>
    <x v="3"/>
    <x v="185"/>
    <n v="91"/>
    <x v="7"/>
    <s v="The Bronx"/>
    <x v="1"/>
    <x v="386"/>
  </r>
  <r>
    <x v="53"/>
    <x v="0"/>
    <x v="1"/>
    <x v="90"/>
    <n v="45"/>
    <x v="9"/>
    <s v="Brooklyn"/>
    <x v="3"/>
    <x v="92"/>
  </r>
  <r>
    <x v="166"/>
    <x v="0"/>
    <x v="0"/>
    <x v="30"/>
    <n v="94"/>
    <x v="2"/>
    <s v="Long Island"/>
    <x v="2"/>
    <x v="387"/>
  </r>
  <r>
    <x v="136"/>
    <x v="14"/>
    <x v="3"/>
    <x v="259"/>
    <n v="40"/>
    <x v="0"/>
    <s v="Upstate West"/>
    <x v="4"/>
    <x v="388"/>
  </r>
  <r>
    <x v="238"/>
    <x v="21"/>
    <x v="1"/>
    <x v="9"/>
    <n v="76"/>
    <x v="2"/>
    <s v="Staten Island"/>
    <x v="2"/>
    <x v="389"/>
  </r>
  <r>
    <x v="239"/>
    <x v="7"/>
    <x v="4"/>
    <x v="143"/>
    <n v="86"/>
    <x v="6"/>
    <s v="The Bronx"/>
    <x v="0"/>
    <x v="390"/>
  </r>
  <r>
    <x v="137"/>
    <x v="12"/>
    <x v="0"/>
    <x v="168"/>
    <n v="51"/>
    <x v="6"/>
    <s v="Queens"/>
    <x v="3"/>
    <x v="391"/>
  </r>
  <r>
    <x v="240"/>
    <x v="6"/>
    <x v="0"/>
    <x v="24"/>
    <n v="52"/>
    <x v="7"/>
    <s v="Staten Island"/>
    <x v="2"/>
    <x v="392"/>
  </r>
  <r>
    <x v="116"/>
    <x v="0"/>
    <x v="1"/>
    <x v="152"/>
    <n v="28"/>
    <x v="1"/>
    <s v="Manhattan"/>
    <x v="0"/>
    <x v="393"/>
  </r>
  <r>
    <x v="146"/>
    <x v="1"/>
    <x v="0"/>
    <x v="82"/>
    <n v="46"/>
    <x v="9"/>
    <s v="Upstate West"/>
    <x v="2"/>
    <x v="394"/>
  </r>
  <r>
    <x v="241"/>
    <x v="4"/>
    <x v="0"/>
    <x v="41"/>
    <n v="72"/>
    <x v="7"/>
    <s v="Upstate West"/>
    <x v="3"/>
    <x v="395"/>
  </r>
  <r>
    <x v="242"/>
    <x v="9"/>
    <x v="0"/>
    <x v="96"/>
    <n v="94"/>
    <x v="7"/>
    <s v="Capital Region"/>
    <x v="3"/>
    <x v="396"/>
  </r>
  <r>
    <x v="243"/>
    <x v="2"/>
    <x v="4"/>
    <x v="260"/>
    <n v="50"/>
    <x v="5"/>
    <s v="Brooklyn"/>
    <x v="3"/>
    <x v="397"/>
  </r>
  <r>
    <x v="137"/>
    <x v="1"/>
    <x v="2"/>
    <x v="75"/>
    <n v="89"/>
    <x v="8"/>
    <s v="Manhattan"/>
    <x v="2"/>
    <x v="398"/>
  </r>
  <r>
    <x v="166"/>
    <x v="14"/>
    <x v="3"/>
    <x v="228"/>
    <n v="81"/>
    <x v="2"/>
    <s v="Capital Region"/>
    <x v="2"/>
    <x v="399"/>
  </r>
  <r>
    <x v="244"/>
    <x v="10"/>
    <x v="4"/>
    <x v="261"/>
    <n v="69"/>
    <x v="1"/>
    <s v="Manhattan"/>
    <x v="2"/>
    <x v="400"/>
  </r>
  <r>
    <x v="43"/>
    <x v="13"/>
    <x v="2"/>
    <x v="262"/>
    <n v="67"/>
    <x v="3"/>
    <s v="The Bronx"/>
    <x v="2"/>
    <x v="401"/>
  </r>
  <r>
    <x v="245"/>
    <x v="12"/>
    <x v="4"/>
    <x v="15"/>
    <n v="20"/>
    <x v="6"/>
    <s v="Staten Island"/>
    <x v="1"/>
    <x v="402"/>
  </r>
  <r>
    <x v="127"/>
    <x v="0"/>
    <x v="3"/>
    <x v="235"/>
    <n v="29"/>
    <x v="6"/>
    <s v="Manhattan"/>
    <x v="0"/>
    <x v="403"/>
  </r>
  <r>
    <x v="246"/>
    <x v="2"/>
    <x v="4"/>
    <x v="263"/>
    <n v="74"/>
    <x v="9"/>
    <s v="The Bronx"/>
    <x v="0"/>
    <x v="404"/>
  </r>
  <r>
    <x v="52"/>
    <x v="0"/>
    <x v="4"/>
    <x v="264"/>
    <n v="82"/>
    <x v="5"/>
    <s v="Capital Region"/>
    <x v="1"/>
    <x v="405"/>
  </r>
  <r>
    <x v="247"/>
    <x v="1"/>
    <x v="3"/>
    <x v="66"/>
    <n v="23"/>
    <x v="4"/>
    <s v="Capital Region"/>
    <x v="1"/>
    <x v="406"/>
  </r>
  <r>
    <x v="248"/>
    <x v="19"/>
    <x v="4"/>
    <x v="107"/>
    <n v="45"/>
    <x v="3"/>
    <s v="Capital Region"/>
    <x v="1"/>
    <x v="407"/>
  </r>
  <r>
    <x v="67"/>
    <x v="8"/>
    <x v="0"/>
    <x v="265"/>
    <n v="21"/>
    <x v="9"/>
    <s v="Upstate North"/>
    <x v="0"/>
    <x v="408"/>
  </r>
  <r>
    <x v="249"/>
    <x v="3"/>
    <x v="1"/>
    <x v="123"/>
    <n v="83"/>
    <x v="6"/>
    <s v="Long Island"/>
    <x v="3"/>
    <x v="21"/>
  </r>
  <r>
    <x v="250"/>
    <x v="2"/>
    <x v="2"/>
    <x v="266"/>
    <n v="45"/>
    <x v="8"/>
    <s v="Upstate North"/>
    <x v="2"/>
    <x v="409"/>
  </r>
  <r>
    <x v="136"/>
    <x v="9"/>
    <x v="4"/>
    <x v="75"/>
    <n v="56"/>
    <x v="1"/>
    <s v="Queens"/>
    <x v="4"/>
    <x v="410"/>
  </r>
  <r>
    <x v="251"/>
    <x v="13"/>
    <x v="0"/>
    <x v="22"/>
    <n v="97"/>
    <x v="8"/>
    <s v="Manhattan"/>
    <x v="0"/>
    <x v="411"/>
  </r>
  <r>
    <x v="252"/>
    <x v="0"/>
    <x v="1"/>
    <x v="237"/>
    <n v="84"/>
    <x v="7"/>
    <s v="Long Island"/>
    <x v="3"/>
    <x v="412"/>
  </r>
  <r>
    <x v="253"/>
    <x v="2"/>
    <x v="2"/>
    <x v="180"/>
    <n v="83"/>
    <x v="9"/>
    <s v="Upstate North"/>
    <x v="3"/>
    <x v="413"/>
  </r>
  <r>
    <x v="158"/>
    <x v="4"/>
    <x v="1"/>
    <x v="131"/>
    <n v="99"/>
    <x v="8"/>
    <s v="Central NY."/>
    <x v="4"/>
    <x v="414"/>
  </r>
  <r>
    <x v="129"/>
    <x v="0"/>
    <x v="0"/>
    <x v="267"/>
    <n v="91"/>
    <x v="9"/>
    <s v="Capital Region"/>
    <x v="2"/>
    <x v="415"/>
  </r>
  <r>
    <x v="155"/>
    <x v="19"/>
    <x v="2"/>
    <x v="268"/>
    <n v="30"/>
    <x v="5"/>
    <s v="Upstate North"/>
    <x v="2"/>
    <x v="416"/>
  </r>
  <r>
    <x v="143"/>
    <x v="13"/>
    <x v="1"/>
    <x v="269"/>
    <n v="65"/>
    <x v="2"/>
    <s v="Brooklyn"/>
    <x v="4"/>
    <x v="417"/>
  </r>
  <r>
    <x v="123"/>
    <x v="6"/>
    <x v="1"/>
    <x v="7"/>
    <n v="96"/>
    <x v="8"/>
    <s v="Upstate West"/>
    <x v="3"/>
    <x v="86"/>
  </r>
  <r>
    <x v="169"/>
    <x v="8"/>
    <x v="2"/>
    <x v="216"/>
    <n v="81"/>
    <x v="0"/>
    <s v="Staten Island"/>
    <x v="0"/>
    <x v="302"/>
  </r>
  <r>
    <x v="72"/>
    <x v="12"/>
    <x v="3"/>
    <x v="7"/>
    <n v="81"/>
    <x v="7"/>
    <s v="Upstate West"/>
    <x v="4"/>
    <x v="418"/>
  </r>
  <r>
    <x v="254"/>
    <x v="21"/>
    <x v="1"/>
    <x v="197"/>
    <n v="52"/>
    <x v="1"/>
    <s v="The Bronx"/>
    <x v="4"/>
    <x v="419"/>
  </r>
  <r>
    <x v="255"/>
    <x v="10"/>
    <x v="2"/>
    <x v="237"/>
    <n v="88"/>
    <x v="1"/>
    <s v="The Bronx"/>
    <x v="4"/>
    <x v="420"/>
  </r>
  <r>
    <x v="100"/>
    <x v="9"/>
    <x v="2"/>
    <x v="46"/>
    <n v="24"/>
    <x v="9"/>
    <s v="Upstate North"/>
    <x v="1"/>
    <x v="421"/>
  </r>
  <r>
    <x v="213"/>
    <x v="5"/>
    <x v="2"/>
    <x v="175"/>
    <n v="51"/>
    <x v="2"/>
    <s v="Central NY."/>
    <x v="1"/>
    <x v="422"/>
  </r>
  <r>
    <x v="37"/>
    <x v="11"/>
    <x v="1"/>
    <x v="113"/>
    <n v="70"/>
    <x v="5"/>
    <s v="Long Island"/>
    <x v="3"/>
    <x v="423"/>
  </r>
  <r>
    <x v="256"/>
    <x v="8"/>
    <x v="1"/>
    <x v="127"/>
    <n v="57"/>
    <x v="4"/>
    <s v="Upstate West"/>
    <x v="3"/>
    <x v="424"/>
  </r>
  <r>
    <x v="43"/>
    <x v="20"/>
    <x v="1"/>
    <x v="171"/>
    <n v="63"/>
    <x v="2"/>
    <s v="The Bronx"/>
    <x v="0"/>
    <x v="425"/>
  </r>
  <r>
    <x v="23"/>
    <x v="6"/>
    <x v="4"/>
    <x v="270"/>
    <n v="72"/>
    <x v="0"/>
    <s v="Queens"/>
    <x v="0"/>
    <x v="426"/>
  </r>
  <r>
    <x v="101"/>
    <x v="5"/>
    <x v="1"/>
    <x v="271"/>
    <n v="39"/>
    <x v="1"/>
    <s v="Queens"/>
    <x v="2"/>
    <x v="427"/>
  </r>
  <r>
    <x v="94"/>
    <x v="14"/>
    <x v="3"/>
    <x v="272"/>
    <n v="42"/>
    <x v="0"/>
    <s v="Brooklyn"/>
    <x v="4"/>
    <x v="428"/>
  </r>
  <r>
    <x v="242"/>
    <x v="16"/>
    <x v="3"/>
    <x v="100"/>
    <n v="76"/>
    <x v="1"/>
    <s v="Capital Region"/>
    <x v="1"/>
    <x v="429"/>
  </r>
  <r>
    <x v="168"/>
    <x v="12"/>
    <x v="0"/>
    <x v="47"/>
    <n v="66"/>
    <x v="3"/>
    <s v="Brooklyn"/>
    <x v="2"/>
    <x v="430"/>
  </r>
  <r>
    <x v="114"/>
    <x v="1"/>
    <x v="0"/>
    <x v="273"/>
    <n v="90"/>
    <x v="2"/>
    <s v="Upstate North"/>
    <x v="1"/>
    <x v="431"/>
  </r>
  <r>
    <x v="257"/>
    <x v="19"/>
    <x v="3"/>
    <x v="154"/>
    <n v="56"/>
    <x v="9"/>
    <s v="Upstate West"/>
    <x v="0"/>
    <x v="432"/>
  </r>
  <r>
    <x v="208"/>
    <x v="18"/>
    <x v="3"/>
    <x v="274"/>
    <n v="43"/>
    <x v="6"/>
    <s v="Queens"/>
    <x v="2"/>
    <x v="433"/>
  </r>
  <r>
    <x v="196"/>
    <x v="9"/>
    <x v="0"/>
    <x v="170"/>
    <n v="84"/>
    <x v="9"/>
    <s v="Manhattan"/>
    <x v="4"/>
    <x v="434"/>
  </r>
  <r>
    <x v="163"/>
    <x v="4"/>
    <x v="0"/>
    <x v="140"/>
    <n v="25"/>
    <x v="7"/>
    <s v="Queens"/>
    <x v="3"/>
    <x v="177"/>
  </r>
  <r>
    <x v="192"/>
    <x v="4"/>
    <x v="2"/>
    <x v="17"/>
    <n v="88"/>
    <x v="2"/>
    <s v="Upstate West"/>
    <x v="2"/>
    <x v="435"/>
  </r>
  <r>
    <x v="37"/>
    <x v="1"/>
    <x v="2"/>
    <x v="27"/>
    <n v="42"/>
    <x v="0"/>
    <s v="Queens"/>
    <x v="2"/>
    <x v="436"/>
  </r>
  <r>
    <x v="258"/>
    <x v="21"/>
    <x v="3"/>
    <x v="21"/>
    <n v="73"/>
    <x v="7"/>
    <s v="The Bronx"/>
    <x v="1"/>
    <x v="437"/>
  </r>
  <r>
    <x v="171"/>
    <x v="5"/>
    <x v="2"/>
    <x v="275"/>
    <n v="73"/>
    <x v="9"/>
    <s v="Manhattan"/>
    <x v="2"/>
    <x v="438"/>
  </r>
  <r>
    <x v="246"/>
    <x v="0"/>
    <x v="1"/>
    <x v="49"/>
    <n v="44"/>
    <x v="9"/>
    <s v="Capital Region"/>
    <x v="4"/>
    <x v="439"/>
  </r>
  <r>
    <x v="100"/>
    <x v="18"/>
    <x v="3"/>
    <x v="183"/>
    <n v="63"/>
    <x v="2"/>
    <s v="Queens"/>
    <x v="1"/>
    <x v="440"/>
  </r>
  <r>
    <x v="102"/>
    <x v="12"/>
    <x v="1"/>
    <x v="257"/>
    <n v="68"/>
    <x v="9"/>
    <s v="Queens"/>
    <x v="4"/>
    <x v="441"/>
  </r>
  <r>
    <x v="54"/>
    <x v="21"/>
    <x v="4"/>
    <x v="245"/>
    <n v="29"/>
    <x v="4"/>
    <s v="Capital Region"/>
    <x v="0"/>
    <x v="442"/>
  </r>
  <r>
    <x v="259"/>
    <x v="16"/>
    <x v="3"/>
    <x v="276"/>
    <n v="85"/>
    <x v="7"/>
    <s v="The Bronx"/>
    <x v="1"/>
    <x v="443"/>
  </r>
  <r>
    <x v="228"/>
    <x v="15"/>
    <x v="2"/>
    <x v="120"/>
    <n v="42"/>
    <x v="9"/>
    <s v="The Bronx"/>
    <x v="0"/>
    <x v="444"/>
  </r>
  <r>
    <x v="137"/>
    <x v="5"/>
    <x v="1"/>
    <x v="277"/>
    <n v="69"/>
    <x v="9"/>
    <s v="Upstate North"/>
    <x v="1"/>
    <x v="445"/>
  </r>
  <r>
    <x v="120"/>
    <x v="13"/>
    <x v="0"/>
    <x v="90"/>
    <n v="62"/>
    <x v="9"/>
    <s v="Queens"/>
    <x v="0"/>
    <x v="446"/>
  </r>
  <r>
    <x v="109"/>
    <x v="3"/>
    <x v="2"/>
    <x v="148"/>
    <n v="48"/>
    <x v="6"/>
    <s v="Upstate North"/>
    <x v="1"/>
    <x v="447"/>
  </r>
  <r>
    <x v="192"/>
    <x v="2"/>
    <x v="4"/>
    <x v="278"/>
    <n v="61"/>
    <x v="7"/>
    <s v="Central NY."/>
    <x v="3"/>
    <x v="448"/>
  </r>
  <r>
    <x v="178"/>
    <x v="14"/>
    <x v="4"/>
    <x v="279"/>
    <n v="36"/>
    <x v="0"/>
    <s v="Manhattan"/>
    <x v="4"/>
    <x v="449"/>
  </r>
  <r>
    <x v="31"/>
    <x v="9"/>
    <x v="0"/>
    <x v="280"/>
    <n v="33"/>
    <x v="7"/>
    <s v="The Bronx"/>
    <x v="3"/>
    <x v="450"/>
  </r>
  <r>
    <x v="94"/>
    <x v="0"/>
    <x v="0"/>
    <x v="205"/>
    <n v="39"/>
    <x v="0"/>
    <s v="Upstate North"/>
    <x v="0"/>
    <x v="451"/>
  </r>
  <r>
    <x v="86"/>
    <x v="8"/>
    <x v="4"/>
    <x v="185"/>
    <n v="78"/>
    <x v="8"/>
    <s v="Manhattan"/>
    <x v="2"/>
    <x v="452"/>
  </r>
  <r>
    <x v="161"/>
    <x v="2"/>
    <x v="4"/>
    <x v="262"/>
    <n v="99"/>
    <x v="6"/>
    <s v="Capital Region"/>
    <x v="2"/>
    <x v="453"/>
  </r>
  <r>
    <x v="126"/>
    <x v="16"/>
    <x v="1"/>
    <x v="119"/>
    <n v="31"/>
    <x v="2"/>
    <s v="Queens"/>
    <x v="1"/>
    <x v="454"/>
  </r>
  <r>
    <x v="90"/>
    <x v="11"/>
    <x v="1"/>
    <x v="281"/>
    <n v="45"/>
    <x v="9"/>
    <s v="Central NY."/>
    <x v="4"/>
    <x v="455"/>
  </r>
  <r>
    <x v="194"/>
    <x v="6"/>
    <x v="1"/>
    <x v="254"/>
    <n v="30"/>
    <x v="9"/>
    <s v="Upstate North"/>
    <x v="1"/>
    <x v="33"/>
  </r>
  <r>
    <x v="118"/>
    <x v="5"/>
    <x v="3"/>
    <x v="282"/>
    <n v="24"/>
    <x v="5"/>
    <s v="Central NY."/>
    <x v="4"/>
    <x v="456"/>
  </r>
  <r>
    <x v="109"/>
    <x v="3"/>
    <x v="1"/>
    <x v="2"/>
    <n v="22"/>
    <x v="3"/>
    <s v="Upstate West"/>
    <x v="1"/>
    <x v="457"/>
  </r>
  <r>
    <x v="8"/>
    <x v="18"/>
    <x v="4"/>
    <x v="223"/>
    <n v="63"/>
    <x v="5"/>
    <s v="Upstate North"/>
    <x v="0"/>
    <x v="262"/>
  </r>
  <r>
    <x v="260"/>
    <x v="0"/>
    <x v="2"/>
    <x v="63"/>
    <n v="74"/>
    <x v="2"/>
    <s v="Manhattan"/>
    <x v="3"/>
    <x v="458"/>
  </r>
  <r>
    <x v="224"/>
    <x v="5"/>
    <x v="1"/>
    <x v="86"/>
    <n v="20"/>
    <x v="4"/>
    <s v="Capital Region"/>
    <x v="4"/>
    <x v="459"/>
  </r>
  <r>
    <x v="143"/>
    <x v="2"/>
    <x v="0"/>
    <x v="283"/>
    <n v="20"/>
    <x v="4"/>
    <s v="The Bronx"/>
    <x v="4"/>
    <x v="460"/>
  </r>
  <r>
    <x v="172"/>
    <x v="17"/>
    <x v="1"/>
    <x v="284"/>
    <n v="80"/>
    <x v="1"/>
    <s v="Staten Island"/>
    <x v="2"/>
    <x v="461"/>
  </r>
  <r>
    <x v="82"/>
    <x v="8"/>
    <x v="4"/>
    <x v="285"/>
    <n v="22"/>
    <x v="4"/>
    <s v="Brooklyn"/>
    <x v="3"/>
    <x v="462"/>
  </r>
  <r>
    <x v="166"/>
    <x v="4"/>
    <x v="1"/>
    <x v="91"/>
    <n v="82"/>
    <x v="1"/>
    <s v="Central NY."/>
    <x v="3"/>
    <x v="463"/>
  </r>
  <r>
    <x v="145"/>
    <x v="17"/>
    <x v="1"/>
    <x v="159"/>
    <n v="49"/>
    <x v="8"/>
    <s v="Capital Region"/>
    <x v="4"/>
    <x v="464"/>
  </r>
  <r>
    <x v="70"/>
    <x v="15"/>
    <x v="4"/>
    <x v="130"/>
    <n v="53"/>
    <x v="7"/>
    <s v="Manhattan"/>
    <x v="3"/>
    <x v="465"/>
  </r>
  <r>
    <x v="261"/>
    <x v="4"/>
    <x v="2"/>
    <x v="144"/>
    <n v="62"/>
    <x v="1"/>
    <s v="Manhattan"/>
    <x v="2"/>
    <x v="466"/>
  </r>
  <r>
    <x v="128"/>
    <x v="4"/>
    <x v="2"/>
    <x v="31"/>
    <n v="67"/>
    <x v="6"/>
    <s v="Central NY."/>
    <x v="4"/>
    <x v="467"/>
  </r>
  <r>
    <x v="157"/>
    <x v="15"/>
    <x v="1"/>
    <x v="286"/>
    <n v="41"/>
    <x v="9"/>
    <s v="Capital Region"/>
    <x v="2"/>
    <x v="468"/>
  </r>
  <r>
    <x v="0"/>
    <x v="3"/>
    <x v="3"/>
    <x v="254"/>
    <n v="32"/>
    <x v="9"/>
    <s v="The Bronx"/>
    <x v="3"/>
    <x v="469"/>
  </r>
  <r>
    <x v="113"/>
    <x v="20"/>
    <x v="1"/>
    <x v="235"/>
    <n v="100"/>
    <x v="4"/>
    <s v="Brooklyn"/>
    <x v="1"/>
    <x v="470"/>
  </r>
  <r>
    <x v="192"/>
    <x v="7"/>
    <x v="2"/>
    <x v="287"/>
    <n v="84"/>
    <x v="3"/>
    <s v="Upstate North"/>
    <x v="0"/>
    <x v="471"/>
  </r>
  <r>
    <x v="129"/>
    <x v="21"/>
    <x v="1"/>
    <x v="288"/>
    <n v="41"/>
    <x v="2"/>
    <s v="Brooklyn"/>
    <x v="2"/>
    <x v="472"/>
  </r>
  <r>
    <x v="40"/>
    <x v="21"/>
    <x v="0"/>
    <x v="19"/>
    <n v="88"/>
    <x v="5"/>
    <s v="Queens"/>
    <x v="4"/>
    <x v="473"/>
  </r>
  <r>
    <x v="125"/>
    <x v="20"/>
    <x v="0"/>
    <x v="49"/>
    <n v="40"/>
    <x v="9"/>
    <s v="Upstate North"/>
    <x v="2"/>
    <x v="474"/>
  </r>
  <r>
    <x v="21"/>
    <x v="17"/>
    <x v="4"/>
    <x v="289"/>
    <n v="39"/>
    <x v="6"/>
    <s v="Queens"/>
    <x v="4"/>
    <x v="475"/>
  </r>
  <r>
    <x v="136"/>
    <x v="16"/>
    <x v="3"/>
    <x v="211"/>
    <n v="39"/>
    <x v="8"/>
    <s v="Upstate North"/>
    <x v="3"/>
    <x v="476"/>
  </r>
  <r>
    <x v="262"/>
    <x v="14"/>
    <x v="1"/>
    <x v="290"/>
    <n v="99"/>
    <x v="7"/>
    <s v="Upstate North"/>
    <x v="3"/>
    <x v="477"/>
  </r>
  <r>
    <x v="35"/>
    <x v="14"/>
    <x v="1"/>
    <x v="215"/>
    <n v="23"/>
    <x v="0"/>
    <s v="Long Island"/>
    <x v="0"/>
    <x v="478"/>
  </r>
  <r>
    <x v="190"/>
    <x v="1"/>
    <x v="1"/>
    <x v="57"/>
    <n v="88"/>
    <x v="9"/>
    <s v="Brooklyn"/>
    <x v="4"/>
    <x v="479"/>
  </r>
  <r>
    <x v="121"/>
    <x v="4"/>
    <x v="2"/>
    <x v="291"/>
    <n v="84"/>
    <x v="2"/>
    <s v="Staten Island"/>
    <x v="2"/>
    <x v="480"/>
  </r>
  <r>
    <x v="206"/>
    <x v="3"/>
    <x v="2"/>
    <x v="292"/>
    <n v="37"/>
    <x v="0"/>
    <s v="The Bronx"/>
    <x v="4"/>
    <x v="481"/>
  </r>
  <r>
    <x v="59"/>
    <x v="10"/>
    <x v="3"/>
    <x v="0"/>
    <n v="35"/>
    <x v="7"/>
    <s v="Long Island"/>
    <x v="3"/>
    <x v="110"/>
  </r>
  <r>
    <x v="129"/>
    <x v="3"/>
    <x v="0"/>
    <x v="140"/>
    <n v="76"/>
    <x v="6"/>
    <s v="Brooklyn"/>
    <x v="4"/>
    <x v="482"/>
  </r>
  <r>
    <x v="126"/>
    <x v="11"/>
    <x v="2"/>
    <x v="270"/>
    <n v="60"/>
    <x v="6"/>
    <s v="Capital Region"/>
    <x v="2"/>
    <x v="483"/>
  </r>
  <r>
    <x v="263"/>
    <x v="4"/>
    <x v="4"/>
    <x v="19"/>
    <n v="72"/>
    <x v="5"/>
    <s v="Manhattan"/>
    <x v="2"/>
    <x v="179"/>
  </r>
  <r>
    <x v="88"/>
    <x v="12"/>
    <x v="4"/>
    <x v="217"/>
    <n v="45"/>
    <x v="7"/>
    <s v="Brooklyn"/>
    <x v="3"/>
    <x v="484"/>
  </r>
  <r>
    <x v="264"/>
    <x v="10"/>
    <x v="2"/>
    <x v="123"/>
    <n v="84"/>
    <x v="4"/>
    <s v="Brooklyn"/>
    <x v="4"/>
    <x v="485"/>
  </r>
  <r>
    <x v="68"/>
    <x v="1"/>
    <x v="1"/>
    <x v="290"/>
    <n v="94"/>
    <x v="4"/>
    <s v="The Bronx"/>
    <x v="3"/>
    <x v="1"/>
  </r>
  <r>
    <x v="265"/>
    <x v="18"/>
    <x v="1"/>
    <x v="293"/>
    <n v="22"/>
    <x v="0"/>
    <s v="The Bronx"/>
    <x v="4"/>
    <x v="486"/>
  </r>
  <r>
    <x v="247"/>
    <x v="5"/>
    <x v="1"/>
    <x v="280"/>
    <n v="29"/>
    <x v="4"/>
    <s v="Capital Region"/>
    <x v="3"/>
    <x v="487"/>
  </r>
  <r>
    <x v="266"/>
    <x v="11"/>
    <x v="2"/>
    <x v="259"/>
    <n v="37"/>
    <x v="2"/>
    <s v="Brooklyn"/>
    <x v="2"/>
    <x v="488"/>
  </r>
  <r>
    <x v="119"/>
    <x v="6"/>
    <x v="1"/>
    <x v="280"/>
    <n v="29"/>
    <x v="4"/>
    <s v="Upstate North"/>
    <x v="3"/>
    <x v="487"/>
  </r>
  <r>
    <x v="216"/>
    <x v="0"/>
    <x v="4"/>
    <x v="294"/>
    <n v="38"/>
    <x v="7"/>
    <s v="Manhattan"/>
    <x v="3"/>
    <x v="489"/>
  </r>
  <r>
    <x v="233"/>
    <x v="10"/>
    <x v="4"/>
    <x v="135"/>
    <n v="98"/>
    <x v="7"/>
    <s v="Staten Island"/>
    <x v="4"/>
    <x v="490"/>
  </r>
  <r>
    <x v="92"/>
    <x v="18"/>
    <x v="2"/>
    <x v="272"/>
    <n v="64"/>
    <x v="6"/>
    <s v="Staten Island"/>
    <x v="0"/>
    <x v="491"/>
  </r>
  <r>
    <x v="54"/>
    <x v="5"/>
    <x v="2"/>
    <x v="276"/>
    <n v="51"/>
    <x v="7"/>
    <s v="Upstate West"/>
    <x v="3"/>
    <x v="489"/>
  </r>
  <r>
    <x v="22"/>
    <x v="9"/>
    <x v="1"/>
    <x v="284"/>
    <n v="74"/>
    <x v="9"/>
    <s v="Manhattan"/>
    <x v="0"/>
    <x v="492"/>
  </r>
  <r>
    <x v="55"/>
    <x v="1"/>
    <x v="3"/>
    <x v="41"/>
    <n v="53"/>
    <x v="8"/>
    <s v="Staten Island"/>
    <x v="3"/>
    <x v="493"/>
  </r>
  <r>
    <x v="177"/>
    <x v="20"/>
    <x v="0"/>
    <x v="208"/>
    <n v="64"/>
    <x v="8"/>
    <s v="Central NY."/>
    <x v="4"/>
    <x v="494"/>
  </r>
  <r>
    <x v="187"/>
    <x v="14"/>
    <x v="0"/>
    <x v="189"/>
    <n v="97"/>
    <x v="7"/>
    <s v="Central NY."/>
    <x v="3"/>
    <x v="495"/>
  </r>
  <r>
    <x v="267"/>
    <x v="14"/>
    <x v="2"/>
    <x v="295"/>
    <n v="62"/>
    <x v="0"/>
    <s v="Brooklyn"/>
    <x v="0"/>
    <x v="496"/>
  </r>
  <r>
    <x v="154"/>
    <x v="14"/>
    <x v="3"/>
    <x v="296"/>
    <n v="78"/>
    <x v="8"/>
    <s v="Staten Island"/>
    <x v="0"/>
    <x v="497"/>
  </r>
  <r>
    <x v="193"/>
    <x v="20"/>
    <x v="4"/>
    <x v="16"/>
    <n v="94"/>
    <x v="4"/>
    <s v="Long Island"/>
    <x v="1"/>
    <x v="498"/>
  </r>
  <r>
    <x v="53"/>
    <x v="5"/>
    <x v="1"/>
    <x v="297"/>
    <n v="59"/>
    <x v="9"/>
    <s v="Queens"/>
    <x v="4"/>
    <x v="372"/>
  </r>
  <r>
    <x v="48"/>
    <x v="0"/>
    <x v="1"/>
    <x v="30"/>
    <n v="47"/>
    <x v="8"/>
    <s v="Central NY."/>
    <x v="0"/>
    <x v="499"/>
  </r>
  <r>
    <x v="133"/>
    <x v="18"/>
    <x v="2"/>
    <x v="106"/>
    <n v="57"/>
    <x v="5"/>
    <s v="Upstate North"/>
    <x v="0"/>
    <x v="500"/>
  </r>
  <r>
    <x v="183"/>
    <x v="11"/>
    <x v="0"/>
    <x v="130"/>
    <n v="90"/>
    <x v="3"/>
    <s v="Brooklyn"/>
    <x v="0"/>
    <x v="501"/>
  </r>
  <r>
    <x v="137"/>
    <x v="4"/>
    <x v="2"/>
    <x v="298"/>
    <n v="60"/>
    <x v="5"/>
    <s v="Upstate North"/>
    <x v="4"/>
    <x v="307"/>
  </r>
  <r>
    <x v="268"/>
    <x v="19"/>
    <x v="3"/>
    <x v="17"/>
    <n v="77"/>
    <x v="0"/>
    <s v="Queens"/>
    <x v="0"/>
    <x v="502"/>
  </r>
  <r>
    <x v="109"/>
    <x v="0"/>
    <x v="3"/>
    <x v="114"/>
    <n v="48"/>
    <x v="9"/>
    <s v="Manhattan"/>
    <x v="1"/>
    <x v="503"/>
  </r>
  <r>
    <x v="163"/>
    <x v="0"/>
    <x v="4"/>
    <x v="56"/>
    <n v="65"/>
    <x v="6"/>
    <s v="Upstate North"/>
    <x v="1"/>
    <x v="504"/>
  </r>
  <r>
    <x v="101"/>
    <x v="10"/>
    <x v="4"/>
    <x v="38"/>
    <n v="62"/>
    <x v="9"/>
    <s v="Queens"/>
    <x v="0"/>
    <x v="505"/>
  </r>
  <r>
    <x v="260"/>
    <x v="1"/>
    <x v="4"/>
    <x v="20"/>
    <n v="99"/>
    <x v="5"/>
    <s v="Central NY."/>
    <x v="1"/>
    <x v="506"/>
  </r>
  <r>
    <x v="157"/>
    <x v="15"/>
    <x v="0"/>
    <x v="299"/>
    <n v="58"/>
    <x v="3"/>
    <s v="Queens"/>
    <x v="2"/>
    <x v="507"/>
  </r>
  <r>
    <x v="31"/>
    <x v="10"/>
    <x v="4"/>
    <x v="152"/>
    <n v="43"/>
    <x v="1"/>
    <s v="Manhattan"/>
    <x v="1"/>
    <x v="508"/>
  </r>
  <r>
    <x v="209"/>
    <x v="2"/>
    <x v="0"/>
    <x v="141"/>
    <n v="93"/>
    <x v="0"/>
    <s v="The Bronx"/>
    <x v="4"/>
    <x v="509"/>
  </r>
  <r>
    <x v="124"/>
    <x v="12"/>
    <x v="0"/>
    <x v="96"/>
    <n v="50"/>
    <x v="9"/>
    <s v="Manhattan"/>
    <x v="2"/>
    <x v="510"/>
  </r>
  <r>
    <x v="83"/>
    <x v="10"/>
    <x v="3"/>
    <x v="238"/>
    <n v="88"/>
    <x v="2"/>
    <s v="Upstate West"/>
    <x v="4"/>
    <x v="511"/>
  </r>
  <r>
    <x v="146"/>
    <x v="5"/>
    <x v="1"/>
    <x v="167"/>
    <n v="44"/>
    <x v="7"/>
    <s v="Upstate West"/>
    <x v="3"/>
    <x v="512"/>
  </r>
  <r>
    <x v="2"/>
    <x v="13"/>
    <x v="2"/>
    <x v="6"/>
    <n v="99"/>
    <x v="8"/>
    <s v="Long Island"/>
    <x v="1"/>
    <x v="513"/>
  </r>
  <r>
    <x v="182"/>
    <x v="18"/>
    <x v="3"/>
    <x v="165"/>
    <n v="76"/>
    <x v="3"/>
    <s v="Capital Region"/>
    <x v="4"/>
    <x v="514"/>
  </r>
  <r>
    <x v="59"/>
    <x v="15"/>
    <x v="0"/>
    <x v="300"/>
    <n v="97"/>
    <x v="7"/>
    <s v="Upstate West"/>
    <x v="0"/>
    <x v="515"/>
  </r>
  <r>
    <x v="81"/>
    <x v="13"/>
    <x v="0"/>
    <x v="301"/>
    <n v="85"/>
    <x v="4"/>
    <s v="The Bronx"/>
    <x v="3"/>
    <x v="516"/>
  </r>
  <r>
    <x v="59"/>
    <x v="19"/>
    <x v="3"/>
    <x v="130"/>
    <n v="79"/>
    <x v="5"/>
    <s v="Upstate West"/>
    <x v="2"/>
    <x v="517"/>
  </r>
  <r>
    <x v="148"/>
    <x v="16"/>
    <x v="1"/>
    <x v="152"/>
    <n v="86"/>
    <x v="6"/>
    <s v="Upstate North"/>
    <x v="0"/>
    <x v="518"/>
  </r>
  <r>
    <x v="78"/>
    <x v="3"/>
    <x v="3"/>
    <x v="48"/>
    <n v="68"/>
    <x v="9"/>
    <s v="Long Island"/>
    <x v="4"/>
    <x v="519"/>
  </r>
  <r>
    <x v="215"/>
    <x v="15"/>
    <x v="1"/>
    <x v="276"/>
    <n v="49"/>
    <x v="6"/>
    <s v="Staten Island"/>
    <x v="3"/>
    <x v="520"/>
  </r>
  <r>
    <x v="33"/>
    <x v="18"/>
    <x v="1"/>
    <x v="261"/>
    <n v="90"/>
    <x v="9"/>
    <s v="Upstate North"/>
    <x v="2"/>
    <x v="521"/>
  </r>
  <r>
    <x v="269"/>
    <x v="9"/>
    <x v="3"/>
    <x v="119"/>
    <n v="41"/>
    <x v="6"/>
    <s v="The Bronx"/>
    <x v="4"/>
    <x v="522"/>
  </r>
  <r>
    <x v="53"/>
    <x v="10"/>
    <x v="1"/>
    <x v="302"/>
    <n v="80"/>
    <x v="9"/>
    <s v="Upstate West"/>
    <x v="0"/>
    <x v="523"/>
  </r>
  <r>
    <x v="270"/>
    <x v="14"/>
    <x v="3"/>
    <x v="252"/>
    <n v="100"/>
    <x v="8"/>
    <s v="Upstate North"/>
    <x v="2"/>
    <x v="524"/>
  </r>
  <r>
    <x v="246"/>
    <x v="13"/>
    <x v="1"/>
    <x v="175"/>
    <n v="77"/>
    <x v="4"/>
    <s v="Queens"/>
    <x v="4"/>
    <x v="525"/>
  </r>
  <r>
    <x v="127"/>
    <x v="0"/>
    <x v="0"/>
    <x v="270"/>
    <n v="78"/>
    <x v="3"/>
    <s v="Manhattan"/>
    <x v="2"/>
    <x v="526"/>
  </r>
  <r>
    <x v="180"/>
    <x v="0"/>
    <x v="4"/>
    <x v="60"/>
    <n v="94"/>
    <x v="5"/>
    <s v="Brooklyn"/>
    <x v="0"/>
    <x v="527"/>
  </r>
  <r>
    <x v="41"/>
    <x v="6"/>
    <x v="3"/>
    <x v="81"/>
    <n v="21"/>
    <x v="1"/>
    <s v="Long Island"/>
    <x v="3"/>
    <x v="528"/>
  </r>
  <r>
    <x v="271"/>
    <x v="18"/>
    <x v="3"/>
    <x v="303"/>
    <n v="20"/>
    <x v="4"/>
    <s v="Queens"/>
    <x v="1"/>
    <x v="529"/>
  </r>
  <r>
    <x v="42"/>
    <x v="3"/>
    <x v="4"/>
    <x v="105"/>
    <n v="86"/>
    <x v="9"/>
    <s v="The Bronx"/>
    <x v="1"/>
    <x v="530"/>
  </r>
  <r>
    <x v="152"/>
    <x v="13"/>
    <x v="3"/>
    <x v="223"/>
    <n v="70"/>
    <x v="2"/>
    <s v="Capital Region"/>
    <x v="2"/>
    <x v="531"/>
  </r>
  <r>
    <x v="272"/>
    <x v="20"/>
    <x v="3"/>
    <x v="131"/>
    <n v="39"/>
    <x v="7"/>
    <s v="Capital Region"/>
    <x v="4"/>
    <x v="532"/>
  </r>
  <r>
    <x v="139"/>
    <x v="18"/>
    <x v="3"/>
    <x v="170"/>
    <n v="37"/>
    <x v="7"/>
    <s v="Upstate West"/>
    <x v="1"/>
    <x v="382"/>
  </r>
  <r>
    <x v="79"/>
    <x v="10"/>
    <x v="3"/>
    <x v="176"/>
    <n v="29"/>
    <x v="0"/>
    <s v="Queens"/>
    <x v="4"/>
    <x v="533"/>
  </r>
  <r>
    <x v="22"/>
    <x v="9"/>
    <x v="3"/>
    <x v="80"/>
    <n v="35"/>
    <x v="5"/>
    <s v="Queens"/>
    <x v="2"/>
    <x v="534"/>
  </r>
  <r>
    <x v="105"/>
    <x v="20"/>
    <x v="0"/>
    <x v="302"/>
    <n v="29"/>
    <x v="1"/>
    <s v="Central NY."/>
    <x v="3"/>
    <x v="535"/>
  </r>
  <r>
    <x v="161"/>
    <x v="6"/>
    <x v="3"/>
    <x v="132"/>
    <n v="77"/>
    <x v="6"/>
    <s v="The Bronx"/>
    <x v="4"/>
    <x v="536"/>
  </r>
  <r>
    <x v="273"/>
    <x v="10"/>
    <x v="4"/>
    <x v="304"/>
    <n v="37"/>
    <x v="0"/>
    <s v="Manhattan"/>
    <x v="4"/>
    <x v="537"/>
  </r>
  <r>
    <x v="255"/>
    <x v="12"/>
    <x v="4"/>
    <x v="9"/>
    <n v="52"/>
    <x v="2"/>
    <s v="Manhattan"/>
    <x v="3"/>
    <x v="538"/>
  </r>
  <r>
    <x v="230"/>
    <x v="6"/>
    <x v="0"/>
    <x v="289"/>
    <n v="31"/>
    <x v="6"/>
    <s v="Upstate West"/>
    <x v="3"/>
    <x v="539"/>
  </r>
  <r>
    <x v="274"/>
    <x v="1"/>
    <x v="4"/>
    <x v="23"/>
    <n v="26"/>
    <x v="0"/>
    <s v="Upstate West"/>
    <x v="2"/>
    <x v="540"/>
  </r>
  <r>
    <x v="15"/>
    <x v="1"/>
    <x v="4"/>
    <x v="70"/>
    <n v="63"/>
    <x v="1"/>
    <s v="Brooklyn"/>
    <x v="4"/>
    <x v="541"/>
  </r>
  <r>
    <x v="174"/>
    <x v="16"/>
    <x v="2"/>
    <x v="164"/>
    <n v="38"/>
    <x v="2"/>
    <s v="Upstate West"/>
    <x v="2"/>
    <x v="542"/>
  </r>
  <r>
    <x v="128"/>
    <x v="8"/>
    <x v="4"/>
    <x v="279"/>
    <n v="58"/>
    <x v="6"/>
    <s v="Upstate West"/>
    <x v="2"/>
    <x v="543"/>
  </r>
  <r>
    <x v="116"/>
    <x v="17"/>
    <x v="3"/>
    <x v="119"/>
    <n v="46"/>
    <x v="1"/>
    <s v="Queens"/>
    <x v="0"/>
    <x v="544"/>
  </r>
  <r>
    <x v="154"/>
    <x v="6"/>
    <x v="3"/>
    <x v="199"/>
    <n v="92"/>
    <x v="0"/>
    <s v="Capital Region"/>
    <x v="2"/>
    <x v="545"/>
  </r>
  <r>
    <x v="230"/>
    <x v="3"/>
    <x v="1"/>
    <x v="305"/>
    <n v="32"/>
    <x v="1"/>
    <s v="Upstate North"/>
    <x v="0"/>
    <x v="546"/>
  </r>
  <r>
    <x v="157"/>
    <x v="14"/>
    <x v="1"/>
    <x v="18"/>
    <n v="90"/>
    <x v="0"/>
    <s v="Capital Region"/>
    <x v="4"/>
    <x v="547"/>
  </r>
  <r>
    <x v="221"/>
    <x v="18"/>
    <x v="1"/>
    <x v="306"/>
    <n v="23"/>
    <x v="1"/>
    <s v="Central NY."/>
    <x v="1"/>
    <x v="548"/>
  </r>
  <r>
    <x v="275"/>
    <x v="18"/>
    <x v="0"/>
    <x v="307"/>
    <n v="25"/>
    <x v="1"/>
    <s v="Manhattan"/>
    <x v="1"/>
    <x v="549"/>
  </r>
  <r>
    <x v="180"/>
    <x v="17"/>
    <x v="3"/>
    <x v="308"/>
    <n v="54"/>
    <x v="3"/>
    <s v="The Bronx"/>
    <x v="0"/>
    <x v="473"/>
  </r>
  <r>
    <x v="184"/>
    <x v="21"/>
    <x v="0"/>
    <x v="309"/>
    <n v="72"/>
    <x v="1"/>
    <s v="Capital Region"/>
    <x v="4"/>
    <x v="550"/>
  </r>
  <r>
    <x v="94"/>
    <x v="11"/>
    <x v="0"/>
    <x v="2"/>
    <n v="57"/>
    <x v="2"/>
    <s v="Long Island"/>
    <x v="3"/>
    <x v="551"/>
  </r>
  <r>
    <x v="276"/>
    <x v="4"/>
    <x v="3"/>
    <x v="231"/>
    <n v="41"/>
    <x v="1"/>
    <s v="Central NY."/>
    <x v="3"/>
    <x v="552"/>
  </r>
  <r>
    <x v="178"/>
    <x v="17"/>
    <x v="1"/>
    <x v="183"/>
    <n v="86"/>
    <x v="8"/>
    <s v="Queens"/>
    <x v="3"/>
    <x v="388"/>
  </r>
  <r>
    <x v="51"/>
    <x v="6"/>
    <x v="1"/>
    <x v="164"/>
    <n v="85"/>
    <x v="5"/>
    <s v="Manhattan"/>
    <x v="2"/>
    <x v="553"/>
  </r>
  <r>
    <x v="218"/>
    <x v="7"/>
    <x v="3"/>
    <x v="123"/>
    <n v="100"/>
    <x v="0"/>
    <s v="The Bronx"/>
    <x v="4"/>
    <x v="554"/>
  </r>
  <r>
    <x v="40"/>
    <x v="20"/>
    <x v="0"/>
    <x v="150"/>
    <n v="72"/>
    <x v="6"/>
    <s v="Central NY."/>
    <x v="4"/>
    <x v="555"/>
  </r>
  <r>
    <x v="11"/>
    <x v="7"/>
    <x v="1"/>
    <x v="310"/>
    <n v="57"/>
    <x v="3"/>
    <s v="Staten Island"/>
    <x v="0"/>
    <x v="556"/>
  </r>
  <r>
    <x v="161"/>
    <x v="4"/>
    <x v="1"/>
    <x v="278"/>
    <n v="94"/>
    <x v="3"/>
    <s v="Long Island"/>
    <x v="1"/>
    <x v="557"/>
  </r>
  <r>
    <x v="157"/>
    <x v="15"/>
    <x v="0"/>
    <x v="150"/>
    <n v="34"/>
    <x v="1"/>
    <s v="Staten Island"/>
    <x v="1"/>
    <x v="558"/>
  </r>
  <r>
    <x v="264"/>
    <x v="17"/>
    <x v="0"/>
    <x v="66"/>
    <n v="89"/>
    <x v="8"/>
    <s v="Queens"/>
    <x v="1"/>
    <x v="559"/>
  </r>
  <r>
    <x v="213"/>
    <x v="10"/>
    <x v="1"/>
    <x v="161"/>
    <n v="27"/>
    <x v="2"/>
    <s v="Brooklyn"/>
    <x v="4"/>
    <x v="560"/>
  </r>
  <r>
    <x v="163"/>
    <x v="16"/>
    <x v="2"/>
    <x v="89"/>
    <n v="63"/>
    <x v="2"/>
    <s v="Central NY."/>
    <x v="2"/>
    <x v="561"/>
  </r>
  <r>
    <x v="228"/>
    <x v="6"/>
    <x v="4"/>
    <x v="152"/>
    <n v="70"/>
    <x v="8"/>
    <s v="Queens"/>
    <x v="2"/>
    <x v="562"/>
  </r>
  <r>
    <x v="149"/>
    <x v="1"/>
    <x v="2"/>
    <x v="53"/>
    <n v="87"/>
    <x v="6"/>
    <s v="Upstate West"/>
    <x v="0"/>
    <x v="563"/>
  </r>
  <r>
    <x v="202"/>
    <x v="21"/>
    <x v="1"/>
    <x v="311"/>
    <n v="79"/>
    <x v="1"/>
    <s v="Brooklyn"/>
    <x v="1"/>
    <x v="564"/>
  </r>
  <r>
    <x v="277"/>
    <x v="9"/>
    <x v="0"/>
    <x v="187"/>
    <n v="32"/>
    <x v="7"/>
    <s v="Upstate North"/>
    <x v="3"/>
    <x v="565"/>
  </r>
  <r>
    <x v="278"/>
    <x v="17"/>
    <x v="0"/>
    <x v="94"/>
    <n v="37"/>
    <x v="4"/>
    <s v="Capital Region"/>
    <x v="3"/>
    <x v="566"/>
  </r>
  <r>
    <x v="158"/>
    <x v="12"/>
    <x v="2"/>
    <x v="113"/>
    <n v="50"/>
    <x v="5"/>
    <s v="Central NY."/>
    <x v="3"/>
    <x v="238"/>
  </r>
  <r>
    <x v="279"/>
    <x v="3"/>
    <x v="2"/>
    <x v="138"/>
    <n v="90"/>
    <x v="1"/>
    <s v="Upstate West"/>
    <x v="2"/>
    <x v="567"/>
  </r>
  <r>
    <x v="280"/>
    <x v="1"/>
    <x v="1"/>
    <x v="52"/>
    <n v="94"/>
    <x v="3"/>
    <s v="Upstate North"/>
    <x v="0"/>
    <x v="568"/>
  </r>
  <r>
    <x v="280"/>
    <x v="16"/>
    <x v="3"/>
    <x v="50"/>
    <n v="68"/>
    <x v="6"/>
    <s v="Brooklyn"/>
    <x v="4"/>
    <x v="569"/>
  </r>
  <r>
    <x v="281"/>
    <x v="9"/>
    <x v="2"/>
    <x v="238"/>
    <n v="51"/>
    <x v="1"/>
    <s v="Manhattan"/>
    <x v="2"/>
    <x v="570"/>
  </r>
  <r>
    <x v="65"/>
    <x v="14"/>
    <x v="0"/>
    <x v="86"/>
    <n v="33"/>
    <x v="9"/>
    <s v="The Bronx"/>
    <x v="1"/>
    <x v="571"/>
  </r>
  <r>
    <x v="282"/>
    <x v="4"/>
    <x v="4"/>
    <x v="16"/>
    <n v="35"/>
    <x v="7"/>
    <s v="Staten Island"/>
    <x v="3"/>
    <x v="90"/>
  </r>
  <r>
    <x v="261"/>
    <x v="17"/>
    <x v="0"/>
    <x v="216"/>
    <n v="59"/>
    <x v="2"/>
    <s v="Brooklyn"/>
    <x v="0"/>
    <x v="572"/>
  </r>
  <r>
    <x v="31"/>
    <x v="1"/>
    <x v="0"/>
    <x v="312"/>
    <n v="30"/>
    <x v="1"/>
    <s v="Queens"/>
    <x v="0"/>
    <x v="573"/>
  </r>
  <r>
    <x v="208"/>
    <x v="1"/>
    <x v="1"/>
    <x v="313"/>
    <n v="20"/>
    <x v="0"/>
    <s v="Upstate West"/>
    <x v="2"/>
    <x v="574"/>
  </r>
  <r>
    <x v="48"/>
    <x v="4"/>
    <x v="3"/>
    <x v="314"/>
    <n v="20"/>
    <x v="6"/>
    <s v="Central NY."/>
    <x v="3"/>
    <x v="575"/>
  </r>
  <r>
    <x v="28"/>
    <x v="21"/>
    <x v="0"/>
    <x v="148"/>
    <n v="24"/>
    <x v="7"/>
    <s v="Queens"/>
    <x v="0"/>
    <x v="576"/>
  </r>
  <r>
    <x v="11"/>
    <x v="2"/>
    <x v="4"/>
    <x v="22"/>
    <n v="88"/>
    <x v="3"/>
    <s v="Capital Region"/>
    <x v="1"/>
    <x v="577"/>
  </r>
  <r>
    <x v="283"/>
    <x v="6"/>
    <x v="1"/>
    <x v="233"/>
    <n v="45"/>
    <x v="6"/>
    <s v="Upstate West"/>
    <x v="3"/>
    <x v="578"/>
  </r>
  <r>
    <x v="284"/>
    <x v="4"/>
    <x v="2"/>
    <x v="89"/>
    <n v="57"/>
    <x v="8"/>
    <s v="Capital Region"/>
    <x v="4"/>
    <x v="579"/>
  </r>
  <r>
    <x v="285"/>
    <x v="17"/>
    <x v="3"/>
    <x v="231"/>
    <n v="93"/>
    <x v="6"/>
    <s v="Capital Region"/>
    <x v="2"/>
    <x v="580"/>
  </r>
  <r>
    <x v="117"/>
    <x v="4"/>
    <x v="0"/>
    <x v="11"/>
    <n v="42"/>
    <x v="7"/>
    <s v="Brooklyn"/>
    <x v="2"/>
    <x v="581"/>
  </r>
  <r>
    <x v="88"/>
    <x v="6"/>
    <x v="2"/>
    <x v="85"/>
    <n v="54"/>
    <x v="7"/>
    <s v="Upstate West"/>
    <x v="2"/>
    <x v="582"/>
  </r>
  <r>
    <x v="67"/>
    <x v="1"/>
    <x v="4"/>
    <x v="171"/>
    <n v="70"/>
    <x v="2"/>
    <s v="Capital Region"/>
    <x v="0"/>
    <x v="18"/>
  </r>
  <r>
    <x v="32"/>
    <x v="16"/>
    <x v="4"/>
    <x v="63"/>
    <n v="31"/>
    <x v="7"/>
    <s v="The Bronx"/>
    <x v="0"/>
    <x v="583"/>
  </r>
  <r>
    <x v="286"/>
    <x v="20"/>
    <x v="2"/>
    <x v="57"/>
    <n v="93"/>
    <x v="5"/>
    <s v="Queens"/>
    <x v="2"/>
    <x v="584"/>
  </r>
  <r>
    <x v="154"/>
    <x v="0"/>
    <x v="4"/>
    <x v="263"/>
    <n v="32"/>
    <x v="0"/>
    <s v="Upstate North"/>
    <x v="1"/>
    <x v="585"/>
  </r>
  <r>
    <x v="160"/>
    <x v="11"/>
    <x v="0"/>
    <x v="112"/>
    <n v="60"/>
    <x v="4"/>
    <s v="Manhattan"/>
    <x v="3"/>
    <x v="586"/>
  </r>
  <r>
    <x v="234"/>
    <x v="9"/>
    <x v="2"/>
    <x v="75"/>
    <n v="68"/>
    <x v="9"/>
    <s v="Long Island"/>
    <x v="0"/>
    <x v="587"/>
  </r>
  <r>
    <x v="172"/>
    <x v="5"/>
    <x v="1"/>
    <x v="106"/>
    <n v="59"/>
    <x v="1"/>
    <s v="Central NY."/>
    <x v="2"/>
    <x v="588"/>
  </r>
  <r>
    <x v="279"/>
    <x v="12"/>
    <x v="1"/>
    <x v="132"/>
    <n v="36"/>
    <x v="9"/>
    <s v="Queens"/>
    <x v="2"/>
    <x v="312"/>
  </r>
  <r>
    <x v="287"/>
    <x v="7"/>
    <x v="1"/>
    <x v="306"/>
    <n v="23"/>
    <x v="8"/>
    <s v="Upstate West"/>
    <x v="4"/>
    <x v="548"/>
  </r>
  <r>
    <x v="288"/>
    <x v="19"/>
    <x v="4"/>
    <x v="281"/>
    <n v="95"/>
    <x v="6"/>
    <s v="Manhattan"/>
    <x v="3"/>
    <x v="589"/>
  </r>
  <r>
    <x v="26"/>
    <x v="21"/>
    <x v="1"/>
    <x v="270"/>
    <n v="68"/>
    <x v="5"/>
    <s v="Central NY."/>
    <x v="3"/>
    <x v="590"/>
  </r>
  <r>
    <x v="289"/>
    <x v="15"/>
    <x v="2"/>
    <x v="294"/>
    <n v="52"/>
    <x v="5"/>
    <s v="Queens"/>
    <x v="2"/>
    <x v="391"/>
  </r>
  <r>
    <x v="290"/>
    <x v="17"/>
    <x v="0"/>
    <x v="57"/>
    <n v="79"/>
    <x v="1"/>
    <s v="Queens"/>
    <x v="0"/>
    <x v="591"/>
  </r>
  <r>
    <x v="86"/>
    <x v="13"/>
    <x v="0"/>
    <x v="37"/>
    <n v="68"/>
    <x v="1"/>
    <s v="Long Island"/>
    <x v="1"/>
    <x v="592"/>
  </r>
  <r>
    <x v="35"/>
    <x v="7"/>
    <x v="4"/>
    <x v="315"/>
    <n v="98"/>
    <x v="9"/>
    <s v="Long Island"/>
    <x v="0"/>
    <x v="593"/>
  </r>
  <r>
    <x v="56"/>
    <x v="19"/>
    <x v="1"/>
    <x v="123"/>
    <n v="83"/>
    <x v="2"/>
    <s v="Brooklyn"/>
    <x v="1"/>
    <x v="21"/>
  </r>
  <r>
    <x v="7"/>
    <x v="17"/>
    <x v="2"/>
    <x v="252"/>
    <n v="83"/>
    <x v="4"/>
    <s v="Upstate West"/>
    <x v="0"/>
    <x v="594"/>
  </r>
  <r>
    <x v="134"/>
    <x v="5"/>
    <x v="4"/>
    <x v="131"/>
    <n v="29"/>
    <x v="0"/>
    <s v="Manhattan"/>
    <x v="3"/>
    <x v="595"/>
  </r>
  <r>
    <x v="291"/>
    <x v="5"/>
    <x v="1"/>
    <x v="301"/>
    <n v="26"/>
    <x v="3"/>
    <s v="The Bronx"/>
    <x v="2"/>
    <x v="596"/>
  </r>
  <r>
    <x v="208"/>
    <x v="14"/>
    <x v="0"/>
    <x v="316"/>
    <n v="76"/>
    <x v="8"/>
    <s v="The Bronx"/>
    <x v="2"/>
    <x v="597"/>
  </r>
  <r>
    <x v="292"/>
    <x v="16"/>
    <x v="2"/>
    <x v="112"/>
    <n v="85"/>
    <x v="5"/>
    <s v="Capital Region"/>
    <x v="4"/>
    <x v="598"/>
  </r>
  <r>
    <x v="237"/>
    <x v="13"/>
    <x v="4"/>
    <x v="239"/>
    <n v="89"/>
    <x v="6"/>
    <s v="Upstate West"/>
    <x v="4"/>
    <x v="599"/>
  </r>
  <r>
    <x v="82"/>
    <x v="14"/>
    <x v="2"/>
    <x v="276"/>
    <n v="41"/>
    <x v="1"/>
    <s v="Queens"/>
    <x v="0"/>
    <x v="600"/>
  </r>
  <r>
    <x v="281"/>
    <x v="17"/>
    <x v="0"/>
    <x v="241"/>
    <n v="30"/>
    <x v="1"/>
    <s v="Upstate North"/>
    <x v="0"/>
    <x v="601"/>
  </r>
  <r>
    <x v="293"/>
    <x v="19"/>
    <x v="1"/>
    <x v="75"/>
    <n v="53"/>
    <x v="9"/>
    <s v="Brooklyn"/>
    <x v="1"/>
    <x v="602"/>
  </r>
  <r>
    <x v="7"/>
    <x v="2"/>
    <x v="1"/>
    <x v="85"/>
    <n v="66"/>
    <x v="0"/>
    <s v="Central NY."/>
    <x v="4"/>
    <x v="603"/>
  </r>
  <r>
    <x v="79"/>
    <x v="20"/>
    <x v="1"/>
    <x v="317"/>
    <n v="33"/>
    <x v="2"/>
    <s v="Manhattan"/>
    <x v="0"/>
    <x v="604"/>
  </r>
  <r>
    <x v="294"/>
    <x v="14"/>
    <x v="1"/>
    <x v="318"/>
    <n v="86"/>
    <x v="4"/>
    <s v="Brooklyn"/>
    <x v="2"/>
    <x v="605"/>
  </r>
  <r>
    <x v="295"/>
    <x v="13"/>
    <x v="3"/>
    <x v="263"/>
    <n v="28"/>
    <x v="0"/>
    <s v="Capital Region"/>
    <x v="3"/>
    <x v="606"/>
  </r>
  <r>
    <x v="45"/>
    <x v="9"/>
    <x v="3"/>
    <x v="14"/>
    <n v="62"/>
    <x v="1"/>
    <s v="Upstate West"/>
    <x v="0"/>
    <x v="607"/>
  </r>
  <r>
    <x v="53"/>
    <x v="10"/>
    <x v="2"/>
    <x v="319"/>
    <n v="74"/>
    <x v="0"/>
    <s v="Staten Island"/>
    <x v="1"/>
    <x v="608"/>
  </r>
  <r>
    <x v="99"/>
    <x v="16"/>
    <x v="0"/>
    <x v="288"/>
    <n v="95"/>
    <x v="7"/>
    <s v="Manhattan"/>
    <x v="2"/>
    <x v="609"/>
  </r>
  <r>
    <x v="250"/>
    <x v="11"/>
    <x v="4"/>
    <x v="85"/>
    <n v="25"/>
    <x v="2"/>
    <s v="Upstate West"/>
    <x v="0"/>
    <x v="610"/>
  </r>
  <r>
    <x v="135"/>
    <x v="5"/>
    <x v="0"/>
    <x v="47"/>
    <n v="59"/>
    <x v="5"/>
    <s v="Brooklyn"/>
    <x v="2"/>
    <x v="611"/>
  </r>
  <r>
    <x v="147"/>
    <x v="0"/>
    <x v="2"/>
    <x v="320"/>
    <n v="29"/>
    <x v="5"/>
    <s v="Upstate North"/>
    <x v="1"/>
    <x v="612"/>
  </r>
  <r>
    <x v="29"/>
    <x v="21"/>
    <x v="4"/>
    <x v="30"/>
    <n v="36"/>
    <x v="2"/>
    <s v="Upstate North"/>
    <x v="1"/>
    <x v="613"/>
  </r>
  <r>
    <x v="255"/>
    <x v="14"/>
    <x v="0"/>
    <x v="112"/>
    <n v="57"/>
    <x v="2"/>
    <s v="Manhattan"/>
    <x v="3"/>
    <x v="614"/>
  </r>
  <r>
    <x v="144"/>
    <x v="15"/>
    <x v="4"/>
    <x v="23"/>
    <n v="71"/>
    <x v="9"/>
    <s v="The Bronx"/>
    <x v="2"/>
    <x v="615"/>
  </r>
  <r>
    <x v="296"/>
    <x v="13"/>
    <x v="1"/>
    <x v="211"/>
    <n v="27"/>
    <x v="0"/>
    <s v="Upstate West"/>
    <x v="3"/>
    <x v="616"/>
  </r>
  <r>
    <x v="297"/>
    <x v="13"/>
    <x v="3"/>
    <x v="181"/>
    <n v="38"/>
    <x v="5"/>
    <s v="Queens"/>
    <x v="0"/>
    <x v="617"/>
  </r>
  <r>
    <x v="11"/>
    <x v="9"/>
    <x v="4"/>
    <x v="231"/>
    <n v="59"/>
    <x v="4"/>
    <s v="Manhattan"/>
    <x v="1"/>
    <x v="618"/>
  </r>
  <r>
    <x v="298"/>
    <x v="7"/>
    <x v="1"/>
    <x v="146"/>
    <n v="91"/>
    <x v="7"/>
    <s v="Upstate West"/>
    <x v="0"/>
    <x v="619"/>
  </r>
  <r>
    <x v="299"/>
    <x v="16"/>
    <x v="3"/>
    <x v="63"/>
    <n v="68"/>
    <x v="9"/>
    <s v="Staten Island"/>
    <x v="1"/>
    <x v="620"/>
  </r>
  <r>
    <x v="300"/>
    <x v="16"/>
    <x v="0"/>
    <x v="219"/>
    <n v="37"/>
    <x v="8"/>
    <s v="Queens"/>
    <x v="3"/>
    <x v="621"/>
  </r>
  <r>
    <x v="24"/>
    <x v="14"/>
    <x v="2"/>
    <x v="188"/>
    <n v="95"/>
    <x v="2"/>
    <s v="Long Island"/>
    <x v="4"/>
    <x v="622"/>
  </r>
  <r>
    <x v="134"/>
    <x v="20"/>
    <x v="1"/>
    <x v="84"/>
    <n v="52"/>
    <x v="8"/>
    <s v="Upstate North"/>
    <x v="1"/>
    <x v="623"/>
  </r>
  <r>
    <x v="180"/>
    <x v="3"/>
    <x v="2"/>
    <x v="321"/>
    <n v="21"/>
    <x v="6"/>
    <s v="Central NY."/>
    <x v="2"/>
    <x v="624"/>
  </r>
  <r>
    <x v="301"/>
    <x v="11"/>
    <x v="4"/>
    <x v="87"/>
    <n v="67"/>
    <x v="2"/>
    <s v="Queens"/>
    <x v="4"/>
    <x v="625"/>
  </r>
  <r>
    <x v="302"/>
    <x v="19"/>
    <x v="1"/>
    <x v="171"/>
    <n v="42"/>
    <x v="8"/>
    <s v="Queens"/>
    <x v="2"/>
    <x v="626"/>
  </r>
  <r>
    <x v="14"/>
    <x v="4"/>
    <x v="1"/>
    <x v="219"/>
    <n v="63"/>
    <x v="1"/>
    <s v="Manhattan"/>
    <x v="4"/>
    <x v="618"/>
  </r>
  <r>
    <x v="86"/>
    <x v="20"/>
    <x v="3"/>
    <x v="126"/>
    <n v="41"/>
    <x v="7"/>
    <s v="Central NY."/>
    <x v="4"/>
    <x v="627"/>
  </r>
  <r>
    <x v="53"/>
    <x v="18"/>
    <x v="1"/>
    <x v="322"/>
    <n v="46"/>
    <x v="9"/>
    <s v="Staten Island"/>
    <x v="2"/>
    <x v="628"/>
  </r>
  <r>
    <x v="220"/>
    <x v="10"/>
    <x v="4"/>
    <x v="30"/>
    <n v="79"/>
    <x v="4"/>
    <s v="Staten Island"/>
    <x v="0"/>
    <x v="629"/>
  </r>
  <r>
    <x v="36"/>
    <x v="2"/>
    <x v="4"/>
    <x v="59"/>
    <n v="26"/>
    <x v="4"/>
    <s v="Central NY."/>
    <x v="3"/>
    <x v="630"/>
  </r>
  <r>
    <x v="101"/>
    <x v="19"/>
    <x v="2"/>
    <x v="53"/>
    <n v="71"/>
    <x v="4"/>
    <s v="Brooklyn"/>
    <x v="0"/>
    <x v="631"/>
  </r>
  <r>
    <x v="134"/>
    <x v="5"/>
    <x v="4"/>
    <x v="167"/>
    <n v="87"/>
    <x v="5"/>
    <s v="Central NY."/>
    <x v="4"/>
    <x v="632"/>
  </r>
  <r>
    <x v="303"/>
    <x v="10"/>
    <x v="3"/>
    <x v="323"/>
    <n v="66"/>
    <x v="6"/>
    <s v="Brooklyn"/>
    <x v="1"/>
    <x v="633"/>
  </r>
  <r>
    <x v="263"/>
    <x v="8"/>
    <x v="4"/>
    <x v="164"/>
    <n v="90"/>
    <x v="4"/>
    <s v="Long Island"/>
    <x v="0"/>
    <x v="634"/>
  </r>
  <r>
    <x v="238"/>
    <x v="21"/>
    <x v="1"/>
    <x v="52"/>
    <n v="47"/>
    <x v="4"/>
    <s v="Capital Region"/>
    <x v="2"/>
    <x v="635"/>
  </r>
  <r>
    <x v="105"/>
    <x v="19"/>
    <x v="3"/>
    <x v="120"/>
    <n v="94"/>
    <x v="6"/>
    <s v="Staten Island"/>
    <x v="3"/>
    <x v="636"/>
  </r>
  <r>
    <x v="289"/>
    <x v="1"/>
    <x v="3"/>
    <x v="141"/>
    <n v="50"/>
    <x v="3"/>
    <s v="The Bronx"/>
    <x v="4"/>
    <x v="85"/>
  </r>
  <r>
    <x v="304"/>
    <x v="14"/>
    <x v="3"/>
    <x v="324"/>
    <n v="79"/>
    <x v="8"/>
    <s v="Central NY."/>
    <x v="1"/>
    <x v="637"/>
  </r>
  <r>
    <x v="194"/>
    <x v="20"/>
    <x v="1"/>
    <x v="325"/>
    <n v="91"/>
    <x v="5"/>
    <s v="Upstate West"/>
    <x v="2"/>
    <x v="638"/>
  </r>
  <r>
    <x v="275"/>
    <x v="14"/>
    <x v="2"/>
    <x v="37"/>
    <n v="60"/>
    <x v="9"/>
    <s v="Long Island"/>
    <x v="4"/>
    <x v="639"/>
  </r>
  <r>
    <x v="243"/>
    <x v="21"/>
    <x v="4"/>
    <x v="180"/>
    <n v="81"/>
    <x v="3"/>
    <s v="Queens"/>
    <x v="2"/>
    <x v="640"/>
  </r>
  <r>
    <x v="303"/>
    <x v="16"/>
    <x v="2"/>
    <x v="56"/>
    <n v="90"/>
    <x v="8"/>
    <s v="The Bronx"/>
    <x v="0"/>
    <x v="641"/>
  </r>
  <r>
    <x v="193"/>
    <x v="20"/>
    <x v="2"/>
    <x v="221"/>
    <n v="30"/>
    <x v="8"/>
    <s v="Manhattan"/>
    <x v="3"/>
    <x v="642"/>
  </r>
  <r>
    <x v="118"/>
    <x v="10"/>
    <x v="3"/>
    <x v="27"/>
    <n v="63"/>
    <x v="3"/>
    <s v="Upstate West"/>
    <x v="2"/>
    <x v="643"/>
  </r>
  <r>
    <x v="8"/>
    <x v="0"/>
    <x v="0"/>
    <x v="179"/>
    <n v="40"/>
    <x v="1"/>
    <s v="Upstate North"/>
    <x v="3"/>
    <x v="644"/>
  </r>
  <r>
    <x v="305"/>
    <x v="8"/>
    <x v="3"/>
    <x v="261"/>
    <n v="90"/>
    <x v="1"/>
    <s v="Staten Island"/>
    <x v="4"/>
    <x v="521"/>
  </r>
  <r>
    <x v="306"/>
    <x v="7"/>
    <x v="1"/>
    <x v="18"/>
    <n v="22"/>
    <x v="2"/>
    <s v="Queens"/>
    <x v="2"/>
    <x v="645"/>
  </r>
  <r>
    <x v="105"/>
    <x v="18"/>
    <x v="4"/>
    <x v="130"/>
    <n v="62"/>
    <x v="1"/>
    <s v="Queens"/>
    <x v="2"/>
    <x v="646"/>
  </r>
  <r>
    <x v="172"/>
    <x v="7"/>
    <x v="1"/>
    <x v="259"/>
    <n v="57"/>
    <x v="7"/>
    <s v="Central NY."/>
    <x v="1"/>
    <x v="647"/>
  </r>
  <r>
    <x v="150"/>
    <x v="19"/>
    <x v="0"/>
    <x v="105"/>
    <n v="32"/>
    <x v="9"/>
    <s v="Brooklyn"/>
    <x v="0"/>
    <x v="408"/>
  </r>
  <r>
    <x v="302"/>
    <x v="2"/>
    <x v="1"/>
    <x v="192"/>
    <n v="53"/>
    <x v="7"/>
    <s v="Long Island"/>
    <x v="2"/>
    <x v="648"/>
  </r>
  <r>
    <x v="291"/>
    <x v="4"/>
    <x v="3"/>
    <x v="69"/>
    <n v="79"/>
    <x v="3"/>
    <s v="Manhattan"/>
    <x v="2"/>
    <x v="649"/>
  </r>
  <r>
    <x v="238"/>
    <x v="17"/>
    <x v="0"/>
    <x v="3"/>
    <n v="61"/>
    <x v="3"/>
    <s v="Queens"/>
    <x v="4"/>
    <x v="650"/>
  </r>
  <r>
    <x v="236"/>
    <x v="3"/>
    <x v="1"/>
    <x v="230"/>
    <n v="78"/>
    <x v="1"/>
    <s v="Upstate North"/>
    <x v="4"/>
    <x v="651"/>
  </r>
  <r>
    <x v="120"/>
    <x v="2"/>
    <x v="1"/>
    <x v="85"/>
    <n v="97"/>
    <x v="5"/>
    <s v="Central NY."/>
    <x v="2"/>
    <x v="652"/>
  </r>
  <r>
    <x v="307"/>
    <x v="5"/>
    <x v="1"/>
    <x v="201"/>
    <n v="78"/>
    <x v="8"/>
    <s v="Queens"/>
    <x v="4"/>
    <x v="653"/>
  </r>
  <r>
    <x v="284"/>
    <x v="8"/>
    <x v="0"/>
    <x v="52"/>
    <n v="56"/>
    <x v="0"/>
    <s v="Upstate West"/>
    <x v="1"/>
    <x v="654"/>
  </r>
  <r>
    <x v="54"/>
    <x v="12"/>
    <x v="0"/>
    <x v="226"/>
    <n v="25"/>
    <x v="4"/>
    <s v="Upstate West"/>
    <x v="0"/>
    <x v="655"/>
  </r>
  <r>
    <x v="302"/>
    <x v="12"/>
    <x v="4"/>
    <x v="113"/>
    <n v="28"/>
    <x v="2"/>
    <s v="Manhattan"/>
    <x v="2"/>
    <x v="656"/>
  </r>
  <r>
    <x v="231"/>
    <x v="16"/>
    <x v="3"/>
    <x v="175"/>
    <n v="94"/>
    <x v="2"/>
    <s v="Staten Island"/>
    <x v="3"/>
    <x v="657"/>
  </r>
  <r>
    <x v="106"/>
    <x v="21"/>
    <x v="4"/>
    <x v="15"/>
    <n v="100"/>
    <x v="3"/>
    <s v="Upstate West"/>
    <x v="3"/>
    <x v="658"/>
  </r>
  <r>
    <x v="296"/>
    <x v="13"/>
    <x v="2"/>
    <x v="170"/>
    <n v="79"/>
    <x v="7"/>
    <s v="Manhattan"/>
    <x v="3"/>
    <x v="659"/>
  </r>
  <r>
    <x v="33"/>
    <x v="21"/>
    <x v="4"/>
    <x v="122"/>
    <n v="48"/>
    <x v="2"/>
    <s v="Queens"/>
    <x v="1"/>
    <x v="660"/>
  </r>
  <r>
    <x v="282"/>
    <x v="4"/>
    <x v="1"/>
    <x v="49"/>
    <n v="58"/>
    <x v="3"/>
    <s v="Manhattan"/>
    <x v="2"/>
    <x v="661"/>
  </r>
  <r>
    <x v="80"/>
    <x v="21"/>
    <x v="4"/>
    <x v="298"/>
    <n v="24"/>
    <x v="9"/>
    <s v="Staten Island"/>
    <x v="2"/>
    <x v="662"/>
  </r>
  <r>
    <x v="40"/>
    <x v="1"/>
    <x v="1"/>
    <x v="150"/>
    <n v="31"/>
    <x v="6"/>
    <s v="Long Island"/>
    <x v="4"/>
    <x v="663"/>
  </r>
  <r>
    <x v="182"/>
    <x v="4"/>
    <x v="3"/>
    <x v="61"/>
    <n v="29"/>
    <x v="6"/>
    <s v="Central NY."/>
    <x v="1"/>
    <x v="664"/>
  </r>
  <r>
    <x v="135"/>
    <x v="13"/>
    <x v="0"/>
    <x v="307"/>
    <n v="69"/>
    <x v="3"/>
    <s v="Brooklyn"/>
    <x v="0"/>
    <x v="665"/>
  </r>
  <r>
    <x v="34"/>
    <x v="12"/>
    <x v="1"/>
    <x v="154"/>
    <n v="79"/>
    <x v="4"/>
    <s v="Long Island"/>
    <x v="1"/>
    <x v="666"/>
  </r>
  <r>
    <x v="93"/>
    <x v="2"/>
    <x v="2"/>
    <x v="7"/>
    <n v="56"/>
    <x v="1"/>
    <s v="Queens"/>
    <x v="3"/>
    <x v="667"/>
  </r>
  <r>
    <x v="182"/>
    <x v="13"/>
    <x v="4"/>
    <x v="326"/>
    <n v="84"/>
    <x v="1"/>
    <s v="Manhattan"/>
    <x v="0"/>
    <x v="349"/>
  </r>
  <r>
    <x v="143"/>
    <x v="7"/>
    <x v="1"/>
    <x v="148"/>
    <n v="66"/>
    <x v="4"/>
    <s v="Central NY."/>
    <x v="1"/>
    <x v="375"/>
  </r>
  <r>
    <x v="175"/>
    <x v="8"/>
    <x v="3"/>
    <x v="5"/>
    <n v="92"/>
    <x v="9"/>
    <s v="The Bronx"/>
    <x v="2"/>
    <x v="668"/>
  </r>
  <r>
    <x v="184"/>
    <x v="6"/>
    <x v="4"/>
    <x v="141"/>
    <n v="92"/>
    <x v="2"/>
    <s v="Upstate West"/>
    <x v="3"/>
    <x v="669"/>
  </r>
  <r>
    <x v="104"/>
    <x v="11"/>
    <x v="4"/>
    <x v="157"/>
    <n v="74"/>
    <x v="2"/>
    <s v="Brooklyn"/>
    <x v="1"/>
    <x v="205"/>
  </r>
  <r>
    <x v="91"/>
    <x v="2"/>
    <x v="4"/>
    <x v="321"/>
    <n v="71"/>
    <x v="0"/>
    <s v="Queens"/>
    <x v="4"/>
    <x v="670"/>
  </r>
  <r>
    <x v="214"/>
    <x v="10"/>
    <x v="3"/>
    <x v="327"/>
    <n v="40"/>
    <x v="3"/>
    <s v="Staten Island"/>
    <x v="3"/>
    <x v="671"/>
  </r>
  <r>
    <x v="266"/>
    <x v="1"/>
    <x v="1"/>
    <x v="328"/>
    <n v="72"/>
    <x v="7"/>
    <s v="Central NY."/>
    <x v="1"/>
    <x v="672"/>
  </r>
  <r>
    <x v="182"/>
    <x v="11"/>
    <x v="2"/>
    <x v="268"/>
    <n v="30"/>
    <x v="6"/>
    <s v="Capital Region"/>
    <x v="3"/>
    <x v="416"/>
  </r>
  <r>
    <x v="214"/>
    <x v="17"/>
    <x v="1"/>
    <x v="322"/>
    <n v="54"/>
    <x v="9"/>
    <s v="Central NY."/>
    <x v="4"/>
    <x v="673"/>
  </r>
  <r>
    <x v="224"/>
    <x v="7"/>
    <x v="1"/>
    <x v="329"/>
    <n v="41"/>
    <x v="1"/>
    <s v="The Bronx"/>
    <x v="4"/>
    <x v="674"/>
  </r>
  <r>
    <x v="293"/>
    <x v="18"/>
    <x v="0"/>
    <x v="188"/>
    <n v="65"/>
    <x v="5"/>
    <s v="Queens"/>
    <x v="3"/>
    <x v="675"/>
  </r>
  <r>
    <x v="25"/>
    <x v="8"/>
    <x v="0"/>
    <x v="242"/>
    <n v="99"/>
    <x v="5"/>
    <s v="Capital Region"/>
    <x v="4"/>
    <x v="676"/>
  </r>
  <r>
    <x v="292"/>
    <x v="9"/>
    <x v="3"/>
    <x v="328"/>
    <n v="32"/>
    <x v="4"/>
    <s v="Upstate West"/>
    <x v="0"/>
    <x v="677"/>
  </r>
  <r>
    <x v="173"/>
    <x v="9"/>
    <x v="4"/>
    <x v="151"/>
    <n v="71"/>
    <x v="7"/>
    <s v="The Bronx"/>
    <x v="0"/>
    <x v="678"/>
  </r>
  <r>
    <x v="141"/>
    <x v="19"/>
    <x v="2"/>
    <x v="245"/>
    <n v="49"/>
    <x v="7"/>
    <s v="Staten Island"/>
    <x v="2"/>
    <x v="679"/>
  </r>
  <r>
    <x v="63"/>
    <x v="9"/>
    <x v="1"/>
    <x v="330"/>
    <n v="23"/>
    <x v="5"/>
    <s v="Staten Island"/>
    <x v="3"/>
    <x v="680"/>
  </r>
  <r>
    <x v="199"/>
    <x v="18"/>
    <x v="4"/>
    <x v="215"/>
    <n v="91"/>
    <x v="3"/>
    <s v="Capital Region"/>
    <x v="2"/>
    <x v="681"/>
  </r>
  <r>
    <x v="216"/>
    <x v="0"/>
    <x v="2"/>
    <x v="136"/>
    <n v="46"/>
    <x v="0"/>
    <s v="Queens"/>
    <x v="1"/>
    <x v="682"/>
  </r>
  <r>
    <x v="253"/>
    <x v="13"/>
    <x v="1"/>
    <x v="331"/>
    <n v="50"/>
    <x v="9"/>
    <s v="Upstate West"/>
    <x v="4"/>
    <x v="683"/>
  </r>
  <r>
    <x v="108"/>
    <x v="1"/>
    <x v="1"/>
    <x v="332"/>
    <n v="39"/>
    <x v="9"/>
    <s v="Upstate North"/>
    <x v="0"/>
    <x v="684"/>
  </r>
  <r>
    <x v="149"/>
    <x v="11"/>
    <x v="3"/>
    <x v="107"/>
    <n v="99"/>
    <x v="9"/>
    <s v="Brooklyn"/>
    <x v="2"/>
    <x v="685"/>
  </r>
  <r>
    <x v="276"/>
    <x v="7"/>
    <x v="4"/>
    <x v="333"/>
    <n v="48"/>
    <x v="5"/>
    <s v="Long Island"/>
    <x v="0"/>
    <x v="686"/>
  </r>
  <r>
    <x v="308"/>
    <x v="0"/>
    <x v="4"/>
    <x v="95"/>
    <n v="20"/>
    <x v="6"/>
    <s v="Brooklyn"/>
    <x v="3"/>
    <x v="687"/>
  </r>
  <r>
    <x v="15"/>
    <x v="4"/>
    <x v="3"/>
    <x v="334"/>
    <n v="95"/>
    <x v="0"/>
    <s v="Staten Island"/>
    <x v="0"/>
    <x v="688"/>
  </r>
  <r>
    <x v="156"/>
    <x v="20"/>
    <x v="4"/>
    <x v="148"/>
    <n v="100"/>
    <x v="5"/>
    <s v="Capital Region"/>
    <x v="1"/>
    <x v="689"/>
  </r>
  <r>
    <x v="298"/>
    <x v="4"/>
    <x v="0"/>
    <x v="98"/>
    <n v="54"/>
    <x v="2"/>
    <s v="Capital Region"/>
    <x v="0"/>
    <x v="690"/>
  </r>
  <r>
    <x v="309"/>
    <x v="17"/>
    <x v="1"/>
    <x v="141"/>
    <n v="83"/>
    <x v="1"/>
    <s v="Capital Region"/>
    <x v="3"/>
    <x v="691"/>
  </r>
  <r>
    <x v="310"/>
    <x v="10"/>
    <x v="2"/>
    <x v="94"/>
    <n v="26"/>
    <x v="7"/>
    <s v="Upstate North"/>
    <x v="3"/>
    <x v="692"/>
  </r>
  <r>
    <x v="267"/>
    <x v="19"/>
    <x v="3"/>
    <x v="146"/>
    <n v="84"/>
    <x v="2"/>
    <s v="Staten Island"/>
    <x v="0"/>
    <x v="693"/>
  </r>
  <r>
    <x v="288"/>
    <x v="4"/>
    <x v="4"/>
    <x v="126"/>
    <n v="43"/>
    <x v="2"/>
    <s v="Staten Island"/>
    <x v="3"/>
    <x v="694"/>
  </r>
  <r>
    <x v="103"/>
    <x v="15"/>
    <x v="2"/>
    <x v="113"/>
    <n v="33"/>
    <x v="5"/>
    <s v="Long Island"/>
    <x v="3"/>
    <x v="695"/>
  </r>
  <r>
    <x v="16"/>
    <x v="4"/>
    <x v="0"/>
    <x v="111"/>
    <n v="39"/>
    <x v="3"/>
    <s v="Brooklyn"/>
    <x v="3"/>
    <x v="696"/>
  </r>
  <r>
    <x v="261"/>
    <x v="3"/>
    <x v="4"/>
    <x v="129"/>
    <n v="46"/>
    <x v="2"/>
    <s v="Queens"/>
    <x v="3"/>
    <x v="697"/>
  </r>
  <r>
    <x v="194"/>
    <x v="4"/>
    <x v="2"/>
    <x v="327"/>
    <n v="50"/>
    <x v="7"/>
    <s v="Manhattan"/>
    <x v="1"/>
    <x v="90"/>
  </r>
  <r>
    <x v="136"/>
    <x v="19"/>
    <x v="1"/>
    <x v="82"/>
    <n v="35"/>
    <x v="9"/>
    <s v="Upstate West"/>
    <x v="3"/>
    <x v="698"/>
  </r>
  <r>
    <x v="40"/>
    <x v="13"/>
    <x v="3"/>
    <x v="178"/>
    <n v="26"/>
    <x v="8"/>
    <s v="Long Island"/>
    <x v="2"/>
    <x v="699"/>
  </r>
  <r>
    <x v="70"/>
    <x v="14"/>
    <x v="2"/>
    <x v="335"/>
    <n v="44"/>
    <x v="0"/>
    <s v="Upstate North"/>
    <x v="2"/>
    <x v="700"/>
  </r>
  <r>
    <x v="281"/>
    <x v="11"/>
    <x v="2"/>
    <x v="149"/>
    <n v="31"/>
    <x v="2"/>
    <s v="Long Island"/>
    <x v="3"/>
    <x v="701"/>
  </r>
  <r>
    <x v="56"/>
    <x v="19"/>
    <x v="4"/>
    <x v="94"/>
    <n v="65"/>
    <x v="0"/>
    <s v="Capital Region"/>
    <x v="0"/>
    <x v="702"/>
  </r>
  <r>
    <x v="311"/>
    <x v="17"/>
    <x v="2"/>
    <x v="7"/>
    <n v="42"/>
    <x v="3"/>
    <s v="Upstate North"/>
    <x v="3"/>
    <x v="703"/>
  </r>
  <r>
    <x v="206"/>
    <x v="20"/>
    <x v="1"/>
    <x v="220"/>
    <n v="62"/>
    <x v="3"/>
    <s v="Capital Region"/>
    <x v="2"/>
    <x v="26"/>
  </r>
  <r>
    <x v="146"/>
    <x v="2"/>
    <x v="0"/>
    <x v="257"/>
    <n v="21"/>
    <x v="7"/>
    <s v="Queens"/>
    <x v="1"/>
    <x v="704"/>
  </r>
  <r>
    <x v="105"/>
    <x v="9"/>
    <x v="2"/>
    <x v="80"/>
    <n v="60"/>
    <x v="5"/>
    <s v="The Bronx"/>
    <x v="3"/>
    <x v="241"/>
  </r>
  <r>
    <x v="252"/>
    <x v="16"/>
    <x v="0"/>
    <x v="336"/>
    <n v="51"/>
    <x v="5"/>
    <s v="Manhattan"/>
    <x v="4"/>
    <x v="705"/>
  </r>
  <r>
    <x v="33"/>
    <x v="8"/>
    <x v="2"/>
    <x v="337"/>
    <n v="84"/>
    <x v="4"/>
    <s v="Upstate West"/>
    <x v="1"/>
    <x v="706"/>
  </r>
  <r>
    <x v="240"/>
    <x v="8"/>
    <x v="2"/>
    <x v="338"/>
    <n v="26"/>
    <x v="1"/>
    <s v="The Bronx"/>
    <x v="3"/>
    <x v="148"/>
  </r>
  <r>
    <x v="31"/>
    <x v="11"/>
    <x v="1"/>
    <x v="62"/>
    <n v="44"/>
    <x v="7"/>
    <s v="Manhattan"/>
    <x v="2"/>
    <x v="707"/>
  </r>
  <r>
    <x v="143"/>
    <x v="16"/>
    <x v="2"/>
    <x v="159"/>
    <n v="41"/>
    <x v="6"/>
    <s v="Capital Region"/>
    <x v="3"/>
    <x v="708"/>
  </r>
  <r>
    <x v="277"/>
    <x v="19"/>
    <x v="2"/>
    <x v="130"/>
    <n v="35"/>
    <x v="5"/>
    <s v="The Bronx"/>
    <x v="4"/>
    <x v="709"/>
  </r>
  <r>
    <x v="88"/>
    <x v="10"/>
    <x v="0"/>
    <x v="198"/>
    <n v="50"/>
    <x v="6"/>
    <s v="Upstate North"/>
    <x v="1"/>
    <x v="710"/>
  </r>
  <r>
    <x v="107"/>
    <x v="1"/>
    <x v="0"/>
    <x v="19"/>
    <n v="26"/>
    <x v="4"/>
    <s v="Long Island"/>
    <x v="2"/>
    <x v="711"/>
  </r>
  <r>
    <x v="120"/>
    <x v="13"/>
    <x v="4"/>
    <x v="2"/>
    <n v="78"/>
    <x v="8"/>
    <s v="The Bronx"/>
    <x v="4"/>
    <x v="712"/>
  </r>
  <r>
    <x v="154"/>
    <x v="15"/>
    <x v="3"/>
    <x v="339"/>
    <n v="82"/>
    <x v="5"/>
    <s v="Manhattan"/>
    <x v="2"/>
    <x v="713"/>
  </r>
  <r>
    <x v="45"/>
    <x v="9"/>
    <x v="3"/>
    <x v="142"/>
    <n v="39"/>
    <x v="1"/>
    <s v="Brooklyn"/>
    <x v="1"/>
    <x v="364"/>
  </r>
  <r>
    <x v="119"/>
    <x v="4"/>
    <x v="4"/>
    <x v="189"/>
    <n v="50"/>
    <x v="0"/>
    <s v="Long Island"/>
    <x v="3"/>
    <x v="714"/>
  </r>
  <r>
    <x v="278"/>
    <x v="8"/>
    <x v="0"/>
    <x v="38"/>
    <n v="20"/>
    <x v="9"/>
    <s v="Brooklyn"/>
    <x v="1"/>
    <x v="715"/>
  </r>
  <r>
    <x v="66"/>
    <x v="4"/>
    <x v="3"/>
    <x v="86"/>
    <n v="24"/>
    <x v="9"/>
    <s v="Queens"/>
    <x v="3"/>
    <x v="716"/>
  </r>
  <r>
    <x v="69"/>
    <x v="19"/>
    <x v="1"/>
    <x v="340"/>
    <n v="41"/>
    <x v="6"/>
    <s v="The Bronx"/>
    <x v="2"/>
    <x v="717"/>
  </r>
  <r>
    <x v="169"/>
    <x v="5"/>
    <x v="2"/>
    <x v="151"/>
    <n v="38"/>
    <x v="0"/>
    <s v="Upstate West"/>
    <x v="4"/>
    <x v="718"/>
  </r>
  <r>
    <x v="29"/>
    <x v="10"/>
    <x v="0"/>
    <x v="70"/>
    <n v="47"/>
    <x v="9"/>
    <s v="Upstate West"/>
    <x v="1"/>
    <x v="719"/>
  </r>
  <r>
    <x v="136"/>
    <x v="15"/>
    <x v="0"/>
    <x v="15"/>
    <n v="69"/>
    <x v="8"/>
    <s v="Brooklyn"/>
    <x v="3"/>
    <x v="720"/>
  </r>
  <r>
    <x v="73"/>
    <x v="4"/>
    <x v="2"/>
    <x v="212"/>
    <n v="38"/>
    <x v="0"/>
    <s v="Upstate North"/>
    <x v="3"/>
    <x v="721"/>
  </r>
  <r>
    <x v="88"/>
    <x v="15"/>
    <x v="4"/>
    <x v="341"/>
    <n v="89"/>
    <x v="2"/>
    <s v="Upstate West"/>
    <x v="4"/>
    <x v="722"/>
  </r>
  <r>
    <x v="235"/>
    <x v="8"/>
    <x v="1"/>
    <x v="223"/>
    <n v="96"/>
    <x v="6"/>
    <s v="Staten Island"/>
    <x v="2"/>
    <x v="723"/>
  </r>
  <r>
    <x v="224"/>
    <x v="1"/>
    <x v="4"/>
    <x v="223"/>
    <n v="81"/>
    <x v="4"/>
    <s v="The Bronx"/>
    <x v="1"/>
    <x v="724"/>
  </r>
  <r>
    <x v="129"/>
    <x v="4"/>
    <x v="3"/>
    <x v="342"/>
    <n v="83"/>
    <x v="8"/>
    <s v="Upstate West"/>
    <x v="4"/>
    <x v="725"/>
  </r>
  <r>
    <x v="166"/>
    <x v="8"/>
    <x v="3"/>
    <x v="233"/>
    <n v="35"/>
    <x v="0"/>
    <s v="Central NY."/>
    <x v="0"/>
    <x v="726"/>
  </r>
  <r>
    <x v="312"/>
    <x v="14"/>
    <x v="2"/>
    <x v="293"/>
    <n v="56"/>
    <x v="8"/>
    <s v="Brooklyn"/>
    <x v="4"/>
    <x v="727"/>
  </r>
  <r>
    <x v="297"/>
    <x v="13"/>
    <x v="0"/>
    <x v="120"/>
    <n v="62"/>
    <x v="7"/>
    <s v="Upstate North"/>
    <x v="3"/>
    <x v="583"/>
  </r>
  <r>
    <x v="97"/>
    <x v="3"/>
    <x v="2"/>
    <x v="265"/>
    <n v="62"/>
    <x v="4"/>
    <s v="Upstate North"/>
    <x v="0"/>
    <x v="728"/>
  </r>
  <r>
    <x v="24"/>
    <x v="20"/>
    <x v="3"/>
    <x v="19"/>
    <n v="84"/>
    <x v="0"/>
    <s v="Central NY."/>
    <x v="2"/>
    <x v="729"/>
  </r>
  <r>
    <x v="208"/>
    <x v="6"/>
    <x v="0"/>
    <x v="63"/>
    <n v="24"/>
    <x v="1"/>
    <s v="Capital Region"/>
    <x v="2"/>
    <x v="730"/>
  </r>
  <r>
    <x v="125"/>
    <x v="19"/>
    <x v="1"/>
    <x v="53"/>
    <n v="92"/>
    <x v="3"/>
    <s v="Upstate West"/>
    <x v="3"/>
    <x v="583"/>
  </r>
  <r>
    <x v="93"/>
    <x v="8"/>
    <x v="3"/>
    <x v="139"/>
    <n v="91"/>
    <x v="4"/>
    <s v="Central NY."/>
    <x v="1"/>
    <x v="731"/>
  </r>
  <r>
    <x v="202"/>
    <x v="9"/>
    <x v="1"/>
    <x v="305"/>
    <n v="36"/>
    <x v="8"/>
    <s v="Manhattan"/>
    <x v="4"/>
    <x v="732"/>
  </r>
  <r>
    <x v="256"/>
    <x v="12"/>
    <x v="2"/>
    <x v="342"/>
    <n v="39"/>
    <x v="5"/>
    <s v="Long Island"/>
    <x v="2"/>
    <x v="733"/>
  </r>
  <r>
    <x v="207"/>
    <x v="19"/>
    <x v="0"/>
    <x v="229"/>
    <n v="39"/>
    <x v="0"/>
    <s v="Central NY."/>
    <x v="0"/>
    <x v="734"/>
  </r>
  <r>
    <x v="74"/>
    <x v="19"/>
    <x v="2"/>
    <x v="111"/>
    <n v="59"/>
    <x v="7"/>
    <s v="Central NY."/>
    <x v="2"/>
    <x v="735"/>
  </r>
  <r>
    <x v="120"/>
    <x v="4"/>
    <x v="1"/>
    <x v="260"/>
    <n v="27"/>
    <x v="7"/>
    <s v="Central NY."/>
    <x v="1"/>
    <x v="736"/>
  </r>
  <r>
    <x v="150"/>
    <x v="7"/>
    <x v="2"/>
    <x v="101"/>
    <n v="94"/>
    <x v="4"/>
    <s v="Manhattan"/>
    <x v="1"/>
    <x v="737"/>
  </r>
  <r>
    <x v="279"/>
    <x v="0"/>
    <x v="4"/>
    <x v="171"/>
    <n v="55"/>
    <x v="8"/>
    <s v="Manhattan"/>
    <x v="3"/>
    <x v="738"/>
  </r>
  <r>
    <x v="74"/>
    <x v="13"/>
    <x v="3"/>
    <x v="29"/>
    <n v="50"/>
    <x v="2"/>
    <s v="Queens"/>
    <x v="3"/>
    <x v="656"/>
  </r>
  <r>
    <x v="308"/>
    <x v="7"/>
    <x v="2"/>
    <x v="111"/>
    <n v="33"/>
    <x v="0"/>
    <s v="Upstate North"/>
    <x v="3"/>
    <x v="739"/>
  </r>
  <r>
    <x v="313"/>
    <x v="11"/>
    <x v="2"/>
    <x v="130"/>
    <n v="22"/>
    <x v="8"/>
    <s v="Manhattan"/>
    <x v="3"/>
    <x v="740"/>
  </r>
  <r>
    <x v="31"/>
    <x v="20"/>
    <x v="3"/>
    <x v="232"/>
    <n v="38"/>
    <x v="0"/>
    <s v="Queens"/>
    <x v="3"/>
    <x v="200"/>
  </r>
  <r>
    <x v="121"/>
    <x v="14"/>
    <x v="3"/>
    <x v="37"/>
    <n v="76"/>
    <x v="6"/>
    <s v="Long Island"/>
    <x v="1"/>
    <x v="366"/>
  </r>
  <r>
    <x v="314"/>
    <x v="17"/>
    <x v="3"/>
    <x v="330"/>
    <n v="63"/>
    <x v="9"/>
    <s v="The Bronx"/>
    <x v="4"/>
    <x v="741"/>
  </r>
  <r>
    <x v="104"/>
    <x v="5"/>
    <x v="2"/>
    <x v="111"/>
    <n v="80"/>
    <x v="6"/>
    <s v="Queens"/>
    <x v="4"/>
    <x v="742"/>
  </r>
  <r>
    <x v="315"/>
    <x v="9"/>
    <x v="3"/>
    <x v="100"/>
    <n v="59"/>
    <x v="9"/>
    <s v="Central NY."/>
    <x v="3"/>
    <x v="743"/>
  </r>
  <r>
    <x v="97"/>
    <x v="1"/>
    <x v="4"/>
    <x v="106"/>
    <n v="89"/>
    <x v="3"/>
    <s v="Queens"/>
    <x v="1"/>
    <x v="744"/>
  </r>
  <r>
    <x v="316"/>
    <x v="4"/>
    <x v="4"/>
    <x v="214"/>
    <n v="26"/>
    <x v="9"/>
    <s v="Upstate West"/>
    <x v="4"/>
    <x v="745"/>
  </r>
  <r>
    <x v="317"/>
    <x v="1"/>
    <x v="2"/>
    <x v="104"/>
    <n v="90"/>
    <x v="2"/>
    <s v="Upstate North"/>
    <x v="4"/>
    <x v="746"/>
  </r>
  <r>
    <x v="318"/>
    <x v="12"/>
    <x v="1"/>
    <x v="271"/>
    <n v="28"/>
    <x v="6"/>
    <s v="Capital Region"/>
    <x v="0"/>
    <x v="747"/>
  </r>
  <r>
    <x v="202"/>
    <x v="18"/>
    <x v="2"/>
    <x v="105"/>
    <n v="29"/>
    <x v="0"/>
    <s v="Central NY."/>
    <x v="1"/>
    <x v="748"/>
  </r>
  <r>
    <x v="166"/>
    <x v="10"/>
    <x v="4"/>
    <x v="23"/>
    <n v="42"/>
    <x v="7"/>
    <s v="Upstate West"/>
    <x v="3"/>
    <x v="749"/>
  </r>
  <r>
    <x v="105"/>
    <x v="6"/>
    <x v="0"/>
    <x v="200"/>
    <n v="24"/>
    <x v="6"/>
    <s v="Staten Island"/>
    <x v="0"/>
    <x v="750"/>
  </r>
  <r>
    <x v="67"/>
    <x v="7"/>
    <x v="3"/>
    <x v="138"/>
    <n v="88"/>
    <x v="2"/>
    <s v="Manhattan"/>
    <x v="2"/>
    <x v="751"/>
  </r>
  <r>
    <x v="178"/>
    <x v="21"/>
    <x v="3"/>
    <x v="110"/>
    <n v="87"/>
    <x v="9"/>
    <s v="Brooklyn"/>
    <x v="2"/>
    <x v="752"/>
  </r>
  <r>
    <x v="197"/>
    <x v="13"/>
    <x v="2"/>
    <x v="113"/>
    <n v="80"/>
    <x v="7"/>
    <s v="Manhattan"/>
    <x v="0"/>
    <x v="753"/>
  </r>
  <r>
    <x v="319"/>
    <x v="12"/>
    <x v="3"/>
    <x v="327"/>
    <n v="48"/>
    <x v="5"/>
    <s v="Manhattan"/>
    <x v="4"/>
    <x v="754"/>
  </r>
  <r>
    <x v="138"/>
    <x v="19"/>
    <x v="3"/>
    <x v="212"/>
    <n v="21"/>
    <x v="8"/>
    <s v="Staten Island"/>
    <x v="0"/>
    <x v="755"/>
  </r>
  <r>
    <x v="102"/>
    <x v="6"/>
    <x v="3"/>
    <x v="343"/>
    <n v="72"/>
    <x v="1"/>
    <s v="Upstate West"/>
    <x v="4"/>
    <x v="756"/>
  </r>
  <r>
    <x v="276"/>
    <x v="5"/>
    <x v="2"/>
    <x v="35"/>
    <n v="44"/>
    <x v="8"/>
    <s v="Manhattan"/>
    <x v="4"/>
    <x v="757"/>
  </r>
  <r>
    <x v="159"/>
    <x v="3"/>
    <x v="0"/>
    <x v="104"/>
    <n v="73"/>
    <x v="8"/>
    <s v="Upstate West"/>
    <x v="0"/>
    <x v="758"/>
  </r>
  <r>
    <x v="187"/>
    <x v="20"/>
    <x v="3"/>
    <x v="220"/>
    <n v="96"/>
    <x v="3"/>
    <s v="Upstate West"/>
    <x v="3"/>
    <x v="759"/>
  </r>
  <r>
    <x v="14"/>
    <x v="14"/>
    <x v="0"/>
    <x v="129"/>
    <n v="33"/>
    <x v="7"/>
    <s v="Queens"/>
    <x v="3"/>
    <x v="760"/>
  </r>
  <r>
    <x v="187"/>
    <x v="12"/>
    <x v="2"/>
    <x v="295"/>
    <n v="86"/>
    <x v="4"/>
    <s v="Manhattan"/>
    <x v="2"/>
    <x v="761"/>
  </r>
  <r>
    <x v="20"/>
    <x v="12"/>
    <x v="1"/>
    <x v="26"/>
    <n v="60"/>
    <x v="3"/>
    <s v="Capital Region"/>
    <x v="0"/>
    <x v="272"/>
  </r>
  <r>
    <x v="180"/>
    <x v="13"/>
    <x v="4"/>
    <x v="251"/>
    <n v="43"/>
    <x v="6"/>
    <s v="The Bronx"/>
    <x v="4"/>
    <x v="762"/>
  </r>
  <r>
    <x v="133"/>
    <x v="16"/>
    <x v="2"/>
    <x v="216"/>
    <n v="44"/>
    <x v="8"/>
    <s v="Long Island"/>
    <x v="1"/>
    <x v="763"/>
  </r>
  <r>
    <x v="119"/>
    <x v="14"/>
    <x v="4"/>
    <x v="270"/>
    <n v="76"/>
    <x v="8"/>
    <s v="Upstate West"/>
    <x v="0"/>
    <x v="764"/>
  </r>
  <r>
    <x v="154"/>
    <x v="16"/>
    <x v="0"/>
    <x v="122"/>
    <n v="33"/>
    <x v="7"/>
    <s v="Upstate North"/>
    <x v="1"/>
    <x v="506"/>
  </r>
  <r>
    <x v="187"/>
    <x v="14"/>
    <x v="2"/>
    <x v="61"/>
    <n v="60"/>
    <x v="0"/>
    <s v="Manhattan"/>
    <x v="2"/>
    <x v="765"/>
  </r>
  <r>
    <x v="254"/>
    <x v="15"/>
    <x v="1"/>
    <x v="149"/>
    <n v="23"/>
    <x v="0"/>
    <s v="Upstate North"/>
    <x v="3"/>
    <x v="760"/>
  </r>
  <r>
    <x v="233"/>
    <x v="17"/>
    <x v="2"/>
    <x v="165"/>
    <n v="73"/>
    <x v="8"/>
    <s v="Staten Island"/>
    <x v="4"/>
    <x v="766"/>
  </r>
  <r>
    <x v="159"/>
    <x v="6"/>
    <x v="0"/>
    <x v="146"/>
    <n v="87"/>
    <x v="1"/>
    <s v="Upstate West"/>
    <x v="4"/>
    <x v="767"/>
  </r>
  <r>
    <x v="297"/>
    <x v="4"/>
    <x v="3"/>
    <x v="157"/>
    <n v="100"/>
    <x v="1"/>
    <s v="Capital Region"/>
    <x v="1"/>
    <x v="768"/>
  </r>
  <r>
    <x v="216"/>
    <x v="19"/>
    <x v="2"/>
    <x v="23"/>
    <n v="37"/>
    <x v="1"/>
    <s v="Queens"/>
    <x v="3"/>
    <x v="769"/>
  </r>
  <r>
    <x v="242"/>
    <x v="5"/>
    <x v="1"/>
    <x v="228"/>
    <n v="41"/>
    <x v="1"/>
    <s v="Upstate North"/>
    <x v="4"/>
    <x v="770"/>
  </r>
  <r>
    <x v="224"/>
    <x v="8"/>
    <x v="1"/>
    <x v="210"/>
    <n v="59"/>
    <x v="9"/>
    <s v="Central NY."/>
    <x v="0"/>
    <x v="771"/>
  </r>
  <r>
    <x v="258"/>
    <x v="17"/>
    <x v="0"/>
    <x v="212"/>
    <n v="26"/>
    <x v="4"/>
    <s v="Manhattan"/>
    <x v="3"/>
    <x v="772"/>
  </r>
  <r>
    <x v="30"/>
    <x v="7"/>
    <x v="0"/>
    <x v="22"/>
    <n v="69"/>
    <x v="2"/>
    <s v="Queens"/>
    <x v="1"/>
    <x v="773"/>
  </r>
  <r>
    <x v="274"/>
    <x v="1"/>
    <x v="2"/>
    <x v="55"/>
    <n v="20"/>
    <x v="3"/>
    <s v="Long Island"/>
    <x v="1"/>
    <x v="774"/>
  </r>
  <r>
    <x v="237"/>
    <x v="17"/>
    <x v="4"/>
    <x v="75"/>
    <n v="88"/>
    <x v="1"/>
    <s v="The Bronx"/>
    <x v="3"/>
    <x v="775"/>
  </r>
  <r>
    <x v="310"/>
    <x v="21"/>
    <x v="0"/>
    <x v="89"/>
    <n v="54"/>
    <x v="8"/>
    <s v="Central NY."/>
    <x v="0"/>
    <x v="776"/>
  </r>
  <r>
    <x v="97"/>
    <x v="6"/>
    <x v="4"/>
    <x v="344"/>
    <n v="66"/>
    <x v="3"/>
    <s v="Brooklyn"/>
    <x v="0"/>
    <x v="777"/>
  </r>
  <r>
    <x v="320"/>
    <x v="10"/>
    <x v="2"/>
    <x v="36"/>
    <n v="42"/>
    <x v="7"/>
    <s v="The Bronx"/>
    <x v="2"/>
    <x v="778"/>
  </r>
  <r>
    <x v="179"/>
    <x v="18"/>
    <x v="1"/>
    <x v="48"/>
    <n v="33"/>
    <x v="6"/>
    <s v="Manhattan"/>
    <x v="0"/>
    <x v="779"/>
  </r>
  <r>
    <x v="146"/>
    <x v="10"/>
    <x v="1"/>
    <x v="144"/>
    <n v="77"/>
    <x v="6"/>
    <s v="Manhattan"/>
    <x v="0"/>
    <x v="780"/>
  </r>
  <r>
    <x v="159"/>
    <x v="20"/>
    <x v="1"/>
    <x v="311"/>
    <n v="65"/>
    <x v="9"/>
    <s v="Upstate North"/>
    <x v="0"/>
    <x v="781"/>
  </r>
  <r>
    <x v="310"/>
    <x v="11"/>
    <x v="1"/>
    <x v="220"/>
    <n v="39"/>
    <x v="7"/>
    <s v="Long Island"/>
    <x v="1"/>
    <x v="782"/>
  </r>
  <r>
    <x v="321"/>
    <x v="14"/>
    <x v="4"/>
    <x v="40"/>
    <n v="51"/>
    <x v="6"/>
    <s v="Long Island"/>
    <x v="2"/>
    <x v="783"/>
  </r>
  <r>
    <x v="138"/>
    <x v="11"/>
    <x v="3"/>
    <x v="7"/>
    <n v="26"/>
    <x v="9"/>
    <s v="Staten Island"/>
    <x v="3"/>
    <x v="784"/>
  </r>
  <r>
    <x v="30"/>
    <x v="13"/>
    <x v="0"/>
    <x v="123"/>
    <n v="89"/>
    <x v="5"/>
    <s v="The Bronx"/>
    <x v="0"/>
    <x v="785"/>
  </r>
  <r>
    <x v="260"/>
    <x v="3"/>
    <x v="0"/>
    <x v="331"/>
    <n v="76"/>
    <x v="1"/>
    <s v="Upstate North"/>
    <x v="2"/>
    <x v="786"/>
  </r>
  <r>
    <x v="146"/>
    <x v="2"/>
    <x v="3"/>
    <x v="345"/>
    <n v="75"/>
    <x v="2"/>
    <s v="Upstate North"/>
    <x v="1"/>
    <x v="787"/>
  </r>
  <r>
    <x v="263"/>
    <x v="17"/>
    <x v="0"/>
    <x v="256"/>
    <n v="61"/>
    <x v="4"/>
    <s v="Upstate North"/>
    <x v="4"/>
    <x v="788"/>
  </r>
  <r>
    <x v="248"/>
    <x v="10"/>
    <x v="2"/>
    <x v="220"/>
    <n v="77"/>
    <x v="8"/>
    <s v="Capital Region"/>
    <x v="3"/>
    <x v="789"/>
  </r>
  <r>
    <x v="212"/>
    <x v="17"/>
    <x v="0"/>
    <x v="346"/>
    <n v="37"/>
    <x v="3"/>
    <s v="Capital Region"/>
    <x v="2"/>
    <x v="790"/>
  </r>
  <r>
    <x v="52"/>
    <x v="12"/>
    <x v="1"/>
    <x v="331"/>
    <n v="91"/>
    <x v="9"/>
    <s v="Upstate West"/>
    <x v="2"/>
    <x v="791"/>
  </r>
  <r>
    <x v="275"/>
    <x v="2"/>
    <x v="0"/>
    <x v="10"/>
    <n v="27"/>
    <x v="6"/>
    <s v="Upstate North"/>
    <x v="3"/>
    <x v="792"/>
  </r>
  <r>
    <x v="12"/>
    <x v="11"/>
    <x v="3"/>
    <x v="64"/>
    <n v="54"/>
    <x v="1"/>
    <s v="Upstate North"/>
    <x v="2"/>
    <x v="793"/>
  </r>
  <r>
    <x v="299"/>
    <x v="19"/>
    <x v="0"/>
    <x v="188"/>
    <n v="47"/>
    <x v="1"/>
    <s v="Capital Region"/>
    <x v="1"/>
    <x v="794"/>
  </r>
  <r>
    <x v="322"/>
    <x v="3"/>
    <x v="4"/>
    <x v="188"/>
    <n v="77"/>
    <x v="2"/>
    <s v="The Bronx"/>
    <x v="0"/>
    <x v="595"/>
  </r>
  <r>
    <x v="62"/>
    <x v="21"/>
    <x v="1"/>
    <x v="212"/>
    <n v="84"/>
    <x v="7"/>
    <s v="Upstate West"/>
    <x v="2"/>
    <x v="133"/>
  </r>
  <r>
    <x v="239"/>
    <x v="17"/>
    <x v="3"/>
    <x v="56"/>
    <n v="51"/>
    <x v="0"/>
    <s v="Upstate West"/>
    <x v="0"/>
    <x v="795"/>
  </r>
  <r>
    <x v="163"/>
    <x v="20"/>
    <x v="0"/>
    <x v="347"/>
    <n v="82"/>
    <x v="4"/>
    <s v="Upstate North"/>
    <x v="3"/>
    <x v="796"/>
  </r>
  <r>
    <x v="115"/>
    <x v="4"/>
    <x v="1"/>
    <x v="348"/>
    <n v="64"/>
    <x v="5"/>
    <s v="Queens"/>
    <x v="2"/>
    <x v="797"/>
  </r>
  <r>
    <x v="17"/>
    <x v="1"/>
    <x v="1"/>
    <x v="112"/>
    <n v="51"/>
    <x v="0"/>
    <s v="Long Island"/>
    <x v="4"/>
    <x v="798"/>
  </r>
  <r>
    <x v="16"/>
    <x v="19"/>
    <x v="2"/>
    <x v="72"/>
    <n v="60"/>
    <x v="2"/>
    <s v="Staten Island"/>
    <x v="0"/>
    <x v="799"/>
  </r>
  <r>
    <x v="20"/>
    <x v="17"/>
    <x v="4"/>
    <x v="171"/>
    <n v="69"/>
    <x v="6"/>
    <s v="Central NY."/>
    <x v="0"/>
    <x v="800"/>
  </r>
  <r>
    <x v="323"/>
    <x v="12"/>
    <x v="1"/>
    <x v="220"/>
    <n v="68"/>
    <x v="8"/>
    <s v="Manhattan"/>
    <x v="3"/>
    <x v="801"/>
  </r>
  <r>
    <x v="154"/>
    <x v="7"/>
    <x v="3"/>
    <x v="58"/>
    <n v="91"/>
    <x v="5"/>
    <s v="Upstate North"/>
    <x v="2"/>
    <x v="802"/>
  </r>
  <r>
    <x v="26"/>
    <x v="1"/>
    <x v="4"/>
    <x v="101"/>
    <n v="29"/>
    <x v="3"/>
    <s v="Manhattan"/>
    <x v="3"/>
    <x v="673"/>
  </r>
  <r>
    <x v="288"/>
    <x v="13"/>
    <x v="0"/>
    <x v="74"/>
    <n v="58"/>
    <x v="6"/>
    <s v="Queens"/>
    <x v="2"/>
    <x v="803"/>
  </r>
  <r>
    <x v="171"/>
    <x v="5"/>
    <x v="0"/>
    <x v="15"/>
    <n v="98"/>
    <x v="4"/>
    <s v="Staten Island"/>
    <x v="4"/>
    <x v="804"/>
  </r>
  <r>
    <x v="229"/>
    <x v="7"/>
    <x v="3"/>
    <x v="168"/>
    <n v="68"/>
    <x v="0"/>
    <s v="Central NY."/>
    <x v="2"/>
    <x v="805"/>
  </r>
  <r>
    <x v="108"/>
    <x v="12"/>
    <x v="3"/>
    <x v="18"/>
    <n v="44"/>
    <x v="3"/>
    <s v="Long Island"/>
    <x v="4"/>
    <x v="806"/>
  </r>
  <r>
    <x v="56"/>
    <x v="12"/>
    <x v="2"/>
    <x v="141"/>
    <n v="34"/>
    <x v="6"/>
    <s v="Capital Region"/>
    <x v="3"/>
    <x v="587"/>
  </r>
  <r>
    <x v="76"/>
    <x v="17"/>
    <x v="4"/>
    <x v="75"/>
    <n v="68"/>
    <x v="2"/>
    <s v="Queens"/>
    <x v="0"/>
    <x v="587"/>
  </r>
  <r>
    <x v="113"/>
    <x v="17"/>
    <x v="3"/>
    <x v="183"/>
    <n v="23"/>
    <x v="7"/>
    <s v="Long Island"/>
    <x v="3"/>
    <x v="807"/>
  </r>
  <r>
    <x v="96"/>
    <x v="5"/>
    <x v="3"/>
    <x v="70"/>
    <n v="43"/>
    <x v="0"/>
    <s v="The Bronx"/>
    <x v="4"/>
    <x v="808"/>
  </r>
  <r>
    <x v="31"/>
    <x v="14"/>
    <x v="2"/>
    <x v="189"/>
    <n v="22"/>
    <x v="8"/>
    <s v="Central NY."/>
    <x v="3"/>
    <x v="809"/>
  </r>
  <r>
    <x v="287"/>
    <x v="18"/>
    <x v="3"/>
    <x v="331"/>
    <n v="56"/>
    <x v="3"/>
    <s v="Queens"/>
    <x v="2"/>
    <x v="810"/>
  </r>
  <r>
    <x v="171"/>
    <x v="15"/>
    <x v="2"/>
    <x v="27"/>
    <n v="25"/>
    <x v="4"/>
    <s v="Staten Island"/>
    <x v="2"/>
    <x v="811"/>
  </r>
  <r>
    <x v="127"/>
    <x v="2"/>
    <x v="1"/>
    <x v="349"/>
    <n v="74"/>
    <x v="5"/>
    <s v="Upstate West"/>
    <x v="1"/>
    <x v="812"/>
  </r>
  <r>
    <x v="154"/>
    <x v="14"/>
    <x v="4"/>
    <x v="237"/>
    <n v="56"/>
    <x v="0"/>
    <s v="Staten Island"/>
    <x v="1"/>
    <x v="813"/>
  </r>
  <r>
    <x v="209"/>
    <x v="12"/>
    <x v="2"/>
    <x v="219"/>
    <n v="47"/>
    <x v="1"/>
    <s v="Central NY."/>
    <x v="2"/>
    <x v="814"/>
  </r>
  <r>
    <x v="37"/>
    <x v="4"/>
    <x v="1"/>
    <x v="22"/>
    <n v="68"/>
    <x v="0"/>
    <s v="Central NY."/>
    <x v="3"/>
    <x v="815"/>
  </r>
  <r>
    <x v="175"/>
    <x v="11"/>
    <x v="3"/>
    <x v="350"/>
    <n v="22"/>
    <x v="9"/>
    <s v="Upstate West"/>
    <x v="0"/>
    <x v="816"/>
  </r>
  <r>
    <x v="50"/>
    <x v="15"/>
    <x v="3"/>
    <x v="29"/>
    <n v="21"/>
    <x v="2"/>
    <s v="Central NY."/>
    <x v="3"/>
    <x v="817"/>
  </r>
  <r>
    <x v="203"/>
    <x v="19"/>
    <x v="3"/>
    <x v="97"/>
    <n v="64"/>
    <x v="8"/>
    <s v="Central NY."/>
    <x v="4"/>
    <x v="818"/>
  </r>
  <r>
    <x v="253"/>
    <x v="16"/>
    <x v="1"/>
    <x v="10"/>
    <n v="42"/>
    <x v="2"/>
    <s v="Upstate North"/>
    <x v="4"/>
    <x v="819"/>
  </r>
  <r>
    <x v="267"/>
    <x v="7"/>
    <x v="2"/>
    <x v="351"/>
    <n v="61"/>
    <x v="8"/>
    <s v="Upstate West"/>
    <x v="3"/>
    <x v="820"/>
  </r>
  <r>
    <x v="120"/>
    <x v="6"/>
    <x v="4"/>
    <x v="134"/>
    <n v="81"/>
    <x v="3"/>
    <s v="Staten Island"/>
    <x v="1"/>
    <x v="821"/>
  </r>
  <r>
    <x v="57"/>
    <x v="16"/>
    <x v="3"/>
    <x v="352"/>
    <n v="24"/>
    <x v="5"/>
    <s v="Upstate West"/>
    <x v="2"/>
    <x v="822"/>
  </r>
  <r>
    <x v="324"/>
    <x v="2"/>
    <x v="2"/>
    <x v="232"/>
    <n v="60"/>
    <x v="8"/>
    <s v="The Bronx"/>
    <x v="0"/>
    <x v="576"/>
  </r>
  <r>
    <x v="218"/>
    <x v="3"/>
    <x v="2"/>
    <x v="98"/>
    <n v="24"/>
    <x v="1"/>
    <s v="Brooklyn"/>
    <x v="4"/>
    <x v="369"/>
  </r>
  <r>
    <x v="258"/>
    <x v="21"/>
    <x v="2"/>
    <x v="132"/>
    <n v="78"/>
    <x v="5"/>
    <s v="Capital Region"/>
    <x v="4"/>
    <x v="823"/>
  </r>
  <r>
    <x v="283"/>
    <x v="9"/>
    <x v="0"/>
    <x v="247"/>
    <n v="69"/>
    <x v="4"/>
    <s v="The Bronx"/>
    <x v="3"/>
    <x v="824"/>
  </r>
  <r>
    <x v="116"/>
    <x v="19"/>
    <x v="1"/>
    <x v="25"/>
    <n v="20"/>
    <x v="3"/>
    <s v="Upstate North"/>
    <x v="3"/>
    <x v="825"/>
  </r>
  <r>
    <x v="143"/>
    <x v="20"/>
    <x v="2"/>
    <x v="31"/>
    <n v="87"/>
    <x v="3"/>
    <s v="Queens"/>
    <x v="3"/>
    <x v="826"/>
  </r>
  <r>
    <x v="144"/>
    <x v="3"/>
    <x v="3"/>
    <x v="305"/>
    <n v="22"/>
    <x v="6"/>
    <s v="Capital Region"/>
    <x v="3"/>
    <x v="827"/>
  </r>
  <r>
    <x v="115"/>
    <x v="17"/>
    <x v="3"/>
    <x v="220"/>
    <n v="30"/>
    <x v="7"/>
    <s v="The Bronx"/>
    <x v="3"/>
    <x v="828"/>
  </r>
  <r>
    <x v="276"/>
    <x v="17"/>
    <x v="3"/>
    <x v="296"/>
    <n v="45"/>
    <x v="7"/>
    <s v="Long Island"/>
    <x v="3"/>
    <x v="829"/>
  </r>
  <r>
    <x v="203"/>
    <x v="12"/>
    <x v="3"/>
    <x v="220"/>
    <n v="25"/>
    <x v="3"/>
    <s v="Manhattan"/>
    <x v="3"/>
    <x v="830"/>
  </r>
  <r>
    <x v="313"/>
    <x v="14"/>
    <x v="4"/>
    <x v="50"/>
    <n v="100"/>
    <x v="0"/>
    <s v="Central NY."/>
    <x v="3"/>
    <x v="830"/>
  </r>
  <r>
    <x v="155"/>
    <x v="17"/>
    <x v="2"/>
    <x v="164"/>
    <n v="67"/>
    <x v="8"/>
    <s v="Upstate West"/>
    <x v="3"/>
    <x v="831"/>
  </r>
  <r>
    <x v="87"/>
    <x v="18"/>
    <x v="2"/>
    <x v="104"/>
    <n v="29"/>
    <x v="9"/>
    <s v="Capital Region"/>
    <x v="3"/>
    <x v="832"/>
  </r>
  <r>
    <x v="97"/>
    <x v="5"/>
    <x v="2"/>
    <x v="164"/>
    <n v="46"/>
    <x v="6"/>
    <s v="Staten Island"/>
    <x v="3"/>
    <x v="833"/>
  </r>
  <r>
    <x v="43"/>
    <x v="17"/>
    <x v="1"/>
    <x v="158"/>
    <n v="94"/>
    <x v="1"/>
    <s v="Staten Island"/>
    <x v="3"/>
    <x v="834"/>
  </r>
  <r>
    <x v="325"/>
    <x v="10"/>
    <x v="4"/>
    <x v="241"/>
    <n v="31"/>
    <x v="4"/>
    <s v="Queens"/>
    <x v="3"/>
    <x v="835"/>
  </r>
  <r>
    <x v="59"/>
    <x v="0"/>
    <x v="2"/>
    <x v="241"/>
    <n v="21"/>
    <x v="4"/>
    <s v="Brooklyn"/>
    <x v="3"/>
    <x v="836"/>
  </r>
  <r>
    <x v="314"/>
    <x v="0"/>
    <x v="0"/>
    <x v="326"/>
    <n v="36"/>
    <x v="2"/>
    <s v="Manhattan"/>
    <x v="3"/>
    <x v="837"/>
  </r>
  <r>
    <x v="11"/>
    <x v="17"/>
    <x v="4"/>
    <x v="353"/>
    <n v="60"/>
    <x v="2"/>
    <s v="Queens"/>
    <x v="3"/>
    <x v="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2A5D8-BEFB-431A-86C2-A731818557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showAll="0"/>
    <pivotField dataField="1"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Count of Boxes Shipped" fld="3" subtotal="count" baseField="0" baseItem="0"/>
    <dataField name="Sum of Boxes Shipped" fld="3" baseField="0" baseItem="0"/>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D6CB14-F7CF-450E-80DE-1645F3EC2A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showAll="0">
      <items count="6">
        <item x="0"/>
        <item x="1"/>
        <item x="3"/>
        <item x="2"/>
        <item x="4"/>
        <item t="default"/>
      </items>
    </pivotField>
    <pivotField dataField="1" showAll="0"/>
    <pivotField showAll="0"/>
    <pivotField showAll="0"/>
    <pivotField showAll="0"/>
    <pivotField showAll="0">
      <items count="6">
        <item x="0"/>
        <item x="1"/>
        <item x="4"/>
        <item x="2"/>
        <item x="3"/>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mount" fld="8" baseField="0" baseItem="0"/>
    <dataField name="Sum of Boxes Shipped" fld="3"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8C7D50-DA1E-4F93-B6F0-15B74BBCA2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axis="axisRow" showAll="0">
      <items count="6">
        <item x="0"/>
        <item x="1"/>
        <item x="3"/>
        <item x="2"/>
        <item x="4"/>
        <item t="default"/>
      </items>
    </pivotField>
    <pivotField showAll="0"/>
    <pivotField showAll="0"/>
    <pivotField showAll="0"/>
    <pivotField showAll="0"/>
    <pivotField showAll="0">
      <items count="6">
        <item x="0"/>
        <item x="1"/>
        <item x="4"/>
        <item x="2"/>
        <item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Amount" fld="8"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AAF954-38AC-4CD5-A38D-6955A715D82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G15" firstHeaderRow="1" firstDataRow="2"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axis="axisCol" showAll="0">
      <items count="6">
        <item x="0"/>
        <item x="1"/>
        <item x="3"/>
        <item x="2"/>
        <item x="4"/>
        <item t="default"/>
      </items>
    </pivotField>
    <pivotField showAll="0">
      <items count="355">
        <item x="353"/>
        <item x="326"/>
        <item x="158"/>
        <item x="241"/>
        <item x="257"/>
        <item x="50"/>
        <item x="164"/>
        <item x="298"/>
        <item x="31"/>
        <item x="40"/>
        <item x="11"/>
        <item x="104"/>
        <item x="230"/>
        <item x="247"/>
        <item x="296"/>
        <item x="198"/>
        <item x="22"/>
        <item x="351"/>
        <item x="347"/>
        <item x="38"/>
        <item x="75"/>
        <item x="18"/>
        <item x="220"/>
        <item x="204"/>
        <item x="98"/>
        <item x="70"/>
        <item x="191"/>
        <item x="322"/>
        <item x="85"/>
        <item x="53"/>
        <item x="34"/>
        <item x="305"/>
        <item x="282"/>
        <item x="350"/>
        <item x="143"/>
        <item x="5"/>
        <item x="234"/>
        <item x="58"/>
        <item x="100"/>
        <item x="15"/>
        <item x="110"/>
        <item x="141"/>
        <item x="175"/>
        <item x="120"/>
        <item x="66"/>
        <item x="25"/>
        <item x="281"/>
        <item x="80"/>
        <item x="171"/>
        <item x="170"/>
        <item x="176"/>
        <item x="101"/>
        <item x="23"/>
        <item x="29"/>
        <item x="74"/>
        <item x="188"/>
        <item x="189"/>
        <item x="183"/>
        <item x="136"/>
        <item x="10"/>
        <item x="290"/>
        <item x="48"/>
        <item x="301"/>
        <item x="270"/>
        <item x="232"/>
        <item x="129"/>
        <item x="17"/>
        <item x="267"/>
        <item x="159"/>
        <item x="7"/>
        <item x="208"/>
        <item x="192"/>
        <item x="212"/>
        <item x="112"/>
        <item x="126"/>
        <item x="55"/>
        <item x="91"/>
        <item x="96"/>
        <item x="20"/>
        <item x="111"/>
        <item x="237"/>
        <item x="180"/>
        <item x="69"/>
        <item x="123"/>
        <item x="312"/>
        <item x="82"/>
        <item x="2"/>
        <item x="63"/>
        <item x="261"/>
        <item x="1"/>
        <item x="160"/>
        <item x="76"/>
        <item x="49"/>
        <item x="327"/>
        <item x="149"/>
        <item x="113"/>
        <item x="57"/>
        <item x="9"/>
        <item x="30"/>
        <item x="210"/>
        <item x="233"/>
        <item x="52"/>
        <item x="179"/>
        <item x="41"/>
        <item x="146"/>
        <item x="84"/>
        <item x="47"/>
        <item x="197"/>
        <item x="278"/>
        <item x="276"/>
        <item x="338"/>
        <item x="272"/>
        <item x="87"/>
        <item x="219"/>
        <item x="348"/>
        <item x="235"/>
        <item x="86"/>
        <item x="127"/>
        <item x="316"/>
        <item x="130"/>
        <item x="231"/>
        <item x="268"/>
        <item x="167"/>
        <item x="259"/>
        <item x="223"/>
        <item x="295"/>
        <item x="331"/>
        <item x="119"/>
        <item x="19"/>
        <item x="94"/>
        <item x="37"/>
        <item x="60"/>
        <item x="217"/>
        <item x="16"/>
        <item x="64"/>
        <item x="228"/>
        <item x="221"/>
        <item x="152"/>
        <item x="99"/>
        <item x="229"/>
        <item x="260"/>
        <item x="27"/>
        <item x="256"/>
        <item x="185"/>
        <item x="196"/>
        <item x="294"/>
        <item x="131"/>
        <item x="154"/>
        <item x="168"/>
        <item x="151"/>
        <item x="144"/>
        <item x="263"/>
        <item x="187"/>
        <item x="299"/>
        <item x="330"/>
        <item x="211"/>
        <item x="345"/>
        <item x="157"/>
        <item x="59"/>
        <item x="289"/>
        <item x="214"/>
        <item x="148"/>
        <item x="321"/>
        <item x="177"/>
        <item x="13"/>
        <item x="26"/>
        <item x="62"/>
        <item x="6"/>
        <item x="227"/>
        <item x="90"/>
        <item x="21"/>
        <item x="0"/>
        <item x="36"/>
        <item x="245"/>
        <item x="202"/>
        <item x="95"/>
        <item x="319"/>
        <item x="106"/>
        <item x="163"/>
        <item x="302"/>
        <item x="117"/>
        <item x="248"/>
        <item x="271"/>
        <item x="194"/>
        <item x="92"/>
        <item x="203"/>
        <item x="297"/>
        <item x="132"/>
        <item x="306"/>
        <item x="186"/>
        <item x="201"/>
        <item x="254"/>
        <item x="328"/>
        <item x="280"/>
        <item x="262"/>
        <item x="169"/>
        <item x="103"/>
        <item x="205"/>
        <item x="89"/>
        <item x="346"/>
        <item x="33"/>
        <item x="145"/>
        <item x="142"/>
        <item x="182"/>
        <item x="124"/>
        <item x="308"/>
        <item x="340"/>
        <item x="215"/>
        <item x="269"/>
        <item x="238"/>
        <item x="24"/>
        <item x="332"/>
        <item x="207"/>
        <item x="252"/>
        <item x="107"/>
        <item x="226"/>
        <item x="134"/>
        <item x="288"/>
        <item x="173"/>
        <item x="139"/>
        <item x="32"/>
        <item x="166"/>
        <item x="314"/>
        <item x="35"/>
        <item x="137"/>
        <item x="258"/>
        <item x="122"/>
        <item x="303"/>
        <item x="105"/>
        <item x="251"/>
        <item x="138"/>
        <item x="236"/>
        <item x="135"/>
        <item x="178"/>
        <item x="266"/>
        <item x="200"/>
        <item x="343"/>
        <item x="81"/>
        <item x="114"/>
        <item x="156"/>
        <item x="46"/>
        <item x="311"/>
        <item x="88"/>
        <item x="190"/>
        <item x="150"/>
        <item x="161"/>
        <item x="140"/>
        <item x="224"/>
        <item x="243"/>
        <item x="108"/>
        <item x="65"/>
        <item x="216"/>
        <item x="242"/>
        <item x="165"/>
        <item x="292"/>
        <item x="162"/>
        <item x="320"/>
        <item x="293"/>
        <item x="336"/>
        <item x="56"/>
        <item x="97"/>
        <item x="300"/>
        <item x="279"/>
        <item x="181"/>
        <item x="102"/>
        <item x="285"/>
        <item x="344"/>
        <item x="329"/>
        <item x="73"/>
        <item x="218"/>
        <item x="335"/>
        <item x="39"/>
        <item x="249"/>
        <item x="61"/>
        <item x="174"/>
        <item x="264"/>
        <item x="78"/>
        <item x="172"/>
        <item x="277"/>
        <item x="284"/>
        <item x="244"/>
        <item x="307"/>
        <item x="193"/>
        <item x="240"/>
        <item x="115"/>
        <item x="273"/>
        <item x="67"/>
        <item x="283"/>
        <item x="239"/>
        <item x="3"/>
        <item x="116"/>
        <item x="286"/>
        <item x="45"/>
        <item x="199"/>
        <item x="317"/>
        <item x="225"/>
        <item x="275"/>
        <item x="14"/>
        <item x="121"/>
        <item x="54"/>
        <item x="304"/>
        <item x="352"/>
        <item x="209"/>
        <item x="222"/>
        <item x="147"/>
        <item x="265"/>
        <item x="79"/>
        <item x="125"/>
        <item x="72"/>
        <item x="213"/>
        <item x="68"/>
        <item x="315"/>
        <item x="42"/>
        <item x="83"/>
        <item x="274"/>
        <item x="43"/>
        <item x="153"/>
        <item x="250"/>
        <item x="28"/>
        <item x="337"/>
        <item x="206"/>
        <item x="155"/>
        <item x="184"/>
        <item x="323"/>
        <item x="44"/>
        <item x="118"/>
        <item x="333"/>
        <item x="128"/>
        <item x="287"/>
        <item x="133"/>
        <item x="349"/>
        <item x="8"/>
        <item x="93"/>
        <item x="324"/>
        <item x="246"/>
        <item x="341"/>
        <item x="255"/>
        <item x="109"/>
        <item x="291"/>
        <item x="51"/>
        <item x="309"/>
        <item x="334"/>
        <item x="313"/>
        <item x="310"/>
        <item x="342"/>
        <item x="4"/>
        <item x="325"/>
        <item x="77"/>
        <item x="253"/>
        <item x="71"/>
        <item x="195"/>
        <item x="12"/>
        <item x="339"/>
        <item x="318"/>
        <item t="default"/>
      </items>
    </pivotField>
    <pivotField showAll="0"/>
    <pivotField axis="axisRow" showAll="0">
      <items count="11">
        <item x="9"/>
        <item x="2"/>
        <item x="5"/>
        <item x="8"/>
        <item x="4"/>
        <item x="3"/>
        <item x="0"/>
        <item x="6"/>
        <item x="7"/>
        <item x="1"/>
        <item t="default"/>
      </items>
    </pivotField>
    <pivotField showAll="0"/>
    <pivotField showAll="0">
      <items count="6">
        <item x="0"/>
        <item x="1"/>
        <item x="4"/>
        <item x="2"/>
        <item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Fields count="1">
    <field x="2"/>
  </colFields>
  <colItems count="6">
    <i>
      <x/>
    </i>
    <i>
      <x v="1"/>
    </i>
    <i>
      <x v="2"/>
    </i>
    <i>
      <x v="3"/>
    </i>
    <i>
      <x v="4"/>
    </i>
    <i t="grand">
      <x/>
    </i>
  </colItems>
  <dataFields count="1">
    <dataField name="Sum of Amount" fld="8" showDataAs="percentOfTotal" baseField="0" baseItem="0" numFmtId="10"/>
  </dataFields>
  <formats count="3">
    <format dxfId="27">
      <pivotArea dataOnly="0" labelOnly="1" fieldPosition="0">
        <references count="1">
          <reference field="5" count="0"/>
        </references>
      </pivotArea>
    </format>
    <format dxfId="26">
      <pivotArea field="5" type="button" dataOnly="0" labelOnly="1" outline="0" axis="axisRow" fieldPosition="0"/>
    </format>
    <format dxfId="25">
      <pivotArea dataOnly="0" labelOnly="1" fieldPosition="0">
        <references count="1">
          <reference field="2" count="0"/>
        </references>
      </pivotArea>
    </format>
  </formats>
  <conditionalFormats count="1">
    <conditionalFormat priority="1">
      <pivotAreas count="1">
        <pivotArea type="data" collapsedLevelsAreSubtotals="1" fieldPosition="0">
          <references count="3">
            <reference field="4294967294" count="1" selected="0">
              <x v="0"/>
            </reference>
            <reference field="2" count="5" selected="0">
              <x v="0"/>
              <x v="1"/>
              <x v="2"/>
              <x v="3"/>
              <x v="4"/>
            </reference>
            <reference field="5"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B6A090-FFCC-4660-A68C-E4217C4117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6" firstHeaderRow="1"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axis="axisRow" showAll="0" sortType="descending">
      <items count="23">
        <item x="17"/>
        <item x="3"/>
        <item x="4"/>
        <item x="13"/>
        <item x="2"/>
        <item x="9"/>
        <item x="7"/>
        <item x="0"/>
        <item x="18"/>
        <item x="21"/>
        <item x="10"/>
        <item x="19"/>
        <item x="12"/>
        <item x="16"/>
        <item x="15"/>
        <item x="20"/>
        <item x="11"/>
        <item x="6"/>
        <item x="5"/>
        <item x="1"/>
        <item x="8"/>
        <item x="14"/>
        <item t="default"/>
      </items>
      <autoSortScope>
        <pivotArea dataOnly="0" outline="0" fieldPosition="0">
          <references count="1">
            <reference field="4294967294" count="1" selected="0">
              <x v="0"/>
            </reference>
          </references>
        </pivotArea>
      </autoSortScope>
    </pivotField>
    <pivotField showAll="0">
      <items count="6">
        <item x="0"/>
        <item x="1"/>
        <item x="3"/>
        <item x="2"/>
        <item x="4"/>
        <item t="default"/>
      </items>
    </pivotField>
    <pivotField dataField="1" showAll="0">
      <items count="355">
        <item x="353"/>
        <item x="326"/>
        <item x="158"/>
        <item x="241"/>
        <item x="257"/>
        <item x="50"/>
        <item x="164"/>
        <item x="298"/>
        <item x="31"/>
        <item x="40"/>
        <item x="11"/>
        <item x="104"/>
        <item x="230"/>
        <item x="247"/>
        <item x="296"/>
        <item x="198"/>
        <item x="22"/>
        <item x="351"/>
        <item x="347"/>
        <item x="38"/>
        <item x="75"/>
        <item x="18"/>
        <item x="220"/>
        <item x="204"/>
        <item x="98"/>
        <item x="70"/>
        <item x="191"/>
        <item x="322"/>
        <item x="85"/>
        <item x="53"/>
        <item x="34"/>
        <item x="305"/>
        <item x="282"/>
        <item x="350"/>
        <item x="143"/>
        <item x="5"/>
        <item x="234"/>
        <item x="58"/>
        <item x="100"/>
        <item x="15"/>
        <item x="110"/>
        <item x="141"/>
        <item x="175"/>
        <item x="120"/>
        <item x="66"/>
        <item x="25"/>
        <item x="281"/>
        <item x="80"/>
        <item x="171"/>
        <item x="170"/>
        <item x="176"/>
        <item x="101"/>
        <item x="23"/>
        <item x="29"/>
        <item x="74"/>
        <item x="188"/>
        <item x="189"/>
        <item x="183"/>
        <item x="136"/>
        <item x="10"/>
        <item x="290"/>
        <item x="48"/>
        <item x="301"/>
        <item x="270"/>
        <item x="232"/>
        <item x="129"/>
        <item x="17"/>
        <item x="267"/>
        <item x="159"/>
        <item x="7"/>
        <item x="208"/>
        <item x="192"/>
        <item x="212"/>
        <item x="112"/>
        <item x="126"/>
        <item x="55"/>
        <item x="91"/>
        <item x="96"/>
        <item x="20"/>
        <item x="111"/>
        <item x="237"/>
        <item x="180"/>
        <item x="69"/>
        <item x="123"/>
        <item x="312"/>
        <item x="82"/>
        <item x="2"/>
        <item x="63"/>
        <item x="261"/>
        <item x="1"/>
        <item x="160"/>
        <item x="76"/>
        <item x="49"/>
        <item x="327"/>
        <item x="149"/>
        <item x="113"/>
        <item x="57"/>
        <item x="9"/>
        <item x="30"/>
        <item x="210"/>
        <item x="233"/>
        <item x="52"/>
        <item x="179"/>
        <item x="41"/>
        <item x="146"/>
        <item x="84"/>
        <item x="47"/>
        <item x="197"/>
        <item x="278"/>
        <item x="276"/>
        <item x="338"/>
        <item x="272"/>
        <item x="87"/>
        <item x="219"/>
        <item x="348"/>
        <item x="235"/>
        <item x="86"/>
        <item x="127"/>
        <item x="316"/>
        <item x="130"/>
        <item x="231"/>
        <item x="268"/>
        <item x="167"/>
        <item x="259"/>
        <item x="223"/>
        <item x="295"/>
        <item x="331"/>
        <item x="119"/>
        <item x="19"/>
        <item x="94"/>
        <item x="37"/>
        <item x="60"/>
        <item x="217"/>
        <item x="16"/>
        <item x="64"/>
        <item x="228"/>
        <item x="221"/>
        <item x="152"/>
        <item x="99"/>
        <item x="229"/>
        <item x="260"/>
        <item x="27"/>
        <item x="256"/>
        <item x="185"/>
        <item x="196"/>
        <item x="294"/>
        <item x="131"/>
        <item x="154"/>
        <item x="168"/>
        <item x="151"/>
        <item x="144"/>
        <item x="263"/>
        <item x="187"/>
        <item x="299"/>
        <item x="330"/>
        <item x="211"/>
        <item x="345"/>
        <item x="157"/>
        <item x="59"/>
        <item x="289"/>
        <item x="214"/>
        <item x="148"/>
        <item x="321"/>
        <item x="177"/>
        <item x="13"/>
        <item x="26"/>
        <item x="62"/>
        <item x="6"/>
        <item x="227"/>
        <item x="90"/>
        <item x="21"/>
        <item x="0"/>
        <item x="36"/>
        <item x="245"/>
        <item x="202"/>
        <item x="95"/>
        <item x="319"/>
        <item x="106"/>
        <item x="163"/>
        <item x="302"/>
        <item x="117"/>
        <item x="248"/>
        <item x="271"/>
        <item x="194"/>
        <item x="92"/>
        <item x="203"/>
        <item x="297"/>
        <item x="132"/>
        <item x="306"/>
        <item x="186"/>
        <item x="201"/>
        <item x="254"/>
        <item x="328"/>
        <item x="280"/>
        <item x="262"/>
        <item x="169"/>
        <item x="103"/>
        <item x="205"/>
        <item x="89"/>
        <item x="346"/>
        <item x="33"/>
        <item x="145"/>
        <item x="142"/>
        <item x="182"/>
        <item x="124"/>
        <item x="308"/>
        <item x="340"/>
        <item x="215"/>
        <item x="269"/>
        <item x="238"/>
        <item x="24"/>
        <item x="332"/>
        <item x="207"/>
        <item x="252"/>
        <item x="107"/>
        <item x="226"/>
        <item x="134"/>
        <item x="288"/>
        <item x="173"/>
        <item x="139"/>
        <item x="32"/>
        <item x="166"/>
        <item x="314"/>
        <item x="35"/>
        <item x="137"/>
        <item x="258"/>
        <item x="122"/>
        <item x="303"/>
        <item x="105"/>
        <item x="251"/>
        <item x="138"/>
        <item x="236"/>
        <item x="135"/>
        <item x="178"/>
        <item x="266"/>
        <item x="200"/>
        <item x="343"/>
        <item x="81"/>
        <item x="114"/>
        <item x="156"/>
        <item x="46"/>
        <item x="311"/>
        <item x="88"/>
        <item x="190"/>
        <item x="150"/>
        <item x="161"/>
        <item x="140"/>
        <item x="224"/>
        <item x="243"/>
        <item x="108"/>
        <item x="65"/>
        <item x="216"/>
        <item x="242"/>
        <item x="165"/>
        <item x="292"/>
        <item x="162"/>
        <item x="320"/>
        <item x="293"/>
        <item x="336"/>
        <item x="56"/>
        <item x="97"/>
        <item x="300"/>
        <item x="279"/>
        <item x="181"/>
        <item x="102"/>
        <item x="285"/>
        <item x="344"/>
        <item x="329"/>
        <item x="73"/>
        <item x="218"/>
        <item x="335"/>
        <item x="39"/>
        <item x="249"/>
        <item x="61"/>
        <item x="174"/>
        <item x="264"/>
        <item x="78"/>
        <item x="172"/>
        <item x="277"/>
        <item x="284"/>
        <item x="244"/>
        <item x="307"/>
        <item x="193"/>
        <item x="240"/>
        <item x="115"/>
        <item x="273"/>
        <item x="67"/>
        <item x="283"/>
        <item x="239"/>
        <item x="3"/>
        <item x="116"/>
        <item x="286"/>
        <item x="45"/>
        <item x="199"/>
        <item x="317"/>
        <item x="225"/>
        <item x="275"/>
        <item x="14"/>
        <item x="121"/>
        <item x="54"/>
        <item x="304"/>
        <item x="352"/>
        <item x="209"/>
        <item x="222"/>
        <item x="147"/>
        <item x="265"/>
        <item x="79"/>
        <item x="125"/>
        <item x="72"/>
        <item x="213"/>
        <item x="68"/>
        <item x="315"/>
        <item x="42"/>
        <item x="83"/>
        <item x="274"/>
        <item x="43"/>
        <item x="153"/>
        <item x="250"/>
        <item x="28"/>
        <item x="337"/>
        <item x="206"/>
        <item x="155"/>
        <item x="184"/>
        <item x="323"/>
        <item x="44"/>
        <item x="118"/>
        <item x="333"/>
        <item x="128"/>
        <item x="287"/>
        <item x="133"/>
        <item x="349"/>
        <item x="8"/>
        <item x="93"/>
        <item x="324"/>
        <item x="246"/>
        <item x="341"/>
        <item x="255"/>
        <item x="109"/>
        <item x="291"/>
        <item x="51"/>
        <item x="309"/>
        <item x="334"/>
        <item x="313"/>
        <item x="310"/>
        <item x="342"/>
        <item x="4"/>
        <item x="325"/>
        <item x="77"/>
        <item x="253"/>
        <item x="71"/>
        <item x="195"/>
        <item x="12"/>
        <item x="339"/>
        <item x="318"/>
        <item t="default"/>
      </items>
    </pivotField>
    <pivotField showAll="0"/>
    <pivotField showAll="0"/>
    <pivotField showAll="0"/>
    <pivotField showAll="0">
      <items count="6">
        <item x="0"/>
        <item x="1"/>
        <item x="4"/>
        <item x="2"/>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3">
    <i>
      <x v="21"/>
    </i>
    <i>
      <x v="2"/>
    </i>
    <i>
      <x v="14"/>
    </i>
    <i>
      <x v="10"/>
    </i>
    <i>
      <x v="7"/>
    </i>
    <i>
      <x v="5"/>
    </i>
    <i>
      <x v="1"/>
    </i>
    <i>
      <x v="18"/>
    </i>
    <i>
      <x v="11"/>
    </i>
    <i>
      <x v="6"/>
    </i>
    <i>
      <x/>
    </i>
    <i>
      <x v="4"/>
    </i>
    <i>
      <x v="8"/>
    </i>
    <i>
      <x v="19"/>
    </i>
    <i>
      <x v="3"/>
    </i>
    <i>
      <x v="20"/>
    </i>
    <i>
      <x v="9"/>
    </i>
    <i>
      <x v="12"/>
    </i>
    <i>
      <x v="16"/>
    </i>
    <i>
      <x v="17"/>
    </i>
    <i>
      <x v="15"/>
    </i>
    <i>
      <x v="13"/>
    </i>
    <i t="grand">
      <x/>
    </i>
  </rowItems>
  <colItems count="1">
    <i/>
  </colItems>
  <dataFields count="1">
    <dataField name="Sum of Boxes Shipped" fld="3"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EC47FE-A99F-4BF2-88D9-F7D94B624F3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showAll="0">
      <items count="6">
        <item x="0"/>
        <item x="1"/>
        <item x="3"/>
        <item x="2"/>
        <item x="4"/>
        <item t="default"/>
      </items>
    </pivotField>
    <pivotField dataField="1" showAll="0"/>
    <pivotField showAll="0"/>
    <pivotField axis="axisRow" showAll="0">
      <items count="11">
        <item x="9"/>
        <item x="2"/>
        <item x="5"/>
        <item x="8"/>
        <item x="4"/>
        <item x="3"/>
        <item x="0"/>
        <item x="6"/>
        <item x="7"/>
        <item x="1"/>
        <item t="default"/>
      </items>
    </pivotField>
    <pivotField showAll="0"/>
    <pivotField showAll="0">
      <items count="6">
        <item x="0"/>
        <item x="1"/>
        <item x="4"/>
        <item x="2"/>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Boxes Shipp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CEEAA7-E346-4A3A-B080-679D04E5BEE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items count="23">
        <item x="14"/>
        <item x="8"/>
        <item x="1"/>
        <item x="5"/>
        <item x="6"/>
        <item x="11"/>
        <item x="20"/>
        <item x="15"/>
        <item x="16"/>
        <item x="12"/>
        <item x="19"/>
        <item x="10"/>
        <item x="21"/>
        <item x="18"/>
        <item x="0"/>
        <item x="7"/>
        <item x="9"/>
        <item x="2"/>
        <item x="13"/>
        <item x="4"/>
        <item x="3"/>
        <item x="17"/>
        <item t="default"/>
      </items>
    </pivotField>
    <pivotField axis="axisCol" showAll="0">
      <items count="6">
        <item x="0"/>
        <item x="1"/>
        <item x="3"/>
        <item x="2"/>
        <item x="4"/>
        <item t="default"/>
      </items>
    </pivotField>
    <pivotField showAll="0"/>
    <pivotField showAll="0"/>
    <pivotField showAll="0"/>
    <pivotField showAll="0"/>
    <pivotField axis="axisRow" showAll="0">
      <items count="6">
        <item x="0"/>
        <item x="1"/>
        <item x="4"/>
        <item x="2"/>
        <item x="3"/>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Fields count="1">
    <field x="2"/>
  </colFields>
  <colItems count="6">
    <i>
      <x/>
    </i>
    <i>
      <x v="1"/>
    </i>
    <i>
      <x v="2"/>
    </i>
    <i>
      <x v="3"/>
    </i>
    <i>
      <x v="4"/>
    </i>
    <i t="grand">
      <x/>
    </i>
  </colItems>
  <dataFields count="1">
    <dataField name="Sum of Amount"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C4A238-7AE1-452D-8392-BED849DFE6E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items count="23">
        <item x="14"/>
        <item x="8"/>
        <item x="1"/>
        <item x="5"/>
        <item x="6"/>
        <item x="11"/>
        <item x="20"/>
        <item x="15"/>
        <item x="16"/>
        <item x="12"/>
        <item x="19"/>
        <item x="10"/>
        <item x="21"/>
        <item x="18"/>
        <item x="0"/>
        <item x="7"/>
        <item x="9"/>
        <item x="2"/>
        <item x="13"/>
        <item x="4"/>
        <item x="3"/>
        <item x="17"/>
        <item t="default"/>
      </items>
    </pivotField>
    <pivotField showAll="0">
      <items count="6">
        <item x="0"/>
        <item x="1"/>
        <item x="3"/>
        <item x="2"/>
        <item x="4"/>
        <item t="default"/>
      </items>
    </pivotField>
    <pivotField showAll="0"/>
    <pivotField dataField="1" showAll="0"/>
    <pivotField showAll="0"/>
    <pivotField showAll="0"/>
    <pivotField showAll="0"/>
    <pivotField showAll="0">
      <items count="840">
        <item x="838"/>
        <item x="837"/>
        <item x="836"/>
        <item x="704"/>
        <item x="601"/>
        <item x="835"/>
        <item x="349"/>
        <item x="662"/>
        <item x="380"/>
        <item x="231"/>
        <item x="45"/>
        <item x="542"/>
        <item x="206"/>
        <item x="213"/>
        <item x="834"/>
        <item x="833"/>
        <item x="441"/>
        <item x="832"/>
        <item x="35"/>
        <item x="23"/>
        <item x="30"/>
        <item x="569"/>
        <item x="715"/>
        <item x="581"/>
        <item x="831"/>
        <item x="307"/>
        <item x="645"/>
        <item x="783"/>
        <item x="56"/>
        <item x="42"/>
        <item x="553"/>
        <item x="830"/>
        <item x="467"/>
        <item x="52"/>
        <item x="369"/>
        <item x="634"/>
        <item x="38"/>
        <item x="829"/>
        <item x="828"/>
        <item x="827"/>
        <item x="11"/>
        <item x="610"/>
        <item x="5"/>
        <item x="816"/>
        <item x="826"/>
        <item x="367"/>
        <item x="710"/>
        <item x="104"/>
        <item x="456"/>
        <item x="402"/>
        <item x="143"/>
        <item x="758"/>
        <item x="60"/>
        <item x="782"/>
        <item x="825"/>
        <item x="824"/>
        <item x="29"/>
        <item x="806"/>
        <item x="651"/>
        <item x="546"/>
        <item x="746"/>
        <item x="406"/>
        <item x="361"/>
        <item x="123"/>
        <item x="327"/>
        <item x="820"/>
        <item x="808"/>
        <item x="602"/>
        <item x="497"/>
        <item x="817"/>
        <item x="732"/>
        <item x="264"/>
        <item x="815"/>
        <item x="410"/>
        <item x="773"/>
        <item x="336"/>
        <item x="236"/>
        <item x="719"/>
        <item x="80"/>
        <item x="809"/>
        <item x="505"/>
        <item x="354"/>
        <item x="628"/>
        <item x="807"/>
        <item x="690"/>
        <item x="19"/>
        <item x="256"/>
        <item x="540"/>
        <item x="260"/>
        <item x="187"/>
        <item x="26"/>
        <item x="587"/>
        <item x="116"/>
        <item x="15"/>
        <item x="268"/>
        <item x="533"/>
        <item x="673"/>
        <item x="296"/>
        <item x="577"/>
        <item x="755"/>
        <item x="774"/>
        <item x="582"/>
        <item x="801"/>
        <item x="796"/>
        <item x="792"/>
        <item x="541"/>
        <item x="596"/>
        <item x="253"/>
        <item x="411"/>
        <item x="189"/>
        <item x="534"/>
        <item x="248"/>
        <item x="66"/>
        <item x="95"/>
        <item x="789"/>
        <item x="232"/>
        <item x="784"/>
        <item x="261"/>
        <item x="382"/>
        <item x="76"/>
        <item x="444"/>
        <item x="775"/>
        <item x="169"/>
        <item x="398"/>
        <item x="306"/>
        <item x="772"/>
        <item x="603"/>
        <item x="75"/>
        <item x="457"/>
        <item x="769"/>
        <item x="547"/>
        <item x="32"/>
        <item x="62"/>
        <item x="10"/>
        <item x="626"/>
        <item x="779"/>
        <item x="85"/>
        <item x="631"/>
        <item x="455"/>
        <item x="730"/>
        <item x="279"/>
        <item x="181"/>
        <item x="760"/>
        <item x="422"/>
        <item x="759"/>
        <item x="749"/>
        <item x="102"/>
        <item x="132"/>
        <item x="743"/>
        <item x="459"/>
        <item x="7"/>
        <item x="97"/>
        <item x="72"/>
        <item x="200"/>
        <item x="210"/>
        <item x="819"/>
        <item x="254"/>
        <item x="208"/>
        <item x="167"/>
        <item x="573"/>
        <item x="563"/>
        <item x="311"/>
        <item x="331"/>
        <item x="794"/>
        <item x="740"/>
        <item x="131"/>
        <item x="155"/>
        <item x="739"/>
        <item x="656"/>
        <item x="738"/>
        <item x="682"/>
        <item x="233"/>
        <item x="583"/>
        <item x="721"/>
        <item x="334"/>
        <item x="720"/>
        <item x="716"/>
        <item x="652"/>
        <item x="714"/>
        <item x="708"/>
        <item x="276"/>
        <item x="308"/>
        <item x="148"/>
        <item x="241"/>
        <item x="46"/>
        <item x="703"/>
        <item x="701"/>
        <item x="429"/>
        <item x="98"/>
        <item x="698"/>
        <item x="9"/>
        <item x="697"/>
        <item x="390"/>
        <item x="114"/>
        <item x="338"/>
        <item x="425"/>
        <item x="147"/>
        <item x="139"/>
        <item x="627"/>
        <item x="696"/>
        <item x="695"/>
        <item x="803"/>
        <item x="332"/>
        <item x="694"/>
        <item x="65"/>
        <item x="525"/>
        <item x="217"/>
        <item x="403"/>
        <item x="55"/>
        <item x="668"/>
        <item x="711"/>
        <item x="800"/>
        <item x="464"/>
        <item x="692"/>
        <item x="18"/>
        <item x="624"/>
        <item x="44"/>
        <item x="287"/>
        <item x="802"/>
        <item x="691"/>
        <item x="726"/>
        <item x="687"/>
        <item x="269"/>
        <item x="613"/>
        <item x="149"/>
        <item x="811"/>
        <item x="752"/>
        <item x="680"/>
        <item x="675"/>
        <item x="440"/>
        <item x="294"/>
        <item x="416"/>
        <item x="118"/>
        <item x="377"/>
        <item x="178"/>
        <item x="474"/>
        <item x="615"/>
        <item x="671"/>
        <item x="22"/>
        <item x="142"/>
        <item x="648"/>
        <item x="798"/>
        <item x="571"/>
        <item x="736"/>
        <item x="483"/>
        <item x="669"/>
        <item x="393"/>
        <item x="576"/>
        <item x="667"/>
        <item x="509"/>
        <item x="510"/>
        <item x="659"/>
        <item x="804"/>
        <item x="394"/>
        <item x="184"/>
        <item x="454"/>
        <item x="559"/>
        <item x="658"/>
        <item x="289"/>
        <item x="657"/>
        <item x="292"/>
        <item x="439"/>
        <item x="644"/>
        <item x="337"/>
        <item x="642"/>
        <item x="636"/>
        <item x="84"/>
        <item x="630"/>
        <item x="621"/>
        <item x="434"/>
        <item x="119"/>
        <item x="709"/>
        <item x="225"/>
        <item x="745"/>
        <item x="112"/>
        <item x="519"/>
        <item x="321"/>
        <item x="616"/>
        <item x="614"/>
        <item x="342"/>
        <item x="606"/>
        <item x="595"/>
        <item x="243"/>
        <item x="590"/>
        <item x="172"/>
        <item x="548"/>
        <item x="283"/>
        <item x="257"/>
        <item x="589"/>
        <item x="600"/>
        <item x="586"/>
        <item x="135"/>
        <item x="754"/>
        <item x="578"/>
        <item x="203"/>
        <item x="494"/>
        <item x="813"/>
        <item x="488"/>
        <item x="426"/>
        <item x="499"/>
        <item x="575"/>
        <item x="428"/>
        <item x="58"/>
        <item x="90"/>
        <item x="735"/>
        <item x="235"/>
        <item x="244"/>
        <item x="635"/>
        <item x="20"/>
        <item x="238"/>
        <item x="529"/>
        <item x="566"/>
        <item x="737"/>
        <item x="585"/>
        <item x="764"/>
        <item x="565"/>
        <item x="478"/>
        <item x="388"/>
        <item x="552"/>
        <item x="24"/>
        <item x="551"/>
        <item x="222"/>
        <item x="539"/>
        <item x="526"/>
        <item x="171"/>
        <item x="376"/>
        <item x="442"/>
        <item x="538"/>
        <item x="16"/>
        <item x="502"/>
        <item x="54"/>
        <item x="747"/>
        <item x="192"/>
        <item x="286"/>
        <item x="535"/>
        <item x="522"/>
        <item x="622"/>
        <item x="295"/>
        <item x="333"/>
        <item x="528"/>
        <item x="814"/>
        <item x="520"/>
        <item x="516"/>
        <item x="661"/>
        <item x="512"/>
        <item x="73"/>
        <item x="275"/>
        <item x="28"/>
        <item x="207"/>
        <item x="358"/>
        <item x="623"/>
        <item x="495"/>
        <item x="493"/>
        <item x="734"/>
        <item x="219"/>
        <item x="489"/>
        <item x="770"/>
        <item x="419"/>
        <item x="655"/>
        <item x="274"/>
        <item x="64"/>
        <item x="341"/>
        <item x="418"/>
        <item x="159"/>
        <item x="654"/>
        <item x="270"/>
        <item x="229"/>
        <item x="718"/>
        <item x="348"/>
        <item x="487"/>
        <item x="532"/>
        <item x="1"/>
        <item x="122"/>
        <item x="33"/>
        <item x="771"/>
        <item x="435"/>
        <item x="544"/>
        <item x="129"/>
        <item x="157"/>
        <item x="508"/>
        <item x="484"/>
        <item x="620"/>
        <item x="436"/>
        <item x="750"/>
        <item x="188"/>
        <item x="110"/>
        <item x="240"/>
        <item x="477"/>
        <item x="133"/>
        <item x="476"/>
        <item x="400"/>
        <item x="486"/>
        <item x="415"/>
        <item x="161"/>
        <item x="421"/>
        <item x="469"/>
        <item x="611"/>
        <item x="475"/>
        <item x="677"/>
        <item x="145"/>
        <item x="168"/>
        <item x="465"/>
        <item x="598"/>
        <item x="463"/>
        <item x="2"/>
        <item x="683"/>
        <item x="462"/>
        <item x="300"/>
        <item x="742"/>
        <item x="151"/>
        <item x="370"/>
        <item x="699"/>
        <item x="70"/>
        <item x="460"/>
        <item x="103"/>
        <item x="458"/>
        <item x="450"/>
        <item x="649"/>
        <item x="293"/>
        <item x="448"/>
        <item x="374"/>
        <item x="177"/>
        <item x="424"/>
        <item x="197"/>
        <item x="640"/>
        <item x="423"/>
        <item x="86"/>
        <item x="152"/>
        <item x="712"/>
        <item x="106"/>
        <item x="413"/>
        <item x="412"/>
        <item x="312"/>
        <item x="107"/>
        <item x="79"/>
        <item x="21"/>
        <item x="748"/>
        <item x="430"/>
        <item x="647"/>
        <item x="485"/>
        <item x="397"/>
        <item x="491"/>
        <item x="618"/>
        <item x="339"/>
        <item x="810"/>
        <item x="560"/>
        <item x="340"/>
        <item x="345"/>
        <item x="420"/>
        <item x="134"/>
        <item x="41"/>
        <item x="427"/>
        <item x="121"/>
        <item x="99"/>
        <item x="778"/>
        <item x="100"/>
        <item x="793"/>
        <item x="797"/>
        <item x="707"/>
        <item x="396"/>
        <item x="646"/>
        <item x="389"/>
        <item x="395"/>
        <item x="34"/>
        <item x="785"/>
        <item x="625"/>
        <item x="790"/>
        <item x="391"/>
        <item x="591"/>
        <item x="753"/>
        <item x="92"/>
        <item x="259"/>
        <item x="383"/>
        <item x="265"/>
        <item x="218"/>
        <item x="408"/>
        <item x="549"/>
        <item x="496"/>
        <item x="629"/>
        <item x="447"/>
        <item x="156"/>
        <item x="262"/>
        <item x="303"/>
        <item x="506"/>
        <item x="639"/>
        <item x="451"/>
        <item x="352"/>
        <item x="282"/>
        <item x="521"/>
        <item x="310"/>
        <item x="612"/>
        <item x="379"/>
        <item x="364"/>
        <item x="362"/>
        <item x="246"/>
        <item x="663"/>
        <item x="316"/>
        <item x="356"/>
        <item x="125"/>
        <item x="353"/>
        <item x="288"/>
        <item x="381"/>
        <item x="432"/>
        <item x="96"/>
        <item x="351"/>
        <item x="330"/>
        <item x="822"/>
        <item x="53"/>
        <item x="329"/>
        <item x="554"/>
        <item x="702"/>
        <item x="67"/>
        <item x="479"/>
        <item x="684"/>
        <item x="328"/>
        <item x="679"/>
        <item x="324"/>
        <item x="74"/>
        <item x="323"/>
        <item x="664"/>
        <item x="531"/>
        <item x="717"/>
        <item x="320"/>
        <item x="788"/>
        <item x="693"/>
        <item x="13"/>
        <item x="193"/>
        <item x="317"/>
        <item x="592"/>
        <item x="130"/>
        <item x="558"/>
        <item x="315"/>
        <item x="643"/>
        <item x="584"/>
        <item x="237"/>
        <item x="507"/>
        <item x="597"/>
        <item x="767"/>
        <item x="117"/>
        <item x="301"/>
        <item x="0"/>
        <item x="196"/>
        <item x="93"/>
        <item x="472"/>
        <item x="387"/>
        <item x="443"/>
        <item x="285"/>
        <item x="179"/>
        <item x="154"/>
        <item x="144"/>
        <item x="252"/>
        <item x="40"/>
        <item x="466"/>
        <item x="385"/>
        <item x="517"/>
        <item x="619"/>
        <item x="273"/>
        <item x="281"/>
        <item x="568"/>
        <item x="309"/>
        <item x="51"/>
        <item x="245"/>
        <item x="195"/>
        <item x="786"/>
        <item x="160"/>
        <item x="562"/>
        <item x="574"/>
        <item x="305"/>
        <item x="741"/>
        <item x="297"/>
        <item x="284"/>
        <item x="280"/>
        <item x="366"/>
        <item x="272"/>
        <item x="407"/>
        <item x="39"/>
        <item x="271"/>
        <item x="322"/>
        <item x="724"/>
        <item x="805"/>
        <item x="481"/>
        <item x="557"/>
        <item x="255"/>
        <item x="500"/>
        <item x="266"/>
        <item x="757"/>
        <item x="449"/>
        <item x="25"/>
        <item x="762"/>
        <item x="344"/>
        <item x="267"/>
        <item x="201"/>
        <item x="588"/>
        <item x="446"/>
        <item x="150"/>
        <item x="632"/>
        <item x="678"/>
        <item x="228"/>
        <item x="375"/>
        <item x="501"/>
        <item x="761"/>
        <item x="105"/>
        <item x="729"/>
        <item x="37"/>
        <item x="776"/>
        <item x="343"/>
        <item x="399"/>
        <item x="617"/>
        <item x="570"/>
        <item x="604"/>
        <item x="372"/>
        <item x="409"/>
        <item x="580"/>
        <item x="318"/>
        <item x="404"/>
        <item x="452"/>
        <item x="392"/>
        <item x="473"/>
        <item x="239"/>
        <item x="660"/>
        <item x="470"/>
        <item x="359"/>
        <item x="326"/>
        <item x="579"/>
        <item x="791"/>
        <item x="111"/>
        <item x="249"/>
        <item x="670"/>
        <item x="224"/>
        <item x="223"/>
        <item x="780"/>
        <item x="220"/>
        <item x="666"/>
        <item x="205"/>
        <item x="215"/>
        <item x="113"/>
        <item x="787"/>
        <item x="314"/>
        <item x="518"/>
        <item x="723"/>
        <item x="763"/>
        <item x="68"/>
        <item x="278"/>
        <item x="674"/>
        <item x="212"/>
        <item x="59"/>
        <item x="211"/>
        <item x="209"/>
        <item x="503"/>
        <item x="234"/>
        <item x="141"/>
        <item x="325"/>
        <item x="368"/>
        <item x="527"/>
        <item x="437"/>
        <item x="498"/>
        <item x="214"/>
        <item x="561"/>
        <item x="537"/>
        <item x="126"/>
        <item x="127"/>
        <item x="700"/>
        <item x="608"/>
        <item x="204"/>
        <item x="386"/>
        <item x="27"/>
        <item x="194"/>
        <item x="170"/>
        <item x="138"/>
        <item x="401"/>
        <item x="251"/>
        <item x="199"/>
        <item x="173"/>
        <item x="468"/>
        <item x="226"/>
        <item x="299"/>
        <item x="198"/>
        <item x="250"/>
        <item x="298"/>
        <item x="417"/>
        <item x="191"/>
        <item x="185"/>
        <item x="101"/>
        <item x="186"/>
        <item x="672"/>
        <item x="357"/>
        <item x="6"/>
        <item x="705"/>
        <item x="158"/>
        <item x="795"/>
        <item x="523"/>
        <item x="414"/>
        <item x="183"/>
        <item x="536"/>
        <item x="89"/>
        <item x="823"/>
        <item x="182"/>
        <item x="176"/>
        <item x="653"/>
        <item x="17"/>
        <item x="57"/>
        <item x="165"/>
        <item x="230"/>
        <item x="163"/>
        <item x="727"/>
        <item x="190"/>
        <item x="768"/>
        <item x="744"/>
        <item x="94"/>
        <item x="277"/>
        <item x="572"/>
        <item x="242"/>
        <item x="71"/>
        <item x="108"/>
        <item x="689"/>
        <item x="162"/>
        <item x="202"/>
        <item x="61"/>
        <item x="371"/>
        <item x="153"/>
        <item x="513"/>
        <item x="146"/>
        <item x="543"/>
        <item x="433"/>
        <item x="140"/>
        <item x="781"/>
        <item x="174"/>
        <item x="335"/>
        <item x="363"/>
        <item x="221"/>
        <item x="137"/>
        <item x="355"/>
        <item x="136"/>
        <item x="43"/>
        <item x="31"/>
        <item x="247"/>
        <item x="78"/>
        <item x="765"/>
        <item x="756"/>
        <item x="821"/>
        <item x="818"/>
        <item x="504"/>
        <item x="594"/>
        <item x="124"/>
        <item x="175"/>
        <item x="120"/>
        <item x="555"/>
        <item x="511"/>
        <item x="115"/>
        <item x="777"/>
        <item x="733"/>
        <item x="350"/>
        <item x="681"/>
        <item x="686"/>
        <item x="128"/>
        <item x="453"/>
        <item x="650"/>
        <item x="766"/>
        <item x="482"/>
        <item x="564"/>
        <item x="384"/>
        <item x="530"/>
        <item x="514"/>
        <item x="731"/>
        <item x="216"/>
        <item x="607"/>
        <item x="445"/>
        <item x="665"/>
        <item x="609"/>
        <item x="91"/>
        <item x="751"/>
        <item x="365"/>
        <item x="49"/>
        <item x="302"/>
        <item x="567"/>
        <item x="685"/>
        <item x="524"/>
        <item x="88"/>
        <item x="799"/>
        <item x="492"/>
        <item x="728"/>
        <item x="313"/>
        <item x="36"/>
        <item x="109"/>
        <item x="87"/>
        <item x="304"/>
        <item x="83"/>
        <item x="166"/>
        <item x="63"/>
        <item x="490"/>
        <item x="82"/>
        <item x="77"/>
        <item x="461"/>
        <item x="438"/>
        <item x="405"/>
        <item x="48"/>
        <item x="69"/>
        <item x="641"/>
        <item x="50"/>
        <item x="633"/>
        <item x="258"/>
        <item x="319"/>
        <item x="676"/>
        <item x="291"/>
        <item x="14"/>
        <item x="515"/>
        <item x="556"/>
        <item x="47"/>
        <item x="431"/>
        <item x="290"/>
        <item x="599"/>
        <item x="347"/>
        <item x="3"/>
        <item x="180"/>
        <item x="346"/>
        <item x="227"/>
        <item x="812"/>
        <item x="545"/>
        <item x="706"/>
        <item x="164"/>
        <item x="550"/>
        <item x="637"/>
        <item x="471"/>
        <item x="593"/>
        <item x="480"/>
        <item x="263"/>
        <item x="722"/>
        <item x="12"/>
        <item x="360"/>
        <item x="378"/>
        <item x="725"/>
        <item x="8"/>
        <item x="688"/>
        <item x="638"/>
        <item x="373"/>
        <item x="4"/>
        <item x="713"/>
        <item x="81"/>
        <item x="605"/>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Per unit" fld="4" baseField="0" baseItem="0"/>
  </dataFields>
  <formats count="1">
    <format dxfId="24">
      <pivotArea collapsedLevelsAreSubtotals="1" fieldPosition="0">
        <references count="1">
          <reference field="10" count="12">
            <x v="1"/>
            <x v="2"/>
            <x v="3"/>
            <x v="4"/>
            <x v="5"/>
            <x v="6"/>
            <x v="7"/>
            <x v="8"/>
            <x v="9"/>
            <x v="10"/>
            <x v="11"/>
            <x v="12"/>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CDE4BA-EAB9-4457-8D90-BEE96DDDD99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4AF039-E145-4DF7-B480-68753D0F71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numFmtId="14" showAll="0">
      <items count="327">
        <item x="71"/>
        <item x="272"/>
        <item x="146"/>
        <item x="286"/>
        <item x="308"/>
        <item x="196"/>
        <item x="135"/>
        <item x="156"/>
        <item x="246"/>
        <item x="288"/>
        <item x="214"/>
        <item x="90"/>
        <item x="44"/>
        <item x="282"/>
        <item x="306"/>
        <item x="194"/>
        <item x="132"/>
        <item x="58"/>
        <item x="201"/>
        <item x="106"/>
        <item x="4"/>
        <item x="62"/>
        <item x="1"/>
        <item x="37"/>
        <item x="102"/>
        <item x="222"/>
        <item x="17"/>
        <item x="21"/>
        <item x="217"/>
        <item x="74"/>
        <item x="108"/>
        <item x="61"/>
        <item x="206"/>
        <item x="30"/>
        <item x="81"/>
        <item x="189"/>
        <item x="59"/>
        <item x="131"/>
        <item x="273"/>
        <item x="163"/>
        <item x="130"/>
        <item x="78"/>
        <item x="203"/>
        <item x="321"/>
        <item x="281"/>
        <item x="98"/>
        <item x="77"/>
        <item x="257"/>
        <item x="292"/>
        <item x="192"/>
        <item x="167"/>
        <item x="275"/>
        <item x="65"/>
        <item x="96"/>
        <item x="238"/>
        <item x="312"/>
        <item x="168"/>
        <item x="245"/>
        <item x="185"/>
        <item x="40"/>
        <item x="99"/>
        <item x="290"/>
        <item x="115"/>
        <item x="113"/>
        <item x="10"/>
        <item x="14"/>
        <item x="251"/>
        <item x="226"/>
        <item x="199"/>
        <item x="208"/>
        <item x="147"/>
        <item x="134"/>
        <item x="93"/>
        <item x="287"/>
        <item x="225"/>
        <item x="26"/>
        <item x="191"/>
        <item x="8"/>
        <item x="198"/>
        <item x="223"/>
        <item x="109"/>
        <item x="205"/>
        <item x="124"/>
        <item x="212"/>
        <item x="50"/>
        <item x="171"/>
        <item x="160"/>
        <item x="186"/>
        <item x="193"/>
        <item x="155"/>
        <item x="316"/>
        <item x="79"/>
        <item x="303"/>
        <item x="229"/>
        <item x="45"/>
        <item x="172"/>
        <item x="298"/>
        <item x="261"/>
        <item x="152"/>
        <item x="267"/>
        <item x="141"/>
        <item x="139"/>
        <item x="43"/>
        <item x="149"/>
        <item x="67"/>
        <item x="27"/>
        <item x="53"/>
        <item x="259"/>
        <item x="250"/>
        <item x="202"/>
        <item x="151"/>
        <item x="110"/>
        <item x="66"/>
        <item x="85"/>
        <item x="100"/>
        <item x="60"/>
        <item x="145"/>
        <item x="12"/>
        <item x="254"/>
        <item x="153"/>
        <item x="271"/>
        <item x="182"/>
        <item x="295"/>
        <item x="218"/>
        <item x="299"/>
        <item x="197"/>
        <item x="63"/>
        <item x="228"/>
        <item x="112"/>
        <item x="315"/>
        <item x="323"/>
        <item x="142"/>
        <item x="173"/>
        <item x="88"/>
        <item x="248"/>
        <item x="107"/>
        <item x="300"/>
        <item x="161"/>
        <item x="55"/>
        <item x="302"/>
        <item x="230"/>
        <item x="242"/>
        <item x="9"/>
        <item x="2"/>
        <item x="175"/>
        <item x="213"/>
        <item x="34"/>
        <item x="136"/>
        <item x="70"/>
        <item x="319"/>
        <item x="123"/>
        <item x="210"/>
        <item x="255"/>
        <item x="313"/>
        <item x="117"/>
        <item x="18"/>
        <item x="54"/>
        <item x="119"/>
        <item x="249"/>
        <item x="215"/>
        <item x="80"/>
        <item x="274"/>
        <item x="279"/>
        <item x="154"/>
        <item x="276"/>
        <item x="280"/>
        <item x="24"/>
        <item x="209"/>
        <item x="262"/>
        <item x="311"/>
        <item x="174"/>
        <item x="157"/>
        <item x="129"/>
        <item x="89"/>
        <item x="314"/>
        <item x="137"/>
        <item x="5"/>
        <item x="211"/>
        <item x="52"/>
        <item x="7"/>
        <item x="127"/>
        <item x="244"/>
        <item x="97"/>
        <item x="122"/>
        <item x="0"/>
        <item x="236"/>
        <item x="320"/>
        <item x="204"/>
        <item x="200"/>
        <item x="92"/>
        <item x="150"/>
        <item x="20"/>
        <item x="265"/>
        <item x="138"/>
        <item x="42"/>
        <item x="91"/>
        <item x="221"/>
        <item x="46"/>
        <item x="33"/>
        <item x="253"/>
        <item x="103"/>
        <item x="29"/>
        <item x="285"/>
        <item x="75"/>
        <item x="310"/>
        <item x="148"/>
        <item x="39"/>
        <item x="84"/>
        <item x="252"/>
        <item x="166"/>
        <item x="47"/>
        <item x="243"/>
        <item x="169"/>
        <item x="324"/>
        <item x="3"/>
        <item x="25"/>
        <item x="128"/>
        <item x="48"/>
        <item x="95"/>
        <item x="188"/>
        <item x="235"/>
        <item x="87"/>
        <item x="121"/>
        <item x="49"/>
        <item x="178"/>
        <item x="278"/>
        <item x="164"/>
        <item x="28"/>
        <item x="105"/>
        <item x="232"/>
        <item x="64"/>
        <item x="269"/>
        <item x="224"/>
        <item x="266"/>
        <item x="114"/>
        <item x="190"/>
        <item x="176"/>
        <item x="183"/>
        <item x="73"/>
        <item x="294"/>
        <item x="187"/>
        <item x="237"/>
        <item x="231"/>
        <item x="263"/>
        <item x="68"/>
        <item x="216"/>
        <item x="57"/>
        <item x="94"/>
        <item x="165"/>
        <item x="6"/>
        <item x="247"/>
        <item x="181"/>
        <item x="126"/>
        <item x="170"/>
        <item x="144"/>
        <item x="177"/>
        <item x="207"/>
        <item x="104"/>
        <item x="293"/>
        <item x="227"/>
        <item x="125"/>
        <item x="240"/>
        <item x="31"/>
        <item x="19"/>
        <item x="184"/>
        <item x="264"/>
        <item x="23"/>
        <item x="86"/>
        <item x="56"/>
        <item x="234"/>
        <item x="179"/>
        <item x="241"/>
        <item x="76"/>
        <item x="16"/>
        <item x="116"/>
        <item x="120"/>
        <item x="219"/>
        <item x="304"/>
        <item x="22"/>
        <item x="325"/>
        <item x="36"/>
        <item x="195"/>
        <item x="256"/>
        <item x="284"/>
        <item x="277"/>
        <item x="51"/>
        <item x="297"/>
        <item x="260"/>
        <item x="69"/>
        <item x="258"/>
        <item x="239"/>
        <item x="118"/>
        <item x="35"/>
        <item x="270"/>
        <item x="317"/>
        <item x="268"/>
        <item x="233"/>
        <item x="143"/>
        <item x="307"/>
        <item x="140"/>
        <item x="180"/>
        <item x="111"/>
        <item x="305"/>
        <item x="291"/>
        <item x="133"/>
        <item x="296"/>
        <item x="13"/>
        <item x="301"/>
        <item x="32"/>
        <item x="309"/>
        <item x="41"/>
        <item x="83"/>
        <item x="220"/>
        <item x="15"/>
        <item x="283"/>
        <item x="322"/>
        <item x="72"/>
        <item x="38"/>
        <item x="101"/>
        <item x="82"/>
        <item x="289"/>
        <item x="158"/>
        <item x="159"/>
        <item x="318"/>
        <item x="162"/>
        <item x="11"/>
        <item t="default"/>
      </items>
    </pivotField>
    <pivotField showAll="0"/>
    <pivotField showAll="0">
      <items count="6">
        <item x="0"/>
        <item x="1"/>
        <item x="3"/>
        <item x="2"/>
        <item x="4"/>
        <item t="default"/>
      </items>
    </pivotField>
    <pivotField showAll="0"/>
    <pivotField showAll="0"/>
    <pivotField showAll="0"/>
    <pivotField showAll="0"/>
    <pivotField axis="axisRow" showAll="0">
      <items count="6">
        <item x="0"/>
        <item x="1"/>
        <item x="4"/>
        <item x="2"/>
        <item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63F78F-66B7-4FF9-9157-868A2412CD01}" sourceName="Brand">
  <pivotTables>
    <pivotTable tabId="2" name="PivotTable9"/>
    <pivotTable tabId="5" name="PivotTable9"/>
    <pivotTable tabId="3" name="PivotTable9"/>
    <pivotTable tabId="4" name="PivotTable9"/>
    <pivotTable tabId="6" name="PivotTable9"/>
    <pivotTable tabId="7" name="PivotTable9"/>
  </pivotTables>
  <data>
    <tabular pivotCacheId="750134782">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type" xr10:uid="{EC1CFC9A-61C6-4A25-98B5-9057855ACDE1}" sourceName="Distribution type">
  <pivotTables>
    <pivotTable tabId="2" name="PivotTable9"/>
    <pivotTable tabId="5" name="PivotTable9"/>
    <pivotTable tabId="3" name="PivotTable9"/>
    <pivotTable tabId="4" name="PivotTable9"/>
    <pivotTable tabId="6" name="PivotTable9"/>
    <pivotTable tabId="7" name="PivotTable9"/>
  </pivotTables>
  <data>
    <tabular pivotCacheId="750134782">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D522EAFF-C7AD-4232-B24B-8CC3F40E9FDF}" cache="Slicer_Brand" caption="Brand" rowHeight="241300"/>
  <slicer name="Distribution type" xr10:uid="{21CD06BC-D4DA-4B5E-AAB6-BF5EE1FB9886}" cache="Slicer_Distribution_type" caption="Mode of 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85F5BB-E7F5-453A-83D1-E110B6EFB6EA}" name="Table1" displayName="Table1" ref="A1:I904" totalsRowShown="0" headerRowDxfId="23">
  <autoFilter ref="A1:I904" xr:uid="{6955B9DF-A71A-4AD4-A8AA-993DF562B19D}"/>
  <sortState xmlns:xlrd2="http://schemas.microsoft.com/office/spreadsheetml/2017/richdata2" ref="A2:I900">
    <sortCondition descending="1" ref="I1:I904"/>
  </sortState>
  <tableColumns count="9">
    <tableColumn id="1" xr3:uid="{1E8410DA-FC51-4710-84B5-C89F7FBFD6FB}" name="Date"/>
    <tableColumn id="2" xr3:uid="{9D22406E-0D3F-429F-BE65-CBA11717DDC2}" name="Product"/>
    <tableColumn id="3" xr3:uid="{700EF763-E7D9-4EF6-A5FE-626EAD92CF13}" name="Brand"/>
    <tableColumn id="4" xr3:uid="{5711634C-81F8-45FF-8D40-540E542D0854}" name="Boxes Shipped"/>
    <tableColumn id="5" xr3:uid="{5628AECB-FEFC-4A78-8600-586D777B3291}" name="Per unit" dataDxfId="22"/>
    <tableColumn id="6" xr3:uid="{2829AC00-1755-4246-994E-F0FC23D539A1}" name="City"/>
    <tableColumn id="7" xr3:uid="{5EF9B52F-2A69-44A0-8961-9520544C31EA}" name="Sales region"/>
    <tableColumn id="8" xr3:uid="{8A3DB27F-DCB4-41F8-9E43-BC76970EB1B8}" name="Distribution type"/>
    <tableColumn id="9" xr3:uid="{FBFAAA8F-C638-494E-9F66-19922027917F}" name="Amount" dataDxfId="21">
      <calculatedColumnFormula>Table1[[#This Row],[Per unit]]*Table1[[#This Row],[Boxes Shipped]]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95DE-98F8-494F-800F-91F4B30B49B2}">
  <dimension ref="A1"/>
  <sheetViews>
    <sheetView tabSelected="1" zoomScale="80" zoomScaleNormal="80" workbookViewId="0">
      <selection activeCell="AB23" sqref="AB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74B0-F7B8-44E8-959B-79B3B94D31AC}">
  <dimension ref="A3:C17"/>
  <sheetViews>
    <sheetView workbookViewId="0">
      <selection activeCell="C16" sqref="C16"/>
    </sheetView>
  </sheetViews>
  <sheetFormatPr defaultRowHeight="15" x14ac:dyDescent="0.25"/>
  <cols>
    <col min="1" max="1" width="22.42578125" bestFit="1" customWidth="1"/>
    <col min="2" max="2" width="20.85546875" bestFit="1" customWidth="1"/>
    <col min="3" max="3" width="14.85546875" bestFit="1" customWidth="1"/>
  </cols>
  <sheetData>
    <row r="3" spans="1:3" x14ac:dyDescent="0.25">
      <c r="A3" t="s">
        <v>136</v>
      </c>
      <c r="B3" t="s">
        <v>54</v>
      </c>
      <c r="C3" t="s">
        <v>55</v>
      </c>
    </row>
    <row r="4" spans="1:3" x14ac:dyDescent="0.25">
      <c r="A4">
        <v>903</v>
      </c>
      <c r="B4">
        <v>140106</v>
      </c>
      <c r="C4">
        <v>8254589</v>
      </c>
    </row>
    <row r="6" spans="1:3" x14ac:dyDescent="0.25">
      <c r="A6" s="21" t="s">
        <v>137</v>
      </c>
      <c r="B6" s="21" t="s">
        <v>138</v>
      </c>
      <c r="C6" s="21" t="s">
        <v>8</v>
      </c>
    </row>
    <row r="7" spans="1:3" x14ac:dyDescent="0.25">
      <c r="A7" s="21" t="str">
        <f>TEXT(A4,"#,##")</f>
        <v>903</v>
      </c>
      <c r="B7" s="21" t="str">
        <f>TEXT(B4,"#,##")</f>
        <v>1,40,106</v>
      </c>
      <c r="C7" s="21" t="str">
        <f>TEXT(C4,"$#,##,.0K")</f>
        <v>$8,254.6K</v>
      </c>
    </row>
    <row r="11" spans="1:3" x14ac:dyDescent="0.25">
      <c r="A11" s="1" t="s">
        <v>139</v>
      </c>
    </row>
    <row r="12" spans="1:3" x14ac:dyDescent="0.25">
      <c r="A12" t="s">
        <v>140</v>
      </c>
    </row>
    <row r="13" spans="1:3" x14ac:dyDescent="0.25">
      <c r="A13" t="s">
        <v>141</v>
      </c>
    </row>
    <row r="14" spans="1:3" x14ac:dyDescent="0.25">
      <c r="A14" t="s">
        <v>145</v>
      </c>
    </row>
    <row r="15" spans="1:3" x14ac:dyDescent="0.25">
      <c r="A15" t="s">
        <v>142</v>
      </c>
    </row>
    <row r="16" spans="1:3" x14ac:dyDescent="0.25">
      <c r="A16" t="s">
        <v>143</v>
      </c>
    </row>
    <row r="17" spans="1:1" x14ac:dyDescent="0.25">
      <c r="A17"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2B28-71EC-4DA6-9961-E2095E12FCA0}">
  <dimension ref="A3:C16"/>
  <sheetViews>
    <sheetView workbookViewId="0">
      <selection activeCell="B23" sqref="B23"/>
    </sheetView>
  </sheetViews>
  <sheetFormatPr defaultRowHeight="15" x14ac:dyDescent="0.25"/>
  <cols>
    <col min="1" max="1" width="13.140625" bestFit="1" customWidth="1"/>
    <col min="2" max="2" width="14.85546875" bestFit="1" customWidth="1"/>
    <col min="3" max="3" width="20.85546875" bestFit="1" customWidth="1"/>
  </cols>
  <sheetData>
    <row r="3" spans="1:3" x14ac:dyDescent="0.25">
      <c r="A3" s="13" t="s">
        <v>51</v>
      </c>
      <c r="B3" t="s">
        <v>55</v>
      </c>
      <c r="C3" t="s">
        <v>54</v>
      </c>
    </row>
    <row r="4" spans="1:3" x14ac:dyDescent="0.25">
      <c r="A4" s="14" t="s">
        <v>56</v>
      </c>
      <c r="B4" s="22">
        <v>599812</v>
      </c>
      <c r="C4" s="22">
        <v>9477</v>
      </c>
    </row>
    <row r="5" spans="1:3" x14ac:dyDescent="0.25">
      <c r="A5" s="14" t="s">
        <v>57</v>
      </c>
      <c r="B5" s="22">
        <v>648825</v>
      </c>
      <c r="C5" s="22">
        <v>11242</v>
      </c>
    </row>
    <row r="6" spans="1:3" x14ac:dyDescent="0.25">
      <c r="A6" s="14" t="s">
        <v>58</v>
      </c>
      <c r="B6" s="22">
        <v>743715</v>
      </c>
      <c r="C6" s="22">
        <v>13396</v>
      </c>
    </row>
    <row r="7" spans="1:3" x14ac:dyDescent="0.25">
      <c r="A7" s="14" t="s">
        <v>59</v>
      </c>
      <c r="B7" s="22">
        <v>784089</v>
      </c>
      <c r="C7" s="22">
        <v>13538</v>
      </c>
    </row>
    <row r="8" spans="1:3" x14ac:dyDescent="0.25">
      <c r="A8" s="14" t="s">
        <v>60</v>
      </c>
      <c r="B8" s="22">
        <v>580900</v>
      </c>
      <c r="C8" s="22">
        <v>10049</v>
      </c>
    </row>
    <row r="9" spans="1:3" x14ac:dyDescent="0.25">
      <c r="A9" s="14" t="s">
        <v>61</v>
      </c>
      <c r="B9" s="22">
        <v>491534</v>
      </c>
      <c r="C9" s="22">
        <v>9087</v>
      </c>
    </row>
    <row r="10" spans="1:3" x14ac:dyDescent="0.25">
      <c r="A10" s="14" t="s">
        <v>62</v>
      </c>
      <c r="B10" s="22">
        <v>788204</v>
      </c>
      <c r="C10" s="22">
        <v>12690</v>
      </c>
    </row>
    <row r="11" spans="1:3" x14ac:dyDescent="0.25">
      <c r="A11" s="14" t="s">
        <v>63</v>
      </c>
      <c r="B11" s="22">
        <v>752245</v>
      </c>
      <c r="C11" s="22">
        <v>11870</v>
      </c>
    </row>
    <row r="12" spans="1:3" x14ac:dyDescent="0.25">
      <c r="A12" s="14" t="s">
        <v>64</v>
      </c>
      <c r="B12" s="22">
        <v>833970</v>
      </c>
      <c r="C12" s="22">
        <v>13450</v>
      </c>
    </row>
    <row r="13" spans="1:3" x14ac:dyDescent="0.25">
      <c r="A13" s="14" t="s">
        <v>65</v>
      </c>
      <c r="B13" s="22">
        <v>635905</v>
      </c>
      <c r="C13" s="22">
        <v>11673</v>
      </c>
    </row>
    <row r="14" spans="1:3" x14ac:dyDescent="0.25">
      <c r="A14" s="14" t="s">
        <v>66</v>
      </c>
      <c r="B14" s="22">
        <v>747518</v>
      </c>
      <c r="C14" s="22">
        <v>12248</v>
      </c>
    </row>
    <row r="15" spans="1:3" x14ac:dyDescent="0.25">
      <c r="A15" s="14" t="s">
        <v>67</v>
      </c>
      <c r="B15" s="22">
        <v>647872</v>
      </c>
      <c r="C15" s="22">
        <v>11386</v>
      </c>
    </row>
    <row r="16" spans="1:3" x14ac:dyDescent="0.25">
      <c r="A16" s="14" t="s">
        <v>52</v>
      </c>
      <c r="B16" s="22">
        <v>8254589</v>
      </c>
      <c r="C16" s="22">
        <v>140106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D8DE-4A11-455F-AA3B-79693A5F254F}">
  <dimension ref="A3:B9"/>
  <sheetViews>
    <sheetView workbookViewId="0">
      <selection activeCell="E23" sqref="E23"/>
    </sheetView>
  </sheetViews>
  <sheetFormatPr defaultRowHeight="15" x14ac:dyDescent="0.25"/>
  <cols>
    <col min="1" max="1" width="13.140625" bestFit="1" customWidth="1"/>
    <col min="2" max="2" width="14.85546875" bestFit="1" customWidth="1"/>
  </cols>
  <sheetData>
    <row r="3" spans="1:2" x14ac:dyDescent="0.25">
      <c r="A3" s="13" t="s">
        <v>51</v>
      </c>
      <c r="B3" t="s">
        <v>55</v>
      </c>
    </row>
    <row r="4" spans="1:2" x14ac:dyDescent="0.25">
      <c r="A4" s="14" t="s">
        <v>10</v>
      </c>
      <c r="B4" s="22">
        <v>1441551</v>
      </c>
    </row>
    <row r="5" spans="1:2" x14ac:dyDescent="0.25">
      <c r="A5" s="14" t="s">
        <v>17</v>
      </c>
      <c r="B5" s="22">
        <v>1855326</v>
      </c>
    </row>
    <row r="6" spans="1:2" x14ac:dyDescent="0.25">
      <c r="A6" s="14" t="s">
        <v>24</v>
      </c>
      <c r="B6" s="22">
        <v>1745325</v>
      </c>
    </row>
    <row r="7" spans="1:2" x14ac:dyDescent="0.25">
      <c r="A7" s="14" t="s">
        <v>21</v>
      </c>
      <c r="B7" s="22">
        <v>1569325</v>
      </c>
    </row>
    <row r="8" spans="1:2" x14ac:dyDescent="0.25">
      <c r="A8" s="14" t="s">
        <v>30</v>
      </c>
      <c r="B8" s="22">
        <v>1643062</v>
      </c>
    </row>
    <row r="9" spans="1:2" x14ac:dyDescent="0.25">
      <c r="A9" s="14" t="s">
        <v>52</v>
      </c>
      <c r="B9" s="22">
        <v>8254589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0F8BD-662D-4D21-942E-05FF48309A61}">
  <dimension ref="A3:G15"/>
  <sheetViews>
    <sheetView workbookViewId="0">
      <selection activeCell="A4" sqref="A4:F14"/>
    </sheetView>
  </sheetViews>
  <sheetFormatPr defaultRowHeight="15" x14ac:dyDescent="0.25"/>
  <cols>
    <col min="1" max="1" width="14.85546875" bestFit="1" customWidth="1"/>
    <col min="2" max="2" width="16.28515625" bestFit="1" customWidth="1"/>
    <col min="3" max="3" width="9.28515625" bestFit="1" customWidth="1"/>
    <col min="4" max="4" width="10.85546875" bestFit="1" customWidth="1"/>
    <col min="5" max="5" width="11.7109375" bestFit="1" customWidth="1"/>
    <col min="6" max="6" width="12.5703125" bestFit="1" customWidth="1"/>
    <col min="7" max="7" width="11.28515625" bestFit="1" customWidth="1"/>
    <col min="8" max="8" width="15.7109375" bestFit="1" customWidth="1"/>
    <col min="9" max="9" width="9.28515625" bestFit="1" customWidth="1"/>
    <col min="10" max="10" width="10.85546875" bestFit="1" customWidth="1"/>
    <col min="11" max="11" width="11.7109375" bestFit="1" customWidth="1"/>
    <col min="12" max="12" width="12.5703125" bestFit="1" customWidth="1"/>
    <col min="13" max="13" width="18.85546875" bestFit="1" customWidth="1"/>
    <col min="14" max="14" width="12.85546875" bestFit="1" customWidth="1"/>
    <col min="15" max="15" width="9.28515625" bestFit="1" customWidth="1"/>
    <col min="16" max="16" width="10.85546875" bestFit="1" customWidth="1"/>
    <col min="17" max="17" width="11.7109375" bestFit="1" customWidth="1"/>
    <col min="18" max="18" width="12.5703125" bestFit="1" customWidth="1"/>
    <col min="19" max="19" width="16" bestFit="1" customWidth="1"/>
    <col min="20" max="20" width="12.85546875" bestFit="1" customWidth="1"/>
    <col min="21" max="21" width="9.28515625" bestFit="1" customWidth="1"/>
    <col min="22" max="22" width="10.85546875" bestFit="1" customWidth="1"/>
    <col min="23" max="23" width="11.7109375" bestFit="1" customWidth="1"/>
    <col min="24" max="24" width="12.5703125" bestFit="1" customWidth="1"/>
    <col min="25" max="25" width="15.85546875" bestFit="1" customWidth="1"/>
    <col min="26" max="26" width="12.85546875" bestFit="1" customWidth="1"/>
    <col min="27" max="27" width="9.28515625" bestFit="1" customWidth="1"/>
    <col min="28" max="28" width="10.85546875" bestFit="1" customWidth="1"/>
    <col min="29" max="29" width="11.7109375" bestFit="1" customWidth="1"/>
    <col min="30" max="30" width="12.5703125" bestFit="1" customWidth="1"/>
    <col min="31" max="31" width="15.7109375" bestFit="1" customWidth="1"/>
    <col min="32" max="32" width="12.85546875" bestFit="1" customWidth="1"/>
    <col min="33" max="33" width="9.28515625" bestFit="1" customWidth="1"/>
    <col min="34" max="34" width="10.85546875" bestFit="1" customWidth="1"/>
    <col min="35" max="35" width="11.7109375" bestFit="1" customWidth="1"/>
    <col min="36" max="36" width="12.5703125" bestFit="1" customWidth="1"/>
    <col min="37" max="37" width="12.7109375" bestFit="1" customWidth="1"/>
    <col min="38" max="38" width="14.28515625" bestFit="1" customWidth="1"/>
    <col min="39" max="39" width="9.28515625" bestFit="1" customWidth="1"/>
    <col min="40" max="40" width="10.85546875" bestFit="1" customWidth="1"/>
    <col min="41" max="41" width="11.7109375" bestFit="1" customWidth="1"/>
    <col min="42" max="42" width="12.5703125" bestFit="1" customWidth="1"/>
    <col min="43" max="43" width="17.5703125" bestFit="1" customWidth="1"/>
    <col min="44" max="44" width="12.85546875" bestFit="1" customWidth="1"/>
    <col min="45" max="45" width="9.28515625" bestFit="1" customWidth="1"/>
    <col min="46" max="46" width="10.85546875" bestFit="1" customWidth="1"/>
    <col min="47" max="47" width="11.7109375" bestFit="1" customWidth="1"/>
    <col min="48" max="48" width="12.5703125" bestFit="1" customWidth="1"/>
    <col min="49" max="49" width="14.85546875" bestFit="1" customWidth="1"/>
    <col min="50" max="50" width="15.5703125" bestFit="1" customWidth="1"/>
    <col min="51" max="51" width="9.28515625" bestFit="1" customWidth="1"/>
    <col min="52" max="52" width="10.85546875" bestFit="1" customWidth="1"/>
    <col min="53" max="53" width="11.7109375" bestFit="1" customWidth="1"/>
    <col min="54" max="54" width="12.5703125" bestFit="1" customWidth="1"/>
    <col min="55" max="55" width="18.7109375" bestFit="1" customWidth="1"/>
    <col min="56" max="56" width="15.140625" bestFit="1" customWidth="1"/>
    <col min="57" max="57" width="9.28515625" bestFit="1" customWidth="1"/>
    <col min="58" max="58" width="10.85546875" bestFit="1" customWidth="1"/>
    <col min="59" max="59" width="11.7109375" bestFit="1" customWidth="1"/>
    <col min="60" max="60" width="12.5703125" bestFit="1" customWidth="1"/>
    <col min="61" max="61" width="18.28515625" bestFit="1" customWidth="1"/>
    <col min="62" max="62" width="11.28515625" bestFit="1" customWidth="1"/>
    <col min="63" max="96" width="3" bestFit="1" customWidth="1"/>
    <col min="97" max="355" width="4" bestFit="1" customWidth="1"/>
    <col min="356" max="356" width="11.28515625" bestFit="1" customWidth="1"/>
  </cols>
  <sheetData>
    <row r="3" spans="1:7" x14ac:dyDescent="0.25">
      <c r="A3" s="13" t="s">
        <v>55</v>
      </c>
      <c r="B3" s="13" t="s">
        <v>53</v>
      </c>
    </row>
    <row r="4" spans="1:7" x14ac:dyDescent="0.25">
      <c r="A4" s="17" t="s">
        <v>68</v>
      </c>
      <c r="B4" s="17" t="s">
        <v>10</v>
      </c>
      <c r="C4" s="17" t="s">
        <v>17</v>
      </c>
      <c r="D4" s="17" t="s">
        <v>24</v>
      </c>
      <c r="E4" s="17" t="s">
        <v>21</v>
      </c>
      <c r="F4" s="17" t="s">
        <v>30</v>
      </c>
      <c r="G4" t="s">
        <v>52</v>
      </c>
    </row>
    <row r="5" spans="1:7" x14ac:dyDescent="0.25">
      <c r="A5" s="16" t="s">
        <v>27</v>
      </c>
      <c r="B5" s="15">
        <v>1.0474779543839191E-2</v>
      </c>
      <c r="C5" s="15">
        <v>2.4986586249176063E-2</v>
      </c>
      <c r="D5" s="15">
        <v>2.537340138921514E-2</v>
      </c>
      <c r="E5" s="15">
        <v>1.4209671735322013E-2</v>
      </c>
      <c r="F5" s="15">
        <v>1.4344384681054381E-2</v>
      </c>
      <c r="G5" s="15">
        <v>8.9388823598606781E-2</v>
      </c>
    </row>
    <row r="6" spans="1:7" x14ac:dyDescent="0.25">
      <c r="A6" s="16" t="s">
        <v>26</v>
      </c>
      <c r="B6" s="15">
        <v>9.93302028726082E-3</v>
      </c>
      <c r="C6" s="15">
        <v>1.7717538692719893E-2</v>
      </c>
      <c r="D6" s="15">
        <v>3.592777302419297E-2</v>
      </c>
      <c r="E6" s="15">
        <v>2.3654115304832257E-2</v>
      </c>
      <c r="F6" s="15">
        <v>2.3180560534267668E-2</v>
      </c>
      <c r="G6" s="15">
        <v>0.1104130078432736</v>
      </c>
    </row>
    <row r="7" spans="1:7" x14ac:dyDescent="0.25">
      <c r="A7" s="16" t="s">
        <v>32</v>
      </c>
      <c r="B7" s="15">
        <v>3.0876885572376771E-2</v>
      </c>
      <c r="C7" s="15">
        <v>2.817026989472159E-2</v>
      </c>
      <c r="D7" s="15">
        <v>1.1964011775752856E-2</v>
      </c>
      <c r="E7" s="15">
        <v>1.4770693004824347E-2</v>
      </c>
      <c r="F7" s="15">
        <v>1.7603420352000566E-2</v>
      </c>
      <c r="G7" s="15">
        <v>0.10338528059967614</v>
      </c>
    </row>
    <row r="8" spans="1:7" x14ac:dyDescent="0.25">
      <c r="A8" s="16" t="s">
        <v>12</v>
      </c>
      <c r="B8" s="15">
        <v>6.816208535639994E-3</v>
      </c>
      <c r="C8" s="15">
        <v>1.5491746469751553E-2</v>
      </c>
      <c r="D8" s="15">
        <v>1.9670512971633112E-2</v>
      </c>
      <c r="E8" s="15">
        <v>3.1137104463953322E-2</v>
      </c>
      <c r="F8" s="15">
        <v>2.1517364462361483E-2</v>
      </c>
      <c r="G8" s="15">
        <v>9.463293690333946E-2</v>
      </c>
    </row>
    <row r="9" spans="1:7" x14ac:dyDescent="0.25">
      <c r="A9" s="16" t="s">
        <v>22</v>
      </c>
      <c r="B9" s="15">
        <v>1.5196274460182088E-2</v>
      </c>
      <c r="C9" s="15">
        <v>3.4405104845316947E-2</v>
      </c>
      <c r="D9" s="15">
        <v>1.5995102845217369E-2</v>
      </c>
      <c r="E9" s="15">
        <v>2.0006326178081065E-2</v>
      </c>
      <c r="F9" s="15">
        <v>1.2832013804684884E-2</v>
      </c>
      <c r="G9" s="15">
        <v>9.8434822133482355E-2</v>
      </c>
    </row>
    <row r="10" spans="1:7" x14ac:dyDescent="0.25">
      <c r="A10" s="16" t="s">
        <v>19</v>
      </c>
      <c r="B10" s="15">
        <v>3.1681771194180593E-2</v>
      </c>
      <c r="C10" s="15">
        <v>2.2567447028555874E-2</v>
      </c>
      <c r="D10" s="15">
        <v>1.6097470146605723E-2</v>
      </c>
      <c r="E10" s="15">
        <v>2.0208395596679616E-2</v>
      </c>
      <c r="F10" s="15">
        <v>2.6331535101263067E-2</v>
      </c>
      <c r="G10" s="15">
        <v>0.11688661906728488</v>
      </c>
    </row>
    <row r="11" spans="1:7" x14ac:dyDescent="0.25">
      <c r="A11" s="16" t="s">
        <v>11</v>
      </c>
      <c r="B11" s="15">
        <v>1.2036335182769245E-2</v>
      </c>
      <c r="C11" s="15">
        <v>1.1235810771438771E-2</v>
      </c>
      <c r="D11" s="15">
        <v>2.018259176804563E-2</v>
      </c>
      <c r="E11" s="15">
        <v>1.954973167046839E-2</v>
      </c>
      <c r="F11" s="15">
        <v>1.2772531739617805E-2</v>
      </c>
      <c r="G11" s="15">
        <v>7.5777001132339844E-2</v>
      </c>
    </row>
    <row r="12" spans="1:7" x14ac:dyDescent="0.25">
      <c r="A12" s="16" t="s">
        <v>34</v>
      </c>
      <c r="B12" s="15">
        <v>1.521250785472178E-2</v>
      </c>
      <c r="C12" s="15">
        <v>2.0566862868641917E-2</v>
      </c>
      <c r="D12" s="15">
        <v>2.3864664854906768E-2</v>
      </c>
      <c r="E12" s="15">
        <v>1.4725263729060283E-2</v>
      </c>
      <c r="F12" s="15">
        <v>3.2574365604392905E-2</v>
      </c>
      <c r="G12" s="15">
        <v>0.10694366491172365</v>
      </c>
    </row>
    <row r="13" spans="1:7" x14ac:dyDescent="0.25">
      <c r="A13" s="16" t="s">
        <v>28</v>
      </c>
      <c r="B13" s="15">
        <v>2.0163572044592407E-2</v>
      </c>
      <c r="C13" s="15">
        <v>2.2903865958680679E-2</v>
      </c>
      <c r="D13" s="15">
        <v>1.6733358862567233E-2</v>
      </c>
      <c r="E13" s="15">
        <v>1.206468305084602E-2</v>
      </c>
      <c r="F13" s="15">
        <v>2.2702523408494355E-2</v>
      </c>
      <c r="G13" s="15">
        <v>9.45680033251807E-2</v>
      </c>
    </row>
    <row r="14" spans="1:7" x14ac:dyDescent="0.25">
      <c r="A14" s="16" t="s">
        <v>15</v>
      </c>
      <c r="B14" s="15">
        <v>2.2244959742998713E-2</v>
      </c>
      <c r="C14" s="15">
        <v>2.6717744517625288E-2</v>
      </c>
      <c r="D14" s="15">
        <v>2.5628047622964632E-2</v>
      </c>
      <c r="E14" s="15">
        <v>1.9789477101767271E-2</v>
      </c>
      <c r="F14" s="15">
        <v>1.5189611499736692E-2</v>
      </c>
      <c r="G14" s="15">
        <v>0.10956984048509259</v>
      </c>
    </row>
    <row r="15" spans="1:7" x14ac:dyDescent="0.25">
      <c r="A15" s="14" t="s">
        <v>52</v>
      </c>
      <c r="B15" s="15">
        <v>0.17463631441856159</v>
      </c>
      <c r="C15" s="15">
        <v>0.22476297729662859</v>
      </c>
      <c r="D15" s="15">
        <v>0.21143693526110144</v>
      </c>
      <c r="E15" s="15">
        <v>0.19011546183583458</v>
      </c>
      <c r="F15" s="15">
        <v>0.19904831118787381</v>
      </c>
      <c r="G15" s="15">
        <v>1</v>
      </c>
    </row>
  </sheetData>
  <conditionalFormatting pivot="1" sqref="B5:F1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C687-643D-4686-AB82-D840448FAAB9}">
  <dimension ref="A3:B26"/>
  <sheetViews>
    <sheetView topLeftCell="A2" workbookViewId="0">
      <selection activeCell="B3" sqref="B3"/>
    </sheetView>
  </sheetViews>
  <sheetFormatPr defaultRowHeight="15" x14ac:dyDescent="0.25"/>
  <cols>
    <col min="1" max="1" width="21.85546875" bestFit="1" customWidth="1"/>
    <col min="2" max="3" width="20.85546875" bestFit="1" customWidth="1"/>
  </cols>
  <sheetData>
    <row r="3" spans="1:2" x14ac:dyDescent="0.25">
      <c r="A3" s="13" t="s">
        <v>51</v>
      </c>
      <c r="B3" t="s">
        <v>54</v>
      </c>
    </row>
    <row r="4" spans="1:2" x14ac:dyDescent="0.25">
      <c r="A4" s="14" t="s">
        <v>43</v>
      </c>
      <c r="B4" s="22">
        <v>8233</v>
      </c>
    </row>
    <row r="5" spans="1:2" x14ac:dyDescent="0.25">
      <c r="A5" s="14" t="s">
        <v>31</v>
      </c>
      <c r="B5" s="22">
        <v>7981</v>
      </c>
    </row>
    <row r="6" spans="1:2" x14ac:dyDescent="0.25">
      <c r="A6" s="14" t="s">
        <v>44</v>
      </c>
      <c r="B6" s="22">
        <v>7623</v>
      </c>
    </row>
    <row r="7" spans="1:2" x14ac:dyDescent="0.25">
      <c r="A7" s="14" t="s">
        <v>39</v>
      </c>
      <c r="B7" s="22">
        <v>6943</v>
      </c>
    </row>
    <row r="8" spans="1:2" x14ac:dyDescent="0.25">
      <c r="A8" s="14" t="s">
        <v>9</v>
      </c>
      <c r="B8" s="22">
        <v>6896</v>
      </c>
    </row>
    <row r="9" spans="1:2" x14ac:dyDescent="0.25">
      <c r="A9" s="14" t="s">
        <v>38</v>
      </c>
      <c r="B9" s="22">
        <v>6787</v>
      </c>
    </row>
    <row r="10" spans="1:2" x14ac:dyDescent="0.25">
      <c r="A10" s="14" t="s">
        <v>25</v>
      </c>
      <c r="B10" s="22">
        <v>6713</v>
      </c>
    </row>
    <row r="11" spans="1:2" x14ac:dyDescent="0.25">
      <c r="A11" s="14" t="s">
        <v>33</v>
      </c>
      <c r="B11" s="22">
        <v>6594</v>
      </c>
    </row>
    <row r="12" spans="1:2" x14ac:dyDescent="0.25">
      <c r="A12" s="14" t="s">
        <v>48</v>
      </c>
      <c r="B12" s="22">
        <v>6559</v>
      </c>
    </row>
    <row r="13" spans="1:2" x14ac:dyDescent="0.25">
      <c r="A13" s="14" t="s">
        <v>36</v>
      </c>
      <c r="B13" s="22">
        <v>6452</v>
      </c>
    </row>
    <row r="14" spans="1:2" x14ac:dyDescent="0.25">
      <c r="A14" s="14" t="s">
        <v>46</v>
      </c>
      <c r="B14" s="22">
        <v>6381</v>
      </c>
    </row>
    <row r="15" spans="1:2" x14ac:dyDescent="0.25">
      <c r="A15" s="14" t="s">
        <v>18</v>
      </c>
      <c r="B15" s="22">
        <v>6338</v>
      </c>
    </row>
    <row r="16" spans="1:2" x14ac:dyDescent="0.25">
      <c r="A16" s="14" t="s">
        <v>47</v>
      </c>
      <c r="B16" s="22">
        <v>6218</v>
      </c>
    </row>
    <row r="17" spans="1:2" x14ac:dyDescent="0.25">
      <c r="A17" s="14" t="s">
        <v>14</v>
      </c>
      <c r="B17" s="22">
        <v>6214</v>
      </c>
    </row>
    <row r="18" spans="1:2" x14ac:dyDescent="0.25">
      <c r="A18" s="14" t="s">
        <v>42</v>
      </c>
      <c r="B18" s="22">
        <v>6146</v>
      </c>
    </row>
    <row r="19" spans="1:2" x14ac:dyDescent="0.25">
      <c r="A19" s="14" t="s">
        <v>37</v>
      </c>
      <c r="B19" s="22">
        <v>5994</v>
      </c>
    </row>
    <row r="20" spans="1:2" x14ac:dyDescent="0.25">
      <c r="A20" s="14" t="s">
        <v>50</v>
      </c>
      <c r="B20" s="22">
        <v>5964</v>
      </c>
    </row>
    <row r="21" spans="1:2" x14ac:dyDescent="0.25">
      <c r="A21" s="14" t="s">
        <v>41</v>
      </c>
      <c r="B21" s="22">
        <v>5925</v>
      </c>
    </row>
    <row r="22" spans="1:2" x14ac:dyDescent="0.25">
      <c r="A22" s="14" t="s">
        <v>40</v>
      </c>
      <c r="B22" s="22">
        <v>5351</v>
      </c>
    </row>
    <row r="23" spans="1:2" x14ac:dyDescent="0.25">
      <c r="A23" s="14" t="s">
        <v>35</v>
      </c>
      <c r="B23" s="22">
        <v>5256</v>
      </c>
    </row>
    <row r="24" spans="1:2" x14ac:dyDescent="0.25">
      <c r="A24" s="14" t="s">
        <v>49</v>
      </c>
      <c r="B24" s="22">
        <v>5173</v>
      </c>
    </row>
    <row r="25" spans="1:2" x14ac:dyDescent="0.25">
      <c r="A25" s="14" t="s">
        <v>45</v>
      </c>
      <c r="B25" s="22">
        <v>4365</v>
      </c>
    </row>
    <row r="26" spans="1:2" x14ac:dyDescent="0.25">
      <c r="A26" s="14" t="s">
        <v>52</v>
      </c>
      <c r="B26" s="22">
        <v>140106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1651-51E9-42D3-915A-5C787EAEB04F}">
  <dimension ref="A3:L914"/>
  <sheetViews>
    <sheetView topLeftCell="G57" workbookViewId="0">
      <selection activeCell="I17" sqref="I17:K78"/>
    </sheetView>
  </sheetViews>
  <sheetFormatPr defaultRowHeight="15" x14ac:dyDescent="0.25"/>
  <cols>
    <col min="1" max="1" width="13.85546875" bestFit="1" customWidth="1"/>
    <col min="2" max="2" width="20.85546875" bestFit="1" customWidth="1"/>
    <col min="3" max="3" width="7" bestFit="1" customWidth="1"/>
    <col min="4" max="4" width="11.28515625" bestFit="1" customWidth="1"/>
    <col min="5" max="5" width="13.140625" bestFit="1" customWidth="1"/>
    <col min="6" max="6" width="17.42578125" bestFit="1" customWidth="1"/>
    <col min="7" max="7" width="11.28515625" bestFit="1" customWidth="1"/>
    <col min="8" max="8" width="12.42578125" customWidth="1"/>
    <col min="9" max="9" width="9.85546875" customWidth="1"/>
    <col min="10" max="10" width="38.42578125" customWidth="1"/>
    <col min="11" max="11" width="13.28515625" customWidth="1"/>
    <col min="12" max="12" width="11.28515625" customWidth="1"/>
  </cols>
  <sheetData>
    <row r="3" spans="1:12" x14ac:dyDescent="0.25">
      <c r="A3" s="13" t="s">
        <v>51</v>
      </c>
      <c r="B3" t="s">
        <v>54</v>
      </c>
    </row>
    <row r="4" spans="1:12" x14ac:dyDescent="0.25">
      <c r="A4" s="14" t="s">
        <v>27</v>
      </c>
      <c r="B4" s="22">
        <v>12712</v>
      </c>
      <c r="I4" s="1" t="s">
        <v>70</v>
      </c>
      <c r="J4" s="1" t="s">
        <v>71</v>
      </c>
      <c r="K4" s="1" t="s">
        <v>8</v>
      </c>
    </row>
    <row r="5" spans="1:12" x14ac:dyDescent="0.25">
      <c r="A5" s="14" t="s">
        <v>26</v>
      </c>
      <c r="B5" s="22">
        <v>15008</v>
      </c>
      <c r="I5" t="s">
        <v>69</v>
      </c>
      <c r="J5" t="s">
        <v>96</v>
      </c>
      <c r="K5">
        <v>12712</v>
      </c>
      <c r="L5" t="str">
        <f t="shared" ref="L5:L14" si="0">_xlfn.CONCAT(J5," Country")</f>
        <v>Kings County (Brooklyn) Country</v>
      </c>
    </row>
    <row r="6" spans="1:12" x14ac:dyDescent="0.25">
      <c r="A6" s="14" t="s">
        <v>32</v>
      </c>
      <c r="B6" s="22">
        <v>14091</v>
      </c>
      <c r="I6" t="s">
        <v>69</v>
      </c>
      <c r="J6" t="s">
        <v>83</v>
      </c>
      <c r="K6">
        <v>15008</v>
      </c>
      <c r="L6" t="str">
        <f t="shared" si="0"/>
        <v>Columbia County Country</v>
      </c>
    </row>
    <row r="7" spans="1:12" x14ac:dyDescent="0.25">
      <c r="A7" s="14" t="s">
        <v>12</v>
      </c>
      <c r="B7" s="22">
        <v>13355</v>
      </c>
      <c r="I7" t="s">
        <v>69</v>
      </c>
      <c r="J7" t="s">
        <v>78</v>
      </c>
      <c r="K7">
        <v>14091</v>
      </c>
      <c r="L7" t="str">
        <f t="shared" si="0"/>
        <v>Cayuga County Country</v>
      </c>
    </row>
    <row r="8" spans="1:12" x14ac:dyDescent="0.25">
      <c r="A8" s="14" t="s">
        <v>22</v>
      </c>
      <c r="B8" s="22">
        <v>13482</v>
      </c>
      <c r="I8" t="s">
        <v>69</v>
      </c>
      <c r="J8" t="s">
        <v>98</v>
      </c>
      <c r="K8">
        <v>13355</v>
      </c>
      <c r="L8" t="str">
        <f t="shared" si="0"/>
        <v>Livingston County Country</v>
      </c>
    </row>
    <row r="9" spans="1:12" x14ac:dyDescent="0.25">
      <c r="A9" s="14" t="s">
        <v>19</v>
      </c>
      <c r="B9" s="22">
        <v>15101</v>
      </c>
      <c r="I9" t="s">
        <v>69</v>
      </c>
      <c r="J9" t="s">
        <v>103</v>
      </c>
      <c r="K9">
        <v>13482</v>
      </c>
      <c r="L9" t="str">
        <f t="shared" si="0"/>
        <v>New York County (Manhattan) Country</v>
      </c>
    </row>
    <row r="10" spans="1:12" x14ac:dyDescent="0.25">
      <c r="A10" s="14" t="s">
        <v>11</v>
      </c>
      <c r="B10" s="22">
        <v>11989</v>
      </c>
      <c r="I10" t="s">
        <v>69</v>
      </c>
      <c r="J10" t="s">
        <v>113</v>
      </c>
      <c r="K10">
        <v>15101</v>
      </c>
      <c r="L10" t="str">
        <f t="shared" si="0"/>
        <v>Queens County Country</v>
      </c>
    </row>
    <row r="11" spans="1:12" x14ac:dyDescent="0.25">
      <c r="A11" s="14" t="s">
        <v>34</v>
      </c>
      <c r="B11" s="22">
        <v>14811</v>
      </c>
      <c r="I11" t="s">
        <v>69</v>
      </c>
      <c r="J11" t="s">
        <v>115</v>
      </c>
      <c r="K11">
        <v>11989</v>
      </c>
      <c r="L11" t="str">
        <f t="shared" si="0"/>
        <v>Richmond County (Staten Island) Country</v>
      </c>
    </row>
    <row r="12" spans="1:12" x14ac:dyDescent="0.25">
      <c r="A12" s="14" t="s">
        <v>28</v>
      </c>
      <c r="B12" s="22">
        <v>13483</v>
      </c>
      <c r="I12" t="s">
        <v>69</v>
      </c>
      <c r="J12" t="s">
        <v>75</v>
      </c>
      <c r="K12">
        <v>14811</v>
      </c>
      <c r="L12" t="str">
        <f t="shared" si="0"/>
        <v>Bronx County Country</v>
      </c>
    </row>
    <row r="13" spans="1:12" x14ac:dyDescent="0.25">
      <c r="A13" s="14" t="s">
        <v>15</v>
      </c>
      <c r="B13" s="22">
        <v>16074</v>
      </c>
      <c r="I13" t="s">
        <v>69</v>
      </c>
      <c r="J13" t="s">
        <v>130</v>
      </c>
      <c r="K13">
        <v>13483</v>
      </c>
      <c r="L13" t="str">
        <f t="shared" si="0"/>
        <v>Washington County Country</v>
      </c>
    </row>
    <row r="14" spans="1:12" x14ac:dyDescent="0.25">
      <c r="A14" s="14" t="s">
        <v>52</v>
      </c>
      <c r="B14" s="22">
        <v>140106</v>
      </c>
      <c r="I14" t="s">
        <v>69</v>
      </c>
      <c r="J14" t="s">
        <v>97</v>
      </c>
      <c r="K14">
        <v>16074</v>
      </c>
      <c r="L14" t="str">
        <f t="shared" si="0"/>
        <v>Lewis County Country</v>
      </c>
    </row>
    <row r="17" spans="9:11" x14ac:dyDescent="0.25">
      <c r="I17" t="s">
        <v>69</v>
      </c>
      <c r="J17" t="s">
        <v>73</v>
      </c>
      <c r="K17" s="20"/>
    </row>
    <row r="18" spans="9:11" x14ac:dyDescent="0.25">
      <c r="I18" t="s">
        <v>69</v>
      </c>
      <c r="J18" t="s">
        <v>74</v>
      </c>
      <c r="K18" s="19"/>
    </row>
    <row r="19" spans="9:11" x14ac:dyDescent="0.25">
      <c r="I19" t="s">
        <v>69</v>
      </c>
      <c r="J19" t="s">
        <v>75</v>
      </c>
      <c r="K19">
        <v>14811</v>
      </c>
    </row>
    <row r="20" spans="9:11" x14ac:dyDescent="0.25">
      <c r="I20" t="s">
        <v>69</v>
      </c>
      <c r="J20" t="s">
        <v>76</v>
      </c>
      <c r="K20" s="19"/>
    </row>
    <row r="21" spans="9:11" x14ac:dyDescent="0.25">
      <c r="I21" t="s">
        <v>69</v>
      </c>
      <c r="J21" t="s">
        <v>77</v>
      </c>
      <c r="K21" s="20"/>
    </row>
    <row r="22" spans="9:11" x14ac:dyDescent="0.25">
      <c r="I22" t="s">
        <v>69</v>
      </c>
      <c r="J22" t="s">
        <v>78</v>
      </c>
      <c r="K22">
        <v>14091</v>
      </c>
    </row>
    <row r="23" spans="9:11" x14ac:dyDescent="0.25">
      <c r="I23" t="s">
        <v>69</v>
      </c>
      <c r="J23" t="s">
        <v>79</v>
      </c>
      <c r="K23" s="20"/>
    </row>
    <row r="24" spans="9:11" x14ac:dyDescent="0.25">
      <c r="I24" t="s">
        <v>69</v>
      </c>
      <c r="J24" t="s">
        <v>80</v>
      </c>
      <c r="K24" s="19"/>
    </row>
    <row r="25" spans="9:11" x14ac:dyDescent="0.25">
      <c r="I25" t="s">
        <v>69</v>
      </c>
      <c r="J25" t="s">
        <v>81</v>
      </c>
      <c r="K25" s="20"/>
    </row>
    <row r="26" spans="9:11" x14ac:dyDescent="0.25">
      <c r="I26" t="s">
        <v>69</v>
      </c>
      <c r="J26" t="s">
        <v>82</v>
      </c>
      <c r="K26" s="19"/>
    </row>
    <row r="27" spans="9:11" x14ac:dyDescent="0.25">
      <c r="I27" t="s">
        <v>69</v>
      </c>
      <c r="J27" t="s">
        <v>83</v>
      </c>
      <c r="K27">
        <v>15008</v>
      </c>
    </row>
    <row r="28" spans="9:11" x14ac:dyDescent="0.25">
      <c r="I28" t="s">
        <v>69</v>
      </c>
      <c r="J28" t="s">
        <v>84</v>
      </c>
      <c r="K28" s="19"/>
    </row>
    <row r="29" spans="9:11" x14ac:dyDescent="0.25">
      <c r="I29" t="s">
        <v>69</v>
      </c>
      <c r="J29" t="s">
        <v>85</v>
      </c>
      <c r="K29" s="20"/>
    </row>
    <row r="30" spans="9:11" x14ac:dyDescent="0.25">
      <c r="I30" t="s">
        <v>69</v>
      </c>
      <c r="J30" t="s">
        <v>86</v>
      </c>
      <c r="K30" s="19"/>
    </row>
    <row r="31" spans="9:11" x14ac:dyDescent="0.25">
      <c r="I31" t="s">
        <v>69</v>
      </c>
      <c r="J31" t="s">
        <v>87</v>
      </c>
      <c r="K31" s="20"/>
    </row>
    <row r="32" spans="9:11" x14ac:dyDescent="0.25">
      <c r="I32" t="s">
        <v>69</v>
      </c>
      <c r="J32" t="s">
        <v>88</v>
      </c>
      <c r="K32" s="19"/>
    </row>
    <row r="33" spans="9:11" x14ac:dyDescent="0.25">
      <c r="I33" t="s">
        <v>69</v>
      </c>
      <c r="J33" t="s">
        <v>89</v>
      </c>
      <c r="K33" s="20"/>
    </row>
    <row r="34" spans="9:11" x14ac:dyDescent="0.25">
      <c r="I34" t="s">
        <v>69</v>
      </c>
      <c r="J34" t="s">
        <v>90</v>
      </c>
      <c r="K34" s="19"/>
    </row>
    <row r="35" spans="9:11" x14ac:dyDescent="0.25">
      <c r="I35" t="s">
        <v>69</v>
      </c>
      <c r="J35" t="s">
        <v>91</v>
      </c>
      <c r="K35" s="20"/>
    </row>
    <row r="36" spans="9:11" x14ac:dyDescent="0.25">
      <c r="I36" t="s">
        <v>69</v>
      </c>
      <c r="J36" t="s">
        <v>92</v>
      </c>
      <c r="K36" s="19"/>
    </row>
    <row r="37" spans="9:11" x14ac:dyDescent="0.25">
      <c r="I37" t="s">
        <v>69</v>
      </c>
      <c r="J37" t="s">
        <v>93</v>
      </c>
      <c r="K37" s="20"/>
    </row>
    <row r="38" spans="9:11" x14ac:dyDescent="0.25">
      <c r="I38" t="s">
        <v>69</v>
      </c>
      <c r="J38" t="s">
        <v>94</v>
      </c>
      <c r="K38" s="19"/>
    </row>
    <row r="39" spans="9:11" x14ac:dyDescent="0.25">
      <c r="I39" t="s">
        <v>69</v>
      </c>
      <c r="J39" t="s">
        <v>95</v>
      </c>
      <c r="K39" s="20"/>
    </row>
    <row r="40" spans="9:11" x14ac:dyDescent="0.25">
      <c r="I40" t="s">
        <v>69</v>
      </c>
      <c r="J40" t="s">
        <v>96</v>
      </c>
      <c r="K40">
        <v>12712</v>
      </c>
    </row>
    <row r="41" spans="9:11" x14ac:dyDescent="0.25">
      <c r="I41" t="s">
        <v>69</v>
      </c>
      <c r="J41" t="s">
        <v>97</v>
      </c>
      <c r="K41">
        <v>16074</v>
      </c>
    </row>
    <row r="42" spans="9:11" x14ac:dyDescent="0.25">
      <c r="I42" t="s">
        <v>69</v>
      </c>
      <c r="J42" t="s">
        <v>98</v>
      </c>
      <c r="K42">
        <v>13355</v>
      </c>
    </row>
    <row r="43" spans="9:11" x14ac:dyDescent="0.25">
      <c r="I43" t="s">
        <v>69</v>
      </c>
      <c r="J43" t="s">
        <v>99</v>
      </c>
      <c r="K43" s="20"/>
    </row>
    <row r="44" spans="9:11" x14ac:dyDescent="0.25">
      <c r="I44" t="s">
        <v>69</v>
      </c>
      <c r="J44" t="s">
        <v>100</v>
      </c>
      <c r="K44" s="19"/>
    </row>
    <row r="45" spans="9:11" x14ac:dyDescent="0.25">
      <c r="I45" t="s">
        <v>69</v>
      </c>
      <c r="J45" t="s">
        <v>101</v>
      </c>
      <c r="K45" s="20"/>
    </row>
    <row r="46" spans="9:11" x14ac:dyDescent="0.25">
      <c r="I46" t="s">
        <v>69</v>
      </c>
      <c r="J46" t="s">
        <v>102</v>
      </c>
      <c r="K46" s="19"/>
    </row>
    <row r="47" spans="9:11" x14ac:dyDescent="0.25">
      <c r="I47" t="s">
        <v>69</v>
      </c>
      <c r="J47" t="s">
        <v>103</v>
      </c>
      <c r="K47">
        <v>13482</v>
      </c>
    </row>
    <row r="48" spans="9:11" x14ac:dyDescent="0.25">
      <c r="I48" t="s">
        <v>69</v>
      </c>
      <c r="J48" t="s">
        <v>104</v>
      </c>
    </row>
    <row r="49" spans="9:11" x14ac:dyDescent="0.25">
      <c r="I49" t="s">
        <v>69</v>
      </c>
      <c r="J49" t="s">
        <v>105</v>
      </c>
    </row>
    <row r="50" spans="9:11" x14ac:dyDescent="0.25">
      <c r="I50" t="s">
        <v>69</v>
      </c>
      <c r="J50" t="s">
        <v>106</v>
      </c>
      <c r="K50" s="19"/>
    </row>
    <row r="51" spans="9:11" x14ac:dyDescent="0.25">
      <c r="I51" t="s">
        <v>69</v>
      </c>
      <c r="J51" t="s">
        <v>107</v>
      </c>
      <c r="K51" s="20"/>
    </row>
    <row r="52" spans="9:11" x14ac:dyDescent="0.25">
      <c r="I52" t="s">
        <v>69</v>
      </c>
      <c r="J52" t="s">
        <v>108</v>
      </c>
      <c r="K52" s="19"/>
    </row>
    <row r="53" spans="9:11" x14ac:dyDescent="0.25">
      <c r="I53" t="s">
        <v>69</v>
      </c>
      <c r="J53" t="s">
        <v>109</v>
      </c>
      <c r="K53" s="20"/>
    </row>
    <row r="54" spans="9:11" x14ac:dyDescent="0.25">
      <c r="I54" t="s">
        <v>69</v>
      </c>
      <c r="J54" t="s">
        <v>110</v>
      </c>
      <c r="K54" s="19"/>
    </row>
    <row r="55" spans="9:11" x14ac:dyDescent="0.25">
      <c r="I55" t="s">
        <v>69</v>
      </c>
      <c r="J55" t="s">
        <v>111</v>
      </c>
      <c r="K55" s="20"/>
    </row>
    <row r="56" spans="9:11" x14ac:dyDescent="0.25">
      <c r="I56" t="s">
        <v>69</v>
      </c>
      <c r="J56" t="s">
        <v>112</v>
      </c>
      <c r="K56" s="19"/>
    </row>
    <row r="57" spans="9:11" x14ac:dyDescent="0.25">
      <c r="I57" t="s">
        <v>69</v>
      </c>
      <c r="J57" t="s">
        <v>113</v>
      </c>
      <c r="K57">
        <v>15101</v>
      </c>
    </row>
    <row r="58" spans="9:11" x14ac:dyDescent="0.25">
      <c r="I58" t="s">
        <v>69</v>
      </c>
      <c r="J58" t="s">
        <v>114</v>
      </c>
    </row>
    <row r="59" spans="9:11" x14ac:dyDescent="0.25">
      <c r="I59" t="s">
        <v>69</v>
      </c>
      <c r="J59" t="s">
        <v>115</v>
      </c>
      <c r="K59">
        <v>11989</v>
      </c>
    </row>
    <row r="60" spans="9:11" x14ac:dyDescent="0.25">
      <c r="I60" t="s">
        <v>69</v>
      </c>
      <c r="J60" t="s">
        <v>116</v>
      </c>
      <c r="K60" s="19"/>
    </row>
    <row r="61" spans="9:11" x14ac:dyDescent="0.25">
      <c r="I61" t="s">
        <v>69</v>
      </c>
      <c r="J61" t="s">
        <v>117</v>
      </c>
      <c r="K61" s="20"/>
    </row>
    <row r="62" spans="9:11" x14ac:dyDescent="0.25">
      <c r="I62" t="s">
        <v>69</v>
      </c>
      <c r="J62" t="s">
        <v>118</v>
      </c>
      <c r="K62" s="19"/>
    </row>
    <row r="63" spans="9:11" x14ac:dyDescent="0.25">
      <c r="I63" t="s">
        <v>69</v>
      </c>
      <c r="J63" t="s">
        <v>119</v>
      </c>
      <c r="K63" s="20"/>
    </row>
    <row r="64" spans="9:11" x14ac:dyDescent="0.25">
      <c r="I64" t="s">
        <v>69</v>
      </c>
      <c r="J64" t="s">
        <v>120</v>
      </c>
      <c r="K64" s="19"/>
    </row>
    <row r="65" spans="9:11" x14ac:dyDescent="0.25">
      <c r="I65" t="s">
        <v>69</v>
      </c>
      <c r="J65" t="s">
        <v>121</v>
      </c>
      <c r="K65" s="20"/>
    </row>
    <row r="66" spans="9:11" x14ac:dyDescent="0.25">
      <c r="I66" t="s">
        <v>69</v>
      </c>
      <c r="J66" t="s">
        <v>122</v>
      </c>
      <c r="K66" s="19"/>
    </row>
    <row r="67" spans="9:11" x14ac:dyDescent="0.25">
      <c r="I67" t="s">
        <v>69</v>
      </c>
      <c r="J67" t="s">
        <v>123</v>
      </c>
      <c r="K67" s="20"/>
    </row>
    <row r="68" spans="9:11" x14ac:dyDescent="0.25">
      <c r="I68" t="s">
        <v>69</v>
      </c>
      <c r="J68" t="s">
        <v>124</v>
      </c>
      <c r="K68" s="19"/>
    </row>
    <row r="69" spans="9:11" x14ac:dyDescent="0.25">
      <c r="I69" t="s">
        <v>69</v>
      </c>
      <c r="J69" t="s">
        <v>125</v>
      </c>
      <c r="K69" s="20"/>
    </row>
    <row r="70" spans="9:11" x14ac:dyDescent="0.25">
      <c r="I70" t="s">
        <v>69</v>
      </c>
      <c r="J70" t="s">
        <v>126</v>
      </c>
      <c r="K70" s="19"/>
    </row>
    <row r="71" spans="9:11" x14ac:dyDescent="0.25">
      <c r="I71" t="s">
        <v>69</v>
      </c>
      <c r="J71" t="s">
        <v>127</v>
      </c>
      <c r="K71" s="20"/>
    </row>
    <row r="72" spans="9:11" x14ac:dyDescent="0.25">
      <c r="I72" t="s">
        <v>69</v>
      </c>
      <c r="J72" t="s">
        <v>128</v>
      </c>
      <c r="K72" s="19"/>
    </row>
    <row r="73" spans="9:11" x14ac:dyDescent="0.25">
      <c r="I73" t="s">
        <v>69</v>
      </c>
      <c r="J73" t="s">
        <v>129</v>
      </c>
      <c r="K73" s="20"/>
    </row>
    <row r="74" spans="9:11" x14ac:dyDescent="0.25">
      <c r="I74" t="s">
        <v>69</v>
      </c>
      <c r="J74" t="s">
        <v>130</v>
      </c>
      <c r="K74">
        <v>13483</v>
      </c>
    </row>
    <row r="75" spans="9:11" x14ac:dyDescent="0.25">
      <c r="I75" t="s">
        <v>69</v>
      </c>
      <c r="J75" t="s">
        <v>131</v>
      </c>
      <c r="K75" s="20"/>
    </row>
    <row r="76" spans="9:11" x14ac:dyDescent="0.25">
      <c r="I76" t="s">
        <v>69</v>
      </c>
      <c r="J76" t="s">
        <v>132</v>
      </c>
      <c r="K76" s="19"/>
    </row>
    <row r="77" spans="9:11" x14ac:dyDescent="0.25">
      <c r="I77" t="s">
        <v>69</v>
      </c>
      <c r="J77" t="s">
        <v>133</v>
      </c>
      <c r="K77" s="20"/>
    </row>
    <row r="78" spans="9:11" x14ac:dyDescent="0.25">
      <c r="I78" t="s">
        <v>69</v>
      </c>
      <c r="J78" t="s">
        <v>134</v>
      </c>
      <c r="K78" s="19"/>
    </row>
    <row r="79" spans="9:11" x14ac:dyDescent="0.25">
      <c r="K79" s="20"/>
    </row>
    <row r="80" spans="9:11" x14ac:dyDescent="0.25">
      <c r="K80" s="19"/>
    </row>
    <row r="81" spans="11:11" x14ac:dyDescent="0.25">
      <c r="K81" s="20"/>
    </row>
    <row r="82" spans="11:11" x14ac:dyDescent="0.25">
      <c r="K82" s="19"/>
    </row>
    <row r="83" spans="11:11" x14ac:dyDescent="0.25">
      <c r="K83" s="20"/>
    </row>
    <row r="84" spans="11:11" x14ac:dyDescent="0.25">
      <c r="K84" s="19"/>
    </row>
    <row r="85" spans="11:11" x14ac:dyDescent="0.25">
      <c r="K85" s="20"/>
    </row>
    <row r="86" spans="11:11" x14ac:dyDescent="0.25">
      <c r="K86" s="19"/>
    </row>
    <row r="87" spans="11:11" x14ac:dyDescent="0.25">
      <c r="K87" s="20"/>
    </row>
    <row r="88" spans="11:11" x14ac:dyDescent="0.25">
      <c r="K88" s="19"/>
    </row>
    <row r="89" spans="11:11" x14ac:dyDescent="0.25">
      <c r="K89" s="20"/>
    </row>
    <row r="90" spans="11:11" x14ac:dyDescent="0.25">
      <c r="K90" s="19"/>
    </row>
    <row r="91" spans="11:11" x14ac:dyDescent="0.25">
      <c r="K91" s="20"/>
    </row>
    <row r="92" spans="11:11" x14ac:dyDescent="0.25">
      <c r="K92" s="19"/>
    </row>
    <row r="93" spans="11:11" x14ac:dyDescent="0.25">
      <c r="K93" s="20"/>
    </row>
    <row r="94" spans="11:11" x14ac:dyDescent="0.25">
      <c r="K94" s="19"/>
    </row>
    <row r="95" spans="11:11" x14ac:dyDescent="0.25">
      <c r="K95" s="20"/>
    </row>
    <row r="96" spans="11:11" x14ac:dyDescent="0.25">
      <c r="K96" s="19"/>
    </row>
    <row r="97" spans="11:11" x14ac:dyDescent="0.25">
      <c r="K97" s="20"/>
    </row>
    <row r="98" spans="11:11" x14ac:dyDescent="0.25">
      <c r="K98" s="19"/>
    </row>
    <row r="99" spans="11:11" x14ac:dyDescent="0.25">
      <c r="K99" s="20"/>
    </row>
    <row r="100" spans="11:11" x14ac:dyDescent="0.25">
      <c r="K100" s="19"/>
    </row>
    <row r="101" spans="11:11" x14ac:dyDescent="0.25">
      <c r="K101" s="20"/>
    </row>
    <row r="102" spans="11:11" x14ac:dyDescent="0.25">
      <c r="K102" s="19"/>
    </row>
    <row r="103" spans="11:11" x14ac:dyDescent="0.25">
      <c r="K103" s="20"/>
    </row>
    <row r="104" spans="11:11" x14ac:dyDescent="0.25">
      <c r="K104" s="19"/>
    </row>
    <row r="105" spans="11:11" x14ac:dyDescent="0.25">
      <c r="K105" s="20"/>
    </row>
    <row r="106" spans="11:11" x14ac:dyDescent="0.25">
      <c r="K106" s="19"/>
    </row>
    <row r="107" spans="11:11" x14ac:dyDescent="0.25">
      <c r="K107" s="20"/>
    </row>
    <row r="108" spans="11:11" x14ac:dyDescent="0.25">
      <c r="K108" s="19"/>
    </row>
    <row r="109" spans="11:11" x14ac:dyDescent="0.25">
      <c r="K109" s="20"/>
    </row>
    <row r="110" spans="11:11" x14ac:dyDescent="0.25">
      <c r="K110" s="19"/>
    </row>
    <row r="111" spans="11:11" x14ac:dyDescent="0.25">
      <c r="K111" s="20"/>
    </row>
    <row r="112" spans="11:11" x14ac:dyDescent="0.25">
      <c r="K112" s="19"/>
    </row>
    <row r="113" spans="11:11" x14ac:dyDescent="0.25">
      <c r="K113" s="20"/>
    </row>
    <row r="114" spans="11:11" x14ac:dyDescent="0.25">
      <c r="K114" s="19"/>
    </row>
    <row r="115" spans="11:11" x14ac:dyDescent="0.25">
      <c r="K115" s="20"/>
    </row>
    <row r="116" spans="11:11" x14ac:dyDescent="0.25">
      <c r="K116" s="19"/>
    </row>
    <row r="117" spans="11:11" x14ac:dyDescent="0.25">
      <c r="K117" s="20"/>
    </row>
    <row r="118" spans="11:11" x14ac:dyDescent="0.25">
      <c r="K118" s="19"/>
    </row>
    <row r="119" spans="11:11" x14ac:dyDescent="0.25">
      <c r="K119" s="20"/>
    </row>
    <row r="120" spans="11:11" x14ac:dyDescent="0.25">
      <c r="K120" s="19"/>
    </row>
    <row r="121" spans="11:11" x14ac:dyDescent="0.25">
      <c r="K121" s="20"/>
    </row>
    <row r="122" spans="11:11" x14ac:dyDescent="0.25">
      <c r="K122" s="19"/>
    </row>
    <row r="123" spans="11:11" x14ac:dyDescent="0.25">
      <c r="K123" s="20"/>
    </row>
    <row r="124" spans="11:11" x14ac:dyDescent="0.25">
      <c r="K124" s="19"/>
    </row>
    <row r="125" spans="11:11" x14ac:dyDescent="0.25">
      <c r="K125" s="20"/>
    </row>
    <row r="126" spans="11:11" x14ac:dyDescent="0.25">
      <c r="K126" s="19"/>
    </row>
    <row r="127" spans="11:11" x14ac:dyDescent="0.25">
      <c r="K127" s="20"/>
    </row>
    <row r="128" spans="11:11" x14ac:dyDescent="0.25">
      <c r="K128" s="19"/>
    </row>
    <row r="129" spans="11:11" x14ac:dyDescent="0.25">
      <c r="K129" s="20"/>
    </row>
    <row r="130" spans="11:11" x14ac:dyDescent="0.25">
      <c r="K130" s="19"/>
    </row>
    <row r="131" spans="11:11" x14ac:dyDescent="0.25">
      <c r="K131" s="20"/>
    </row>
    <row r="132" spans="11:11" x14ac:dyDescent="0.25">
      <c r="K132" s="19"/>
    </row>
    <row r="133" spans="11:11" x14ac:dyDescent="0.25">
      <c r="K133" s="20"/>
    </row>
    <row r="134" spans="11:11" x14ac:dyDescent="0.25">
      <c r="K134" s="19"/>
    </row>
    <row r="135" spans="11:11" x14ac:dyDescent="0.25">
      <c r="K135" s="20"/>
    </row>
    <row r="136" spans="11:11" x14ac:dyDescent="0.25">
      <c r="K136" s="19"/>
    </row>
    <row r="137" spans="11:11" x14ac:dyDescent="0.25">
      <c r="K137" s="20"/>
    </row>
    <row r="138" spans="11:11" x14ac:dyDescent="0.25">
      <c r="K138" s="19"/>
    </row>
    <row r="139" spans="11:11" x14ac:dyDescent="0.25">
      <c r="K139" s="20"/>
    </row>
    <row r="140" spans="11:11" x14ac:dyDescent="0.25">
      <c r="K140" s="19"/>
    </row>
    <row r="141" spans="11:11" x14ac:dyDescent="0.25">
      <c r="K141" s="20"/>
    </row>
    <row r="142" spans="11:11" x14ac:dyDescent="0.25">
      <c r="K142" s="19"/>
    </row>
    <row r="143" spans="11:11" x14ac:dyDescent="0.25">
      <c r="K143" s="20"/>
    </row>
    <row r="144" spans="11:11" x14ac:dyDescent="0.25">
      <c r="K144" s="19"/>
    </row>
    <row r="145" spans="11:11" x14ac:dyDescent="0.25">
      <c r="K145" s="20"/>
    </row>
    <row r="146" spans="11:11" x14ac:dyDescent="0.25">
      <c r="K146" s="19"/>
    </row>
    <row r="147" spans="11:11" x14ac:dyDescent="0.25">
      <c r="K147" s="20"/>
    </row>
    <row r="148" spans="11:11" x14ac:dyDescent="0.25">
      <c r="K148" s="19"/>
    </row>
    <row r="149" spans="11:11" x14ac:dyDescent="0.25">
      <c r="K149" s="20"/>
    </row>
    <row r="150" spans="11:11" x14ac:dyDescent="0.25">
      <c r="K150" s="19"/>
    </row>
    <row r="151" spans="11:11" x14ac:dyDescent="0.25">
      <c r="K151" s="20"/>
    </row>
    <row r="152" spans="11:11" x14ac:dyDescent="0.25">
      <c r="K152" s="19"/>
    </row>
    <row r="153" spans="11:11" x14ac:dyDescent="0.25">
      <c r="K153" s="20"/>
    </row>
    <row r="154" spans="11:11" x14ac:dyDescent="0.25">
      <c r="K154" s="19"/>
    </row>
    <row r="155" spans="11:11" x14ac:dyDescent="0.25">
      <c r="K155" s="20"/>
    </row>
    <row r="156" spans="11:11" x14ac:dyDescent="0.25">
      <c r="K156" s="19"/>
    </row>
    <row r="157" spans="11:11" x14ac:dyDescent="0.25">
      <c r="K157" s="20"/>
    </row>
    <row r="158" spans="11:11" x14ac:dyDescent="0.25">
      <c r="K158" s="19"/>
    </row>
    <row r="159" spans="11:11" x14ac:dyDescent="0.25">
      <c r="K159" s="20"/>
    </row>
    <row r="160" spans="11:11" x14ac:dyDescent="0.25">
      <c r="K160" s="19"/>
    </row>
    <row r="161" spans="11:11" x14ac:dyDescent="0.25">
      <c r="K161" s="20"/>
    </row>
    <row r="162" spans="11:11" x14ac:dyDescent="0.25">
      <c r="K162" s="19"/>
    </row>
    <row r="163" spans="11:11" x14ac:dyDescent="0.25">
      <c r="K163" s="20"/>
    </row>
    <row r="164" spans="11:11" x14ac:dyDescent="0.25">
      <c r="K164" s="19"/>
    </row>
    <row r="165" spans="11:11" x14ac:dyDescent="0.25">
      <c r="K165" s="20"/>
    </row>
    <row r="166" spans="11:11" x14ac:dyDescent="0.25">
      <c r="K166" s="19"/>
    </row>
    <row r="167" spans="11:11" x14ac:dyDescent="0.25">
      <c r="K167" s="20"/>
    </row>
    <row r="168" spans="11:11" x14ac:dyDescent="0.25">
      <c r="K168" s="19"/>
    </row>
    <row r="169" spans="11:11" x14ac:dyDescent="0.25">
      <c r="K169" s="20"/>
    </row>
    <row r="170" spans="11:11" x14ac:dyDescent="0.25">
      <c r="K170" s="19"/>
    </row>
    <row r="171" spans="11:11" x14ac:dyDescent="0.25">
      <c r="K171" s="20"/>
    </row>
    <row r="172" spans="11:11" x14ac:dyDescent="0.25">
      <c r="K172" s="19"/>
    </row>
    <row r="173" spans="11:11" x14ac:dyDescent="0.25">
      <c r="K173" s="20"/>
    </row>
    <row r="174" spans="11:11" x14ac:dyDescent="0.25">
      <c r="K174" s="19"/>
    </row>
    <row r="175" spans="11:11" x14ac:dyDescent="0.25">
      <c r="K175" s="20"/>
    </row>
    <row r="176" spans="11:11" x14ac:dyDescent="0.25">
      <c r="K176" s="19"/>
    </row>
    <row r="177" spans="11:11" x14ac:dyDescent="0.25">
      <c r="K177" s="20"/>
    </row>
    <row r="178" spans="11:11" x14ac:dyDescent="0.25">
      <c r="K178" s="19"/>
    </row>
    <row r="179" spans="11:11" x14ac:dyDescent="0.25">
      <c r="K179" s="20"/>
    </row>
    <row r="180" spans="11:11" x14ac:dyDescent="0.25">
      <c r="K180" s="19"/>
    </row>
    <row r="181" spans="11:11" x14ac:dyDescent="0.25">
      <c r="K181" s="20"/>
    </row>
    <row r="182" spans="11:11" x14ac:dyDescent="0.25">
      <c r="K182" s="19"/>
    </row>
    <row r="183" spans="11:11" x14ac:dyDescent="0.25">
      <c r="K183" s="20"/>
    </row>
    <row r="184" spans="11:11" x14ac:dyDescent="0.25">
      <c r="K184" s="19"/>
    </row>
    <row r="185" spans="11:11" x14ac:dyDescent="0.25">
      <c r="K185" s="20"/>
    </row>
    <row r="186" spans="11:11" x14ac:dyDescent="0.25">
      <c r="K186" s="19"/>
    </row>
    <row r="187" spans="11:11" x14ac:dyDescent="0.25">
      <c r="K187" s="20"/>
    </row>
    <row r="188" spans="11:11" x14ac:dyDescent="0.25">
      <c r="K188" s="19"/>
    </row>
    <row r="189" spans="11:11" x14ac:dyDescent="0.25">
      <c r="K189" s="20"/>
    </row>
    <row r="190" spans="11:11" x14ac:dyDescent="0.25">
      <c r="K190" s="19"/>
    </row>
    <row r="191" spans="11:11" x14ac:dyDescent="0.25">
      <c r="K191" s="20"/>
    </row>
    <row r="192" spans="11:11" x14ac:dyDescent="0.25">
      <c r="K192" s="19"/>
    </row>
    <row r="193" spans="11:11" x14ac:dyDescent="0.25">
      <c r="K193" s="20"/>
    </row>
    <row r="194" spans="11:11" x14ac:dyDescent="0.25">
      <c r="K194" s="19"/>
    </row>
    <row r="195" spans="11:11" x14ac:dyDescent="0.25">
      <c r="K195" s="20"/>
    </row>
    <row r="196" spans="11:11" x14ac:dyDescent="0.25">
      <c r="K196" s="19"/>
    </row>
    <row r="197" spans="11:11" x14ac:dyDescent="0.25">
      <c r="K197" s="20"/>
    </row>
    <row r="198" spans="11:11" x14ac:dyDescent="0.25">
      <c r="K198" s="19"/>
    </row>
    <row r="199" spans="11:11" x14ac:dyDescent="0.25">
      <c r="K199" s="20"/>
    </row>
    <row r="200" spans="11:11" x14ac:dyDescent="0.25">
      <c r="K200" s="19"/>
    </row>
    <row r="201" spans="11:11" x14ac:dyDescent="0.25">
      <c r="K201" s="20"/>
    </row>
    <row r="202" spans="11:11" x14ac:dyDescent="0.25">
      <c r="K202" s="19"/>
    </row>
    <row r="203" spans="11:11" x14ac:dyDescent="0.25">
      <c r="K203" s="20"/>
    </row>
    <row r="204" spans="11:11" x14ac:dyDescent="0.25">
      <c r="K204" s="19"/>
    </row>
    <row r="205" spans="11:11" x14ac:dyDescent="0.25">
      <c r="K205" s="20"/>
    </row>
    <row r="206" spans="11:11" x14ac:dyDescent="0.25">
      <c r="K206" s="19"/>
    </row>
    <row r="207" spans="11:11" x14ac:dyDescent="0.25">
      <c r="K207" s="20"/>
    </row>
    <row r="208" spans="11:11" x14ac:dyDescent="0.25">
      <c r="K208" s="19"/>
    </row>
    <row r="209" spans="11:11" x14ac:dyDescent="0.25">
      <c r="K209" s="20"/>
    </row>
    <row r="210" spans="11:11" x14ac:dyDescent="0.25">
      <c r="K210" s="19"/>
    </row>
    <row r="211" spans="11:11" x14ac:dyDescent="0.25">
      <c r="K211" s="20"/>
    </row>
    <row r="212" spans="11:11" x14ac:dyDescent="0.25">
      <c r="K212" s="19"/>
    </row>
    <row r="213" spans="11:11" x14ac:dyDescent="0.25">
      <c r="K213" s="20"/>
    </row>
    <row r="214" spans="11:11" x14ac:dyDescent="0.25">
      <c r="K214" s="19"/>
    </row>
    <row r="215" spans="11:11" x14ac:dyDescent="0.25">
      <c r="K215" s="20"/>
    </row>
    <row r="216" spans="11:11" x14ac:dyDescent="0.25">
      <c r="K216" s="19"/>
    </row>
    <row r="217" spans="11:11" x14ac:dyDescent="0.25">
      <c r="K217" s="20"/>
    </row>
    <row r="218" spans="11:11" x14ac:dyDescent="0.25">
      <c r="K218" s="19"/>
    </row>
    <row r="219" spans="11:11" x14ac:dyDescent="0.25">
      <c r="K219" s="20"/>
    </row>
    <row r="220" spans="11:11" x14ac:dyDescent="0.25">
      <c r="K220" s="19"/>
    </row>
    <row r="221" spans="11:11" x14ac:dyDescent="0.25">
      <c r="K221" s="20"/>
    </row>
    <row r="222" spans="11:11" x14ac:dyDescent="0.25">
      <c r="K222" s="19"/>
    </row>
    <row r="223" spans="11:11" x14ac:dyDescent="0.25">
      <c r="K223" s="20"/>
    </row>
    <row r="224" spans="11:11" x14ac:dyDescent="0.25">
      <c r="K224" s="19"/>
    </row>
    <row r="225" spans="11:11" x14ac:dyDescent="0.25">
      <c r="K225" s="20"/>
    </row>
    <row r="226" spans="11:11" x14ac:dyDescent="0.25">
      <c r="K226" s="19"/>
    </row>
    <row r="227" spans="11:11" x14ac:dyDescent="0.25">
      <c r="K227" s="20"/>
    </row>
    <row r="228" spans="11:11" x14ac:dyDescent="0.25">
      <c r="K228" s="19"/>
    </row>
    <row r="229" spans="11:11" x14ac:dyDescent="0.25">
      <c r="K229" s="20"/>
    </row>
    <row r="230" spans="11:11" x14ac:dyDescent="0.25">
      <c r="K230" s="19"/>
    </row>
    <row r="231" spans="11:11" x14ac:dyDescent="0.25">
      <c r="K231" s="20"/>
    </row>
    <row r="232" spans="11:11" x14ac:dyDescent="0.25">
      <c r="K232" s="19"/>
    </row>
    <row r="233" spans="11:11" x14ac:dyDescent="0.25">
      <c r="K233" s="20"/>
    </row>
    <row r="234" spans="11:11" x14ac:dyDescent="0.25">
      <c r="K234" s="19"/>
    </row>
    <row r="235" spans="11:11" x14ac:dyDescent="0.25">
      <c r="K235" s="20"/>
    </row>
    <row r="236" spans="11:11" x14ac:dyDescent="0.25">
      <c r="K236" s="19"/>
    </row>
    <row r="237" spans="11:11" x14ac:dyDescent="0.25">
      <c r="K237" s="20"/>
    </row>
    <row r="238" spans="11:11" x14ac:dyDescent="0.25">
      <c r="K238" s="19"/>
    </row>
    <row r="239" spans="11:11" x14ac:dyDescent="0.25">
      <c r="K239" s="20"/>
    </row>
    <row r="240" spans="11:11" x14ac:dyDescent="0.25">
      <c r="K240" s="19"/>
    </row>
    <row r="241" spans="11:11" x14ac:dyDescent="0.25">
      <c r="K241" s="20"/>
    </row>
    <row r="242" spans="11:11" x14ac:dyDescent="0.25">
      <c r="K242" s="19"/>
    </row>
    <row r="243" spans="11:11" x14ac:dyDescent="0.25">
      <c r="K243" s="20"/>
    </row>
    <row r="244" spans="11:11" x14ac:dyDescent="0.25">
      <c r="K244" s="19"/>
    </row>
    <row r="245" spans="11:11" x14ac:dyDescent="0.25">
      <c r="K245" s="20"/>
    </row>
    <row r="246" spans="11:11" x14ac:dyDescent="0.25">
      <c r="K246" s="19"/>
    </row>
    <row r="247" spans="11:11" x14ac:dyDescent="0.25">
      <c r="K247" s="20"/>
    </row>
    <row r="248" spans="11:11" x14ac:dyDescent="0.25">
      <c r="K248" s="19"/>
    </row>
    <row r="249" spans="11:11" x14ac:dyDescent="0.25">
      <c r="K249" s="20"/>
    </row>
    <row r="250" spans="11:11" x14ac:dyDescent="0.25">
      <c r="K250" s="19"/>
    </row>
    <row r="251" spans="11:11" x14ac:dyDescent="0.25">
      <c r="K251" s="20"/>
    </row>
    <row r="252" spans="11:11" x14ac:dyDescent="0.25">
      <c r="K252" s="19"/>
    </row>
    <row r="253" spans="11:11" x14ac:dyDescent="0.25">
      <c r="K253" s="20"/>
    </row>
    <row r="254" spans="11:11" x14ac:dyDescent="0.25">
      <c r="K254" s="19"/>
    </row>
    <row r="255" spans="11:11" x14ac:dyDescent="0.25">
      <c r="K255" s="20"/>
    </row>
    <row r="256" spans="11:11" x14ac:dyDescent="0.25">
      <c r="K256" s="19"/>
    </row>
    <row r="257" spans="11:11" x14ac:dyDescent="0.25">
      <c r="K257" s="20"/>
    </row>
    <row r="258" spans="11:11" x14ac:dyDescent="0.25">
      <c r="K258" s="19"/>
    </row>
    <row r="259" spans="11:11" x14ac:dyDescent="0.25">
      <c r="K259" s="20"/>
    </row>
    <row r="260" spans="11:11" x14ac:dyDescent="0.25">
      <c r="K260" s="19"/>
    </row>
    <row r="261" spans="11:11" x14ac:dyDescent="0.25">
      <c r="K261" s="20"/>
    </row>
    <row r="262" spans="11:11" x14ac:dyDescent="0.25">
      <c r="K262" s="19"/>
    </row>
    <row r="263" spans="11:11" x14ac:dyDescent="0.25">
      <c r="K263" s="20"/>
    </row>
    <row r="264" spans="11:11" x14ac:dyDescent="0.25">
      <c r="K264" s="19"/>
    </row>
    <row r="265" spans="11:11" x14ac:dyDescent="0.25">
      <c r="K265" s="20"/>
    </row>
    <row r="266" spans="11:11" x14ac:dyDescent="0.25">
      <c r="K266" s="19"/>
    </row>
    <row r="267" spans="11:11" x14ac:dyDescent="0.25">
      <c r="K267" s="20"/>
    </row>
    <row r="268" spans="11:11" x14ac:dyDescent="0.25">
      <c r="K268" s="19"/>
    </row>
    <row r="269" spans="11:11" x14ac:dyDescent="0.25">
      <c r="K269" s="20"/>
    </row>
    <row r="270" spans="11:11" x14ac:dyDescent="0.25">
      <c r="K270" s="19"/>
    </row>
    <row r="271" spans="11:11" x14ac:dyDescent="0.25">
      <c r="K271" s="20"/>
    </row>
    <row r="272" spans="11:11" x14ac:dyDescent="0.25">
      <c r="K272" s="19"/>
    </row>
    <row r="273" spans="11:11" x14ac:dyDescent="0.25">
      <c r="K273" s="20"/>
    </row>
    <row r="274" spans="11:11" x14ac:dyDescent="0.25">
      <c r="K274" s="19"/>
    </row>
    <row r="275" spans="11:11" x14ac:dyDescent="0.25">
      <c r="K275" s="20"/>
    </row>
    <row r="276" spans="11:11" x14ac:dyDescent="0.25">
      <c r="K276" s="19"/>
    </row>
    <row r="277" spans="11:11" x14ac:dyDescent="0.25">
      <c r="K277" s="20"/>
    </row>
    <row r="278" spans="11:11" x14ac:dyDescent="0.25">
      <c r="K278" s="19"/>
    </row>
    <row r="279" spans="11:11" x14ac:dyDescent="0.25">
      <c r="K279" s="20"/>
    </row>
    <row r="280" spans="11:11" x14ac:dyDescent="0.25">
      <c r="K280" s="19"/>
    </row>
    <row r="281" spans="11:11" x14ac:dyDescent="0.25">
      <c r="K281" s="20"/>
    </row>
    <row r="282" spans="11:11" x14ac:dyDescent="0.25">
      <c r="K282" s="19"/>
    </row>
    <row r="283" spans="11:11" x14ac:dyDescent="0.25">
      <c r="K283" s="20"/>
    </row>
    <row r="284" spans="11:11" x14ac:dyDescent="0.25">
      <c r="K284" s="19"/>
    </row>
    <row r="285" spans="11:11" x14ac:dyDescent="0.25">
      <c r="K285" s="20"/>
    </row>
    <row r="286" spans="11:11" x14ac:dyDescent="0.25">
      <c r="K286" s="19"/>
    </row>
    <row r="287" spans="11:11" x14ac:dyDescent="0.25">
      <c r="K287" s="20"/>
    </row>
    <row r="288" spans="11:11" x14ac:dyDescent="0.25">
      <c r="K288" s="19"/>
    </row>
    <row r="289" spans="11:11" x14ac:dyDescent="0.25">
      <c r="K289" s="20"/>
    </row>
    <row r="290" spans="11:11" x14ac:dyDescent="0.25">
      <c r="K290" s="19"/>
    </row>
    <row r="291" spans="11:11" x14ac:dyDescent="0.25">
      <c r="K291" s="20"/>
    </row>
    <row r="292" spans="11:11" x14ac:dyDescent="0.25">
      <c r="K292" s="19"/>
    </row>
    <row r="293" spans="11:11" x14ac:dyDescent="0.25">
      <c r="K293" s="20"/>
    </row>
    <row r="294" spans="11:11" x14ac:dyDescent="0.25">
      <c r="K294" s="19"/>
    </row>
    <row r="295" spans="11:11" x14ac:dyDescent="0.25">
      <c r="K295" s="20"/>
    </row>
    <row r="296" spans="11:11" x14ac:dyDescent="0.25">
      <c r="K296" s="19"/>
    </row>
    <row r="297" spans="11:11" x14ac:dyDescent="0.25">
      <c r="K297" s="20"/>
    </row>
    <row r="298" spans="11:11" x14ac:dyDescent="0.25">
      <c r="K298" s="19"/>
    </row>
    <row r="299" spans="11:11" x14ac:dyDescent="0.25">
      <c r="K299" s="20"/>
    </row>
    <row r="300" spans="11:11" x14ac:dyDescent="0.25">
      <c r="K300" s="19"/>
    </row>
    <row r="301" spans="11:11" x14ac:dyDescent="0.25">
      <c r="K301" s="20"/>
    </row>
    <row r="302" spans="11:11" x14ac:dyDescent="0.25">
      <c r="K302" s="19"/>
    </row>
    <row r="303" spans="11:11" x14ac:dyDescent="0.25">
      <c r="K303" s="20"/>
    </row>
    <row r="304" spans="11:11" x14ac:dyDescent="0.25">
      <c r="K304" s="19"/>
    </row>
    <row r="305" spans="11:11" x14ac:dyDescent="0.25">
      <c r="K305" s="20"/>
    </row>
    <row r="306" spans="11:11" x14ac:dyDescent="0.25">
      <c r="K306" s="19"/>
    </row>
    <row r="307" spans="11:11" x14ac:dyDescent="0.25">
      <c r="K307" s="20"/>
    </row>
    <row r="308" spans="11:11" x14ac:dyDescent="0.25">
      <c r="K308" s="19"/>
    </row>
    <row r="309" spans="11:11" x14ac:dyDescent="0.25">
      <c r="K309" s="20"/>
    </row>
    <row r="310" spans="11:11" x14ac:dyDescent="0.25">
      <c r="K310" s="19"/>
    </row>
    <row r="311" spans="11:11" x14ac:dyDescent="0.25">
      <c r="K311" s="20"/>
    </row>
    <row r="312" spans="11:11" x14ac:dyDescent="0.25">
      <c r="K312" s="19"/>
    </row>
    <row r="313" spans="11:11" x14ac:dyDescent="0.25">
      <c r="K313" s="20"/>
    </row>
    <row r="314" spans="11:11" x14ac:dyDescent="0.25">
      <c r="K314" s="19"/>
    </row>
    <row r="315" spans="11:11" x14ac:dyDescent="0.25">
      <c r="K315" s="20"/>
    </row>
    <row r="316" spans="11:11" x14ac:dyDescent="0.25">
      <c r="K316" s="19"/>
    </row>
    <row r="317" spans="11:11" x14ac:dyDescent="0.25">
      <c r="K317" s="20"/>
    </row>
    <row r="318" spans="11:11" x14ac:dyDescent="0.25">
      <c r="K318" s="19"/>
    </row>
    <row r="319" spans="11:11" x14ac:dyDescent="0.25">
      <c r="K319" s="20"/>
    </row>
    <row r="320" spans="11:11" x14ac:dyDescent="0.25">
      <c r="K320" s="19"/>
    </row>
    <row r="321" spans="11:11" x14ac:dyDescent="0.25">
      <c r="K321" s="20"/>
    </row>
    <row r="322" spans="11:11" x14ac:dyDescent="0.25">
      <c r="K322" s="19"/>
    </row>
    <row r="323" spans="11:11" x14ac:dyDescent="0.25">
      <c r="K323" s="20"/>
    </row>
    <row r="324" spans="11:11" x14ac:dyDescent="0.25">
      <c r="K324" s="19"/>
    </row>
    <row r="325" spans="11:11" x14ac:dyDescent="0.25">
      <c r="K325" s="20"/>
    </row>
    <row r="326" spans="11:11" x14ac:dyDescent="0.25">
      <c r="K326" s="19"/>
    </row>
    <row r="327" spans="11:11" x14ac:dyDescent="0.25">
      <c r="K327" s="20"/>
    </row>
    <row r="328" spans="11:11" x14ac:dyDescent="0.25">
      <c r="K328" s="19"/>
    </row>
    <row r="329" spans="11:11" x14ac:dyDescent="0.25">
      <c r="K329" s="20"/>
    </row>
    <row r="330" spans="11:11" x14ac:dyDescent="0.25">
      <c r="K330" s="19"/>
    </row>
    <row r="331" spans="11:11" x14ac:dyDescent="0.25">
      <c r="K331" s="20"/>
    </row>
    <row r="332" spans="11:11" x14ac:dyDescent="0.25">
      <c r="K332" s="19"/>
    </row>
    <row r="333" spans="11:11" x14ac:dyDescent="0.25">
      <c r="K333" s="20"/>
    </row>
    <row r="334" spans="11:11" x14ac:dyDescent="0.25">
      <c r="K334" s="19"/>
    </row>
    <row r="335" spans="11:11" x14ac:dyDescent="0.25">
      <c r="K335" s="20"/>
    </row>
    <row r="336" spans="11:11" x14ac:dyDescent="0.25">
      <c r="K336" s="19"/>
    </row>
    <row r="337" spans="11:11" x14ac:dyDescent="0.25">
      <c r="K337" s="20"/>
    </row>
    <row r="338" spans="11:11" x14ac:dyDescent="0.25">
      <c r="K338" s="19"/>
    </row>
    <row r="339" spans="11:11" x14ac:dyDescent="0.25">
      <c r="K339" s="20"/>
    </row>
    <row r="340" spans="11:11" x14ac:dyDescent="0.25">
      <c r="K340" s="19"/>
    </row>
    <row r="341" spans="11:11" x14ac:dyDescent="0.25">
      <c r="K341" s="20"/>
    </row>
    <row r="342" spans="11:11" x14ac:dyDescent="0.25">
      <c r="K342" s="19"/>
    </row>
    <row r="343" spans="11:11" x14ac:dyDescent="0.25">
      <c r="K343" s="20"/>
    </row>
    <row r="344" spans="11:11" x14ac:dyDescent="0.25">
      <c r="K344" s="19"/>
    </row>
    <row r="345" spans="11:11" x14ac:dyDescent="0.25">
      <c r="K345" s="20"/>
    </row>
    <row r="346" spans="11:11" x14ac:dyDescent="0.25">
      <c r="K346" s="19"/>
    </row>
    <row r="347" spans="11:11" x14ac:dyDescent="0.25">
      <c r="K347" s="20"/>
    </row>
    <row r="348" spans="11:11" x14ac:dyDescent="0.25">
      <c r="K348" s="19"/>
    </row>
    <row r="349" spans="11:11" x14ac:dyDescent="0.25">
      <c r="K349" s="20"/>
    </row>
    <row r="350" spans="11:11" x14ac:dyDescent="0.25">
      <c r="K350" s="19"/>
    </row>
    <row r="351" spans="11:11" x14ac:dyDescent="0.25">
      <c r="K351" s="20"/>
    </row>
    <row r="352" spans="11:11" x14ac:dyDescent="0.25">
      <c r="K352" s="19"/>
    </row>
    <row r="353" spans="11:11" x14ac:dyDescent="0.25">
      <c r="K353" s="20"/>
    </row>
    <row r="354" spans="11:11" x14ac:dyDescent="0.25">
      <c r="K354" s="19"/>
    </row>
    <row r="355" spans="11:11" x14ac:dyDescent="0.25">
      <c r="K355" s="20"/>
    </row>
    <row r="356" spans="11:11" x14ac:dyDescent="0.25">
      <c r="K356" s="19"/>
    </row>
    <row r="357" spans="11:11" x14ac:dyDescent="0.25">
      <c r="K357" s="20"/>
    </row>
    <row r="358" spans="11:11" x14ac:dyDescent="0.25">
      <c r="K358" s="19"/>
    </row>
    <row r="359" spans="11:11" x14ac:dyDescent="0.25">
      <c r="K359" s="20"/>
    </row>
    <row r="360" spans="11:11" x14ac:dyDescent="0.25">
      <c r="K360" s="19"/>
    </row>
    <row r="361" spans="11:11" x14ac:dyDescent="0.25">
      <c r="K361" s="20"/>
    </row>
    <row r="362" spans="11:11" x14ac:dyDescent="0.25">
      <c r="K362" s="19"/>
    </row>
    <row r="363" spans="11:11" x14ac:dyDescent="0.25">
      <c r="K363" s="20"/>
    </row>
    <row r="364" spans="11:11" x14ac:dyDescent="0.25">
      <c r="K364" s="19"/>
    </row>
    <row r="365" spans="11:11" x14ac:dyDescent="0.25">
      <c r="K365" s="20"/>
    </row>
    <row r="366" spans="11:11" x14ac:dyDescent="0.25">
      <c r="K366" s="19"/>
    </row>
    <row r="367" spans="11:11" x14ac:dyDescent="0.25">
      <c r="K367" s="20"/>
    </row>
    <row r="368" spans="11:11" x14ac:dyDescent="0.25">
      <c r="K368" s="19"/>
    </row>
    <row r="369" spans="11:11" x14ac:dyDescent="0.25">
      <c r="K369" s="20"/>
    </row>
    <row r="370" spans="11:11" x14ac:dyDescent="0.25">
      <c r="K370" s="19"/>
    </row>
    <row r="371" spans="11:11" x14ac:dyDescent="0.25">
      <c r="K371" s="20"/>
    </row>
    <row r="372" spans="11:11" x14ac:dyDescent="0.25">
      <c r="K372" s="19"/>
    </row>
    <row r="373" spans="11:11" x14ac:dyDescent="0.25">
      <c r="K373" s="20"/>
    </row>
    <row r="374" spans="11:11" x14ac:dyDescent="0.25">
      <c r="K374" s="19"/>
    </row>
    <row r="375" spans="11:11" x14ac:dyDescent="0.25">
      <c r="K375" s="20"/>
    </row>
    <row r="376" spans="11:11" x14ac:dyDescent="0.25">
      <c r="K376" s="19"/>
    </row>
    <row r="377" spans="11:11" x14ac:dyDescent="0.25">
      <c r="K377" s="20"/>
    </row>
    <row r="378" spans="11:11" x14ac:dyDescent="0.25">
      <c r="K378" s="19"/>
    </row>
    <row r="379" spans="11:11" x14ac:dyDescent="0.25">
      <c r="K379" s="20"/>
    </row>
    <row r="380" spans="11:11" x14ac:dyDescent="0.25">
      <c r="K380" s="19"/>
    </row>
    <row r="381" spans="11:11" x14ac:dyDescent="0.25">
      <c r="K381" s="20"/>
    </row>
    <row r="382" spans="11:11" x14ac:dyDescent="0.25">
      <c r="K382" s="19"/>
    </row>
    <row r="383" spans="11:11" x14ac:dyDescent="0.25">
      <c r="K383" s="20"/>
    </row>
    <row r="384" spans="11:11" x14ac:dyDescent="0.25">
      <c r="K384" s="19"/>
    </row>
    <row r="385" spans="11:11" x14ac:dyDescent="0.25">
      <c r="K385" s="20"/>
    </row>
    <row r="386" spans="11:11" x14ac:dyDescent="0.25">
      <c r="K386" s="19"/>
    </row>
    <row r="387" spans="11:11" x14ac:dyDescent="0.25">
      <c r="K387" s="20"/>
    </row>
    <row r="388" spans="11:11" x14ac:dyDescent="0.25">
      <c r="K388" s="19"/>
    </row>
    <row r="389" spans="11:11" x14ac:dyDescent="0.25">
      <c r="K389" s="20"/>
    </row>
    <row r="390" spans="11:11" x14ac:dyDescent="0.25">
      <c r="K390" s="19"/>
    </row>
    <row r="391" spans="11:11" x14ac:dyDescent="0.25">
      <c r="K391" s="20"/>
    </row>
    <row r="392" spans="11:11" x14ac:dyDescent="0.25">
      <c r="K392" s="19"/>
    </row>
    <row r="393" spans="11:11" x14ac:dyDescent="0.25">
      <c r="K393" s="20"/>
    </row>
    <row r="394" spans="11:11" x14ac:dyDescent="0.25">
      <c r="K394" s="19"/>
    </row>
    <row r="395" spans="11:11" x14ac:dyDescent="0.25">
      <c r="K395" s="20"/>
    </row>
    <row r="396" spans="11:11" x14ac:dyDescent="0.25">
      <c r="K396" s="19"/>
    </row>
    <row r="397" spans="11:11" x14ac:dyDescent="0.25">
      <c r="K397" s="20"/>
    </row>
    <row r="398" spans="11:11" x14ac:dyDescent="0.25">
      <c r="K398" s="19"/>
    </row>
    <row r="399" spans="11:11" x14ac:dyDescent="0.25">
      <c r="K399" s="20"/>
    </row>
    <row r="400" spans="11:11" x14ac:dyDescent="0.25">
      <c r="K400" s="19"/>
    </row>
    <row r="401" spans="11:11" x14ac:dyDescent="0.25">
      <c r="K401" s="20"/>
    </row>
    <row r="402" spans="11:11" x14ac:dyDescent="0.25">
      <c r="K402" s="19"/>
    </row>
    <row r="403" spans="11:11" x14ac:dyDescent="0.25">
      <c r="K403" s="20"/>
    </row>
    <row r="404" spans="11:11" x14ac:dyDescent="0.25">
      <c r="K404" s="19"/>
    </row>
    <row r="405" spans="11:11" x14ac:dyDescent="0.25">
      <c r="K405" s="20"/>
    </row>
    <row r="406" spans="11:11" x14ac:dyDescent="0.25">
      <c r="K406" s="19"/>
    </row>
    <row r="407" spans="11:11" x14ac:dyDescent="0.25">
      <c r="K407" s="20"/>
    </row>
    <row r="408" spans="11:11" x14ac:dyDescent="0.25">
      <c r="K408" s="19"/>
    </row>
    <row r="409" spans="11:11" x14ac:dyDescent="0.25">
      <c r="K409" s="20"/>
    </row>
    <row r="410" spans="11:11" x14ac:dyDescent="0.25">
      <c r="K410" s="19"/>
    </row>
    <row r="411" spans="11:11" x14ac:dyDescent="0.25">
      <c r="K411" s="20"/>
    </row>
    <row r="412" spans="11:11" x14ac:dyDescent="0.25">
      <c r="K412" s="19"/>
    </row>
    <row r="413" spans="11:11" x14ac:dyDescent="0.25">
      <c r="K413" s="20"/>
    </row>
    <row r="414" spans="11:11" x14ac:dyDescent="0.25">
      <c r="K414" s="19"/>
    </row>
    <row r="415" spans="11:11" x14ac:dyDescent="0.25">
      <c r="K415" s="20"/>
    </row>
    <row r="416" spans="11:11" x14ac:dyDescent="0.25">
      <c r="K416" s="19"/>
    </row>
    <row r="417" spans="11:11" x14ac:dyDescent="0.25">
      <c r="K417" s="20"/>
    </row>
    <row r="418" spans="11:11" x14ac:dyDescent="0.25">
      <c r="K418" s="19"/>
    </row>
    <row r="419" spans="11:11" x14ac:dyDescent="0.25">
      <c r="K419" s="20"/>
    </row>
    <row r="420" spans="11:11" x14ac:dyDescent="0.25">
      <c r="K420" s="19"/>
    </row>
    <row r="421" spans="11:11" x14ac:dyDescent="0.25">
      <c r="K421" s="20"/>
    </row>
    <row r="422" spans="11:11" x14ac:dyDescent="0.25">
      <c r="K422" s="19"/>
    </row>
    <row r="423" spans="11:11" x14ac:dyDescent="0.25">
      <c r="K423" s="20"/>
    </row>
    <row r="424" spans="11:11" x14ac:dyDescent="0.25">
      <c r="K424" s="19"/>
    </row>
    <row r="425" spans="11:11" x14ac:dyDescent="0.25">
      <c r="K425" s="20"/>
    </row>
    <row r="426" spans="11:11" x14ac:dyDescent="0.25">
      <c r="K426" s="19"/>
    </row>
    <row r="427" spans="11:11" x14ac:dyDescent="0.25">
      <c r="K427" s="20"/>
    </row>
    <row r="428" spans="11:11" x14ac:dyDescent="0.25">
      <c r="K428" s="19"/>
    </row>
    <row r="429" spans="11:11" x14ac:dyDescent="0.25">
      <c r="K429" s="20"/>
    </row>
    <row r="430" spans="11:11" x14ac:dyDescent="0.25">
      <c r="K430" s="19"/>
    </row>
    <row r="431" spans="11:11" x14ac:dyDescent="0.25">
      <c r="K431" s="20"/>
    </row>
    <row r="432" spans="11:11" x14ac:dyDescent="0.25">
      <c r="K432" s="19"/>
    </row>
    <row r="433" spans="11:11" x14ac:dyDescent="0.25">
      <c r="K433" s="20"/>
    </row>
    <row r="434" spans="11:11" x14ac:dyDescent="0.25">
      <c r="K434" s="19"/>
    </row>
    <row r="435" spans="11:11" x14ac:dyDescent="0.25">
      <c r="K435" s="20"/>
    </row>
    <row r="436" spans="11:11" x14ac:dyDescent="0.25">
      <c r="K436" s="19"/>
    </row>
    <row r="437" spans="11:11" x14ac:dyDescent="0.25">
      <c r="K437" s="20"/>
    </row>
    <row r="438" spans="11:11" x14ac:dyDescent="0.25">
      <c r="K438" s="19"/>
    </row>
    <row r="439" spans="11:11" x14ac:dyDescent="0.25">
      <c r="K439" s="20"/>
    </row>
    <row r="440" spans="11:11" x14ac:dyDescent="0.25">
      <c r="K440" s="19"/>
    </row>
    <row r="441" spans="11:11" x14ac:dyDescent="0.25">
      <c r="K441" s="20"/>
    </row>
    <row r="442" spans="11:11" x14ac:dyDescent="0.25">
      <c r="K442" s="19"/>
    </row>
    <row r="443" spans="11:11" x14ac:dyDescent="0.25">
      <c r="K443" s="20"/>
    </row>
    <row r="444" spans="11:11" x14ac:dyDescent="0.25">
      <c r="K444" s="19"/>
    </row>
    <row r="445" spans="11:11" x14ac:dyDescent="0.25">
      <c r="K445" s="20"/>
    </row>
    <row r="446" spans="11:11" x14ac:dyDescent="0.25">
      <c r="K446" s="19"/>
    </row>
    <row r="447" spans="11:11" x14ac:dyDescent="0.25">
      <c r="K447" s="20"/>
    </row>
    <row r="448" spans="11:11" x14ac:dyDescent="0.25">
      <c r="K448" s="19"/>
    </row>
    <row r="449" spans="11:11" x14ac:dyDescent="0.25">
      <c r="K449" s="20"/>
    </row>
    <row r="450" spans="11:11" x14ac:dyDescent="0.25">
      <c r="K450" s="19"/>
    </row>
    <row r="451" spans="11:11" x14ac:dyDescent="0.25">
      <c r="K451" s="20"/>
    </row>
    <row r="452" spans="11:11" x14ac:dyDescent="0.25">
      <c r="K452" s="19"/>
    </row>
    <row r="453" spans="11:11" x14ac:dyDescent="0.25">
      <c r="K453" s="20"/>
    </row>
    <row r="454" spans="11:11" x14ac:dyDescent="0.25">
      <c r="K454" s="19"/>
    </row>
    <row r="455" spans="11:11" x14ac:dyDescent="0.25">
      <c r="K455" s="20"/>
    </row>
    <row r="456" spans="11:11" x14ac:dyDescent="0.25">
      <c r="K456" s="19"/>
    </row>
    <row r="457" spans="11:11" x14ac:dyDescent="0.25">
      <c r="K457" s="20"/>
    </row>
    <row r="458" spans="11:11" x14ac:dyDescent="0.25">
      <c r="K458" s="19"/>
    </row>
    <row r="459" spans="11:11" x14ac:dyDescent="0.25">
      <c r="K459" s="20"/>
    </row>
    <row r="460" spans="11:11" x14ac:dyDescent="0.25">
      <c r="K460" s="19"/>
    </row>
    <row r="461" spans="11:11" x14ac:dyDescent="0.25">
      <c r="K461" s="20"/>
    </row>
    <row r="462" spans="11:11" x14ac:dyDescent="0.25">
      <c r="K462" s="19"/>
    </row>
    <row r="463" spans="11:11" x14ac:dyDescent="0.25">
      <c r="K463" s="20"/>
    </row>
    <row r="464" spans="11:11" x14ac:dyDescent="0.25">
      <c r="K464" s="19"/>
    </row>
    <row r="465" spans="11:11" x14ac:dyDescent="0.25">
      <c r="K465" s="20"/>
    </row>
    <row r="466" spans="11:11" x14ac:dyDescent="0.25">
      <c r="K466" s="19"/>
    </row>
    <row r="467" spans="11:11" x14ac:dyDescent="0.25">
      <c r="K467" s="20"/>
    </row>
    <row r="468" spans="11:11" x14ac:dyDescent="0.25">
      <c r="K468" s="19"/>
    </row>
    <row r="469" spans="11:11" x14ac:dyDescent="0.25">
      <c r="K469" s="20"/>
    </row>
    <row r="470" spans="11:11" x14ac:dyDescent="0.25">
      <c r="K470" s="19"/>
    </row>
    <row r="471" spans="11:11" x14ac:dyDescent="0.25">
      <c r="K471" s="20"/>
    </row>
    <row r="472" spans="11:11" x14ac:dyDescent="0.25">
      <c r="K472" s="19"/>
    </row>
    <row r="473" spans="11:11" x14ac:dyDescent="0.25">
      <c r="K473" s="20"/>
    </row>
    <row r="474" spans="11:11" x14ac:dyDescent="0.25">
      <c r="K474" s="19"/>
    </row>
    <row r="475" spans="11:11" x14ac:dyDescent="0.25">
      <c r="K475" s="20"/>
    </row>
    <row r="476" spans="11:11" x14ac:dyDescent="0.25">
      <c r="K476" s="19"/>
    </row>
    <row r="477" spans="11:11" x14ac:dyDescent="0.25">
      <c r="K477" s="20"/>
    </row>
    <row r="478" spans="11:11" x14ac:dyDescent="0.25">
      <c r="K478" s="19"/>
    </row>
    <row r="479" spans="11:11" x14ac:dyDescent="0.25">
      <c r="K479" s="20"/>
    </row>
    <row r="480" spans="11:11" x14ac:dyDescent="0.25">
      <c r="K480" s="19"/>
    </row>
    <row r="481" spans="11:11" x14ac:dyDescent="0.25">
      <c r="K481" s="20"/>
    </row>
    <row r="482" spans="11:11" x14ac:dyDescent="0.25">
      <c r="K482" s="19"/>
    </row>
    <row r="483" spans="11:11" x14ac:dyDescent="0.25">
      <c r="K483" s="20"/>
    </row>
    <row r="484" spans="11:11" x14ac:dyDescent="0.25">
      <c r="K484" s="19"/>
    </row>
    <row r="485" spans="11:11" x14ac:dyDescent="0.25">
      <c r="K485" s="20"/>
    </row>
    <row r="486" spans="11:11" x14ac:dyDescent="0.25">
      <c r="K486" s="19"/>
    </row>
    <row r="487" spans="11:11" x14ac:dyDescent="0.25">
      <c r="K487" s="20"/>
    </row>
    <row r="488" spans="11:11" x14ac:dyDescent="0.25">
      <c r="K488" s="19"/>
    </row>
    <row r="489" spans="11:11" x14ac:dyDescent="0.25">
      <c r="K489" s="20"/>
    </row>
    <row r="490" spans="11:11" x14ac:dyDescent="0.25">
      <c r="K490" s="19"/>
    </row>
    <row r="491" spans="11:11" x14ac:dyDescent="0.25">
      <c r="K491" s="20"/>
    </row>
    <row r="492" spans="11:11" x14ac:dyDescent="0.25">
      <c r="K492" s="19"/>
    </row>
    <row r="493" spans="11:11" x14ac:dyDescent="0.25">
      <c r="K493" s="20"/>
    </row>
    <row r="494" spans="11:11" x14ac:dyDescent="0.25">
      <c r="K494" s="19"/>
    </row>
    <row r="495" spans="11:11" x14ac:dyDescent="0.25">
      <c r="K495" s="20"/>
    </row>
    <row r="496" spans="11:11" x14ac:dyDescent="0.25">
      <c r="K496" s="19"/>
    </row>
    <row r="497" spans="11:11" x14ac:dyDescent="0.25">
      <c r="K497" s="20"/>
    </row>
    <row r="498" spans="11:11" x14ac:dyDescent="0.25">
      <c r="K498" s="19"/>
    </row>
    <row r="499" spans="11:11" x14ac:dyDescent="0.25">
      <c r="K499" s="20"/>
    </row>
    <row r="500" spans="11:11" x14ac:dyDescent="0.25">
      <c r="K500" s="19"/>
    </row>
    <row r="501" spans="11:11" x14ac:dyDescent="0.25">
      <c r="K501" s="20"/>
    </row>
    <row r="502" spans="11:11" x14ac:dyDescent="0.25">
      <c r="K502" s="19"/>
    </row>
    <row r="503" spans="11:11" x14ac:dyDescent="0.25">
      <c r="K503" s="20"/>
    </row>
    <row r="504" spans="11:11" x14ac:dyDescent="0.25">
      <c r="K504" s="19"/>
    </row>
    <row r="505" spans="11:11" x14ac:dyDescent="0.25">
      <c r="K505" s="20"/>
    </row>
    <row r="506" spans="11:11" x14ac:dyDescent="0.25">
      <c r="K506" s="19"/>
    </row>
    <row r="507" spans="11:11" x14ac:dyDescent="0.25">
      <c r="K507" s="20"/>
    </row>
    <row r="508" spans="11:11" x14ac:dyDescent="0.25">
      <c r="K508" s="19"/>
    </row>
    <row r="509" spans="11:11" x14ac:dyDescent="0.25">
      <c r="K509" s="20"/>
    </row>
    <row r="510" spans="11:11" x14ac:dyDescent="0.25">
      <c r="K510" s="19"/>
    </row>
    <row r="511" spans="11:11" x14ac:dyDescent="0.25">
      <c r="K511" s="20"/>
    </row>
    <row r="512" spans="11:11" x14ac:dyDescent="0.25">
      <c r="K512" s="19"/>
    </row>
    <row r="513" spans="11:11" x14ac:dyDescent="0.25">
      <c r="K513" s="20"/>
    </row>
    <row r="514" spans="11:11" x14ac:dyDescent="0.25">
      <c r="K514" s="19"/>
    </row>
    <row r="515" spans="11:11" x14ac:dyDescent="0.25">
      <c r="K515" s="20"/>
    </row>
    <row r="516" spans="11:11" x14ac:dyDescent="0.25">
      <c r="K516" s="19"/>
    </row>
    <row r="517" spans="11:11" x14ac:dyDescent="0.25">
      <c r="K517" s="20"/>
    </row>
    <row r="518" spans="11:11" x14ac:dyDescent="0.25">
      <c r="K518" s="19"/>
    </row>
    <row r="519" spans="11:11" x14ac:dyDescent="0.25">
      <c r="K519" s="20"/>
    </row>
    <row r="520" spans="11:11" x14ac:dyDescent="0.25">
      <c r="K520" s="19"/>
    </row>
    <row r="521" spans="11:11" x14ac:dyDescent="0.25">
      <c r="K521" s="20"/>
    </row>
    <row r="522" spans="11:11" x14ac:dyDescent="0.25">
      <c r="K522" s="19"/>
    </row>
    <row r="523" spans="11:11" x14ac:dyDescent="0.25">
      <c r="K523" s="20"/>
    </row>
    <row r="524" spans="11:11" x14ac:dyDescent="0.25">
      <c r="K524" s="19"/>
    </row>
    <row r="525" spans="11:11" x14ac:dyDescent="0.25">
      <c r="K525" s="20"/>
    </row>
    <row r="526" spans="11:11" x14ac:dyDescent="0.25">
      <c r="K526" s="19"/>
    </row>
    <row r="527" spans="11:11" x14ac:dyDescent="0.25">
      <c r="K527" s="20"/>
    </row>
    <row r="528" spans="11:11" x14ac:dyDescent="0.25">
      <c r="K528" s="19"/>
    </row>
    <row r="529" spans="11:11" x14ac:dyDescent="0.25">
      <c r="K529" s="20"/>
    </row>
    <row r="530" spans="11:11" x14ac:dyDescent="0.25">
      <c r="K530" s="19"/>
    </row>
    <row r="531" spans="11:11" x14ac:dyDescent="0.25">
      <c r="K531" s="20"/>
    </row>
    <row r="532" spans="11:11" x14ac:dyDescent="0.25">
      <c r="K532" s="19"/>
    </row>
    <row r="533" spans="11:11" x14ac:dyDescent="0.25">
      <c r="K533" s="20"/>
    </row>
    <row r="534" spans="11:11" x14ac:dyDescent="0.25">
      <c r="K534" s="19"/>
    </row>
    <row r="535" spans="11:11" x14ac:dyDescent="0.25">
      <c r="K535" s="20"/>
    </row>
    <row r="536" spans="11:11" x14ac:dyDescent="0.25">
      <c r="K536" s="19"/>
    </row>
    <row r="537" spans="11:11" x14ac:dyDescent="0.25">
      <c r="K537" s="20"/>
    </row>
    <row r="538" spans="11:11" x14ac:dyDescent="0.25">
      <c r="K538" s="19"/>
    </row>
    <row r="539" spans="11:11" x14ac:dyDescent="0.25">
      <c r="K539" s="20"/>
    </row>
    <row r="540" spans="11:11" x14ac:dyDescent="0.25">
      <c r="K540" s="19"/>
    </row>
    <row r="541" spans="11:11" x14ac:dyDescent="0.25">
      <c r="K541" s="20"/>
    </row>
    <row r="542" spans="11:11" x14ac:dyDescent="0.25">
      <c r="K542" s="19"/>
    </row>
    <row r="543" spans="11:11" x14ac:dyDescent="0.25">
      <c r="K543" s="20"/>
    </row>
    <row r="544" spans="11:11" x14ac:dyDescent="0.25">
      <c r="K544" s="19"/>
    </row>
    <row r="545" spans="11:11" x14ac:dyDescent="0.25">
      <c r="K545" s="20"/>
    </row>
    <row r="546" spans="11:11" x14ac:dyDescent="0.25">
      <c r="K546" s="19"/>
    </row>
    <row r="547" spans="11:11" x14ac:dyDescent="0.25">
      <c r="K547" s="20"/>
    </row>
    <row r="548" spans="11:11" x14ac:dyDescent="0.25">
      <c r="K548" s="19"/>
    </row>
    <row r="549" spans="11:11" x14ac:dyDescent="0.25">
      <c r="K549" s="20"/>
    </row>
    <row r="550" spans="11:11" x14ac:dyDescent="0.25">
      <c r="K550" s="19"/>
    </row>
    <row r="551" spans="11:11" x14ac:dyDescent="0.25">
      <c r="K551" s="20"/>
    </row>
    <row r="552" spans="11:11" x14ac:dyDescent="0.25">
      <c r="K552" s="19"/>
    </row>
    <row r="553" spans="11:11" x14ac:dyDescent="0.25">
      <c r="K553" s="20"/>
    </row>
    <row r="554" spans="11:11" x14ac:dyDescent="0.25">
      <c r="K554" s="19"/>
    </row>
    <row r="555" spans="11:11" x14ac:dyDescent="0.25">
      <c r="K555" s="20"/>
    </row>
    <row r="556" spans="11:11" x14ac:dyDescent="0.25">
      <c r="K556" s="19"/>
    </row>
    <row r="557" spans="11:11" x14ac:dyDescent="0.25">
      <c r="K557" s="20"/>
    </row>
    <row r="558" spans="11:11" x14ac:dyDescent="0.25">
      <c r="K558" s="19"/>
    </row>
    <row r="559" spans="11:11" x14ac:dyDescent="0.25">
      <c r="K559" s="20"/>
    </row>
    <row r="560" spans="11:11" x14ac:dyDescent="0.25">
      <c r="K560" s="19"/>
    </row>
    <row r="561" spans="11:11" x14ac:dyDescent="0.25">
      <c r="K561" s="20"/>
    </row>
    <row r="562" spans="11:11" x14ac:dyDescent="0.25">
      <c r="K562" s="19"/>
    </row>
    <row r="563" spans="11:11" x14ac:dyDescent="0.25">
      <c r="K563" s="20"/>
    </row>
    <row r="564" spans="11:11" x14ac:dyDescent="0.25">
      <c r="K564" s="19"/>
    </row>
    <row r="565" spans="11:11" x14ac:dyDescent="0.25">
      <c r="K565" s="20"/>
    </row>
    <row r="566" spans="11:11" x14ac:dyDescent="0.25">
      <c r="K566" s="19"/>
    </row>
    <row r="567" spans="11:11" x14ac:dyDescent="0.25">
      <c r="K567" s="20"/>
    </row>
    <row r="568" spans="11:11" x14ac:dyDescent="0.25">
      <c r="K568" s="19"/>
    </row>
    <row r="569" spans="11:11" x14ac:dyDescent="0.25">
      <c r="K569" s="20"/>
    </row>
    <row r="570" spans="11:11" x14ac:dyDescent="0.25">
      <c r="K570" s="19"/>
    </row>
    <row r="571" spans="11:11" x14ac:dyDescent="0.25">
      <c r="K571" s="20"/>
    </row>
    <row r="572" spans="11:11" x14ac:dyDescent="0.25">
      <c r="K572" s="19"/>
    </row>
    <row r="573" spans="11:11" x14ac:dyDescent="0.25">
      <c r="K573" s="20"/>
    </row>
    <row r="574" spans="11:11" x14ac:dyDescent="0.25">
      <c r="K574" s="19"/>
    </row>
    <row r="575" spans="11:11" x14ac:dyDescent="0.25">
      <c r="K575" s="20"/>
    </row>
    <row r="576" spans="11:11" x14ac:dyDescent="0.25">
      <c r="K576" s="19"/>
    </row>
    <row r="577" spans="11:11" x14ac:dyDescent="0.25">
      <c r="K577" s="20"/>
    </row>
    <row r="578" spans="11:11" x14ac:dyDescent="0.25">
      <c r="K578" s="19"/>
    </row>
    <row r="579" spans="11:11" x14ac:dyDescent="0.25">
      <c r="K579" s="20"/>
    </row>
    <row r="580" spans="11:11" x14ac:dyDescent="0.25">
      <c r="K580" s="19"/>
    </row>
    <row r="581" spans="11:11" x14ac:dyDescent="0.25">
      <c r="K581" s="20"/>
    </row>
    <row r="582" spans="11:11" x14ac:dyDescent="0.25">
      <c r="K582" s="19"/>
    </row>
    <row r="583" spans="11:11" x14ac:dyDescent="0.25">
      <c r="K583" s="20"/>
    </row>
    <row r="584" spans="11:11" x14ac:dyDescent="0.25">
      <c r="K584" s="19"/>
    </row>
    <row r="585" spans="11:11" x14ac:dyDescent="0.25">
      <c r="K585" s="20"/>
    </row>
    <row r="586" spans="11:11" x14ac:dyDescent="0.25">
      <c r="K586" s="19"/>
    </row>
    <row r="587" spans="11:11" x14ac:dyDescent="0.25">
      <c r="K587" s="20"/>
    </row>
    <row r="588" spans="11:11" x14ac:dyDescent="0.25">
      <c r="K588" s="19"/>
    </row>
    <row r="589" spans="11:11" x14ac:dyDescent="0.25">
      <c r="K589" s="20"/>
    </row>
    <row r="590" spans="11:11" x14ac:dyDescent="0.25">
      <c r="K590" s="19"/>
    </row>
    <row r="591" spans="11:11" x14ac:dyDescent="0.25">
      <c r="K591" s="20"/>
    </row>
    <row r="592" spans="11:11" x14ac:dyDescent="0.25">
      <c r="K592" s="19"/>
    </row>
    <row r="593" spans="11:11" x14ac:dyDescent="0.25">
      <c r="K593" s="20"/>
    </row>
    <row r="594" spans="11:11" x14ac:dyDescent="0.25">
      <c r="K594" s="19"/>
    </row>
    <row r="595" spans="11:11" x14ac:dyDescent="0.25">
      <c r="K595" s="20"/>
    </row>
    <row r="596" spans="11:11" x14ac:dyDescent="0.25">
      <c r="K596" s="19"/>
    </row>
    <row r="597" spans="11:11" x14ac:dyDescent="0.25">
      <c r="K597" s="20"/>
    </row>
    <row r="598" spans="11:11" x14ac:dyDescent="0.25">
      <c r="K598" s="19"/>
    </row>
    <row r="599" spans="11:11" x14ac:dyDescent="0.25">
      <c r="K599" s="20"/>
    </row>
    <row r="600" spans="11:11" x14ac:dyDescent="0.25">
      <c r="K600" s="19"/>
    </row>
    <row r="601" spans="11:11" x14ac:dyDescent="0.25">
      <c r="K601" s="20"/>
    </row>
    <row r="602" spans="11:11" x14ac:dyDescent="0.25">
      <c r="K602" s="19"/>
    </row>
    <row r="603" spans="11:11" x14ac:dyDescent="0.25">
      <c r="K603" s="20"/>
    </row>
    <row r="604" spans="11:11" x14ac:dyDescent="0.25">
      <c r="K604" s="19"/>
    </row>
    <row r="605" spans="11:11" x14ac:dyDescent="0.25">
      <c r="K605" s="20"/>
    </row>
    <row r="606" spans="11:11" x14ac:dyDescent="0.25">
      <c r="K606" s="19"/>
    </row>
    <row r="607" spans="11:11" x14ac:dyDescent="0.25">
      <c r="K607" s="20"/>
    </row>
    <row r="608" spans="11:11" x14ac:dyDescent="0.25">
      <c r="K608" s="19"/>
    </row>
    <row r="609" spans="11:11" x14ac:dyDescent="0.25">
      <c r="K609" s="20"/>
    </row>
    <row r="610" spans="11:11" x14ac:dyDescent="0.25">
      <c r="K610" s="19"/>
    </row>
    <row r="611" spans="11:11" x14ac:dyDescent="0.25">
      <c r="K611" s="20"/>
    </row>
    <row r="612" spans="11:11" x14ac:dyDescent="0.25">
      <c r="K612" s="19"/>
    </row>
    <row r="613" spans="11:11" x14ac:dyDescent="0.25">
      <c r="K613" s="20"/>
    </row>
    <row r="614" spans="11:11" x14ac:dyDescent="0.25">
      <c r="K614" s="19"/>
    </row>
    <row r="615" spans="11:11" x14ac:dyDescent="0.25">
      <c r="K615" s="20"/>
    </row>
    <row r="616" spans="11:11" x14ac:dyDescent="0.25">
      <c r="K616" s="19"/>
    </row>
    <row r="617" spans="11:11" x14ac:dyDescent="0.25">
      <c r="K617" s="20"/>
    </row>
    <row r="618" spans="11:11" x14ac:dyDescent="0.25">
      <c r="K618" s="19"/>
    </row>
    <row r="619" spans="11:11" x14ac:dyDescent="0.25">
      <c r="K619" s="20"/>
    </row>
    <row r="620" spans="11:11" x14ac:dyDescent="0.25">
      <c r="K620" s="19"/>
    </row>
    <row r="621" spans="11:11" x14ac:dyDescent="0.25">
      <c r="K621" s="20"/>
    </row>
    <row r="622" spans="11:11" x14ac:dyDescent="0.25">
      <c r="K622" s="19"/>
    </row>
    <row r="623" spans="11:11" x14ac:dyDescent="0.25">
      <c r="K623" s="20"/>
    </row>
    <row r="624" spans="11:11" x14ac:dyDescent="0.25">
      <c r="K624" s="19"/>
    </row>
    <row r="625" spans="11:11" x14ac:dyDescent="0.25">
      <c r="K625" s="20"/>
    </row>
    <row r="626" spans="11:11" x14ac:dyDescent="0.25">
      <c r="K626" s="19"/>
    </row>
    <row r="627" spans="11:11" x14ac:dyDescent="0.25">
      <c r="K627" s="20"/>
    </row>
    <row r="628" spans="11:11" x14ac:dyDescent="0.25">
      <c r="K628" s="19"/>
    </row>
    <row r="629" spans="11:11" x14ac:dyDescent="0.25">
      <c r="K629" s="20"/>
    </row>
    <row r="630" spans="11:11" x14ac:dyDescent="0.25">
      <c r="K630" s="19"/>
    </row>
    <row r="631" spans="11:11" x14ac:dyDescent="0.25">
      <c r="K631" s="20"/>
    </row>
    <row r="632" spans="11:11" x14ac:dyDescent="0.25">
      <c r="K632" s="19"/>
    </row>
    <row r="633" spans="11:11" x14ac:dyDescent="0.25">
      <c r="K633" s="20"/>
    </row>
    <row r="634" spans="11:11" x14ac:dyDescent="0.25">
      <c r="K634" s="19"/>
    </row>
    <row r="635" spans="11:11" x14ac:dyDescent="0.25">
      <c r="K635" s="20"/>
    </row>
    <row r="636" spans="11:11" x14ac:dyDescent="0.25">
      <c r="K636" s="19"/>
    </row>
    <row r="637" spans="11:11" x14ac:dyDescent="0.25">
      <c r="K637" s="20"/>
    </row>
    <row r="638" spans="11:11" x14ac:dyDescent="0.25">
      <c r="K638" s="19"/>
    </row>
    <row r="639" spans="11:11" x14ac:dyDescent="0.25">
      <c r="K639" s="20"/>
    </row>
    <row r="640" spans="11:11" x14ac:dyDescent="0.25">
      <c r="K640" s="19"/>
    </row>
    <row r="641" spans="11:11" x14ac:dyDescent="0.25">
      <c r="K641" s="20"/>
    </row>
    <row r="642" spans="11:11" x14ac:dyDescent="0.25">
      <c r="K642" s="19"/>
    </row>
    <row r="643" spans="11:11" x14ac:dyDescent="0.25">
      <c r="K643" s="20"/>
    </row>
    <row r="644" spans="11:11" x14ac:dyDescent="0.25">
      <c r="K644" s="19"/>
    </row>
    <row r="645" spans="11:11" x14ac:dyDescent="0.25">
      <c r="K645" s="20"/>
    </row>
    <row r="646" spans="11:11" x14ac:dyDescent="0.25">
      <c r="K646" s="19"/>
    </row>
    <row r="647" spans="11:11" x14ac:dyDescent="0.25">
      <c r="K647" s="20"/>
    </row>
    <row r="648" spans="11:11" x14ac:dyDescent="0.25">
      <c r="K648" s="19"/>
    </row>
    <row r="649" spans="11:11" x14ac:dyDescent="0.25">
      <c r="K649" s="20"/>
    </row>
    <row r="650" spans="11:11" x14ac:dyDescent="0.25">
      <c r="K650" s="19"/>
    </row>
    <row r="651" spans="11:11" x14ac:dyDescent="0.25">
      <c r="K651" s="20"/>
    </row>
    <row r="652" spans="11:11" x14ac:dyDescent="0.25">
      <c r="K652" s="19"/>
    </row>
    <row r="653" spans="11:11" x14ac:dyDescent="0.25">
      <c r="K653" s="20"/>
    </row>
    <row r="654" spans="11:11" x14ac:dyDescent="0.25">
      <c r="K654" s="19"/>
    </row>
    <row r="655" spans="11:11" x14ac:dyDescent="0.25">
      <c r="K655" s="20"/>
    </row>
    <row r="656" spans="11:11" x14ac:dyDescent="0.25">
      <c r="K656" s="19"/>
    </row>
    <row r="657" spans="11:11" x14ac:dyDescent="0.25">
      <c r="K657" s="20"/>
    </row>
    <row r="658" spans="11:11" x14ac:dyDescent="0.25">
      <c r="K658" s="19"/>
    </row>
    <row r="659" spans="11:11" x14ac:dyDescent="0.25">
      <c r="K659" s="20"/>
    </row>
    <row r="660" spans="11:11" x14ac:dyDescent="0.25">
      <c r="K660" s="19"/>
    </row>
    <row r="661" spans="11:11" x14ac:dyDescent="0.25">
      <c r="K661" s="20"/>
    </row>
    <row r="662" spans="11:11" x14ac:dyDescent="0.25">
      <c r="K662" s="19"/>
    </row>
    <row r="663" spans="11:11" x14ac:dyDescent="0.25">
      <c r="K663" s="20"/>
    </row>
    <row r="664" spans="11:11" x14ac:dyDescent="0.25">
      <c r="K664" s="19"/>
    </row>
    <row r="665" spans="11:11" x14ac:dyDescent="0.25">
      <c r="K665" s="20"/>
    </row>
    <row r="666" spans="11:11" x14ac:dyDescent="0.25">
      <c r="K666" s="19"/>
    </row>
    <row r="667" spans="11:11" x14ac:dyDescent="0.25">
      <c r="K667" s="20"/>
    </row>
    <row r="668" spans="11:11" x14ac:dyDescent="0.25">
      <c r="K668" s="19"/>
    </row>
    <row r="669" spans="11:11" x14ac:dyDescent="0.25">
      <c r="K669" s="20"/>
    </row>
    <row r="670" spans="11:11" x14ac:dyDescent="0.25">
      <c r="K670" s="19"/>
    </row>
    <row r="671" spans="11:11" x14ac:dyDescent="0.25">
      <c r="K671" s="20"/>
    </row>
    <row r="672" spans="11:11" x14ac:dyDescent="0.25">
      <c r="K672" s="19"/>
    </row>
    <row r="673" spans="11:11" x14ac:dyDescent="0.25">
      <c r="K673" s="20"/>
    </row>
    <row r="674" spans="11:11" x14ac:dyDescent="0.25">
      <c r="K674" s="19"/>
    </row>
    <row r="675" spans="11:11" x14ac:dyDescent="0.25">
      <c r="K675" s="20"/>
    </row>
    <row r="676" spans="11:11" x14ac:dyDescent="0.25">
      <c r="K676" s="19"/>
    </row>
    <row r="677" spans="11:11" x14ac:dyDescent="0.25">
      <c r="K677" s="20"/>
    </row>
    <row r="678" spans="11:11" x14ac:dyDescent="0.25">
      <c r="K678" s="19"/>
    </row>
    <row r="679" spans="11:11" x14ac:dyDescent="0.25">
      <c r="K679" s="20"/>
    </row>
    <row r="680" spans="11:11" x14ac:dyDescent="0.25">
      <c r="K680" s="19"/>
    </row>
    <row r="681" spans="11:11" x14ac:dyDescent="0.25">
      <c r="K681" s="20"/>
    </row>
    <row r="682" spans="11:11" x14ac:dyDescent="0.25">
      <c r="K682" s="19"/>
    </row>
    <row r="683" spans="11:11" x14ac:dyDescent="0.25">
      <c r="K683" s="20"/>
    </row>
    <row r="684" spans="11:11" x14ac:dyDescent="0.25">
      <c r="K684" s="19"/>
    </row>
    <row r="685" spans="11:11" x14ac:dyDescent="0.25">
      <c r="K685" s="20"/>
    </row>
    <row r="686" spans="11:11" x14ac:dyDescent="0.25">
      <c r="K686" s="19"/>
    </row>
    <row r="687" spans="11:11" x14ac:dyDescent="0.25">
      <c r="K687" s="20"/>
    </row>
    <row r="688" spans="11:11" x14ac:dyDescent="0.25">
      <c r="K688" s="19"/>
    </row>
    <row r="689" spans="11:11" x14ac:dyDescent="0.25">
      <c r="K689" s="20"/>
    </row>
    <row r="690" spans="11:11" x14ac:dyDescent="0.25">
      <c r="K690" s="19"/>
    </row>
    <row r="691" spans="11:11" x14ac:dyDescent="0.25">
      <c r="K691" s="20"/>
    </row>
    <row r="692" spans="11:11" x14ac:dyDescent="0.25">
      <c r="K692" s="19"/>
    </row>
    <row r="693" spans="11:11" x14ac:dyDescent="0.25">
      <c r="K693" s="20"/>
    </row>
    <row r="694" spans="11:11" x14ac:dyDescent="0.25">
      <c r="K694" s="19"/>
    </row>
    <row r="695" spans="11:11" x14ac:dyDescent="0.25">
      <c r="K695" s="20"/>
    </row>
    <row r="696" spans="11:11" x14ac:dyDescent="0.25">
      <c r="K696" s="19"/>
    </row>
    <row r="697" spans="11:11" x14ac:dyDescent="0.25">
      <c r="K697" s="20"/>
    </row>
    <row r="698" spans="11:11" x14ac:dyDescent="0.25">
      <c r="K698" s="19"/>
    </row>
    <row r="699" spans="11:11" x14ac:dyDescent="0.25">
      <c r="K699" s="20"/>
    </row>
    <row r="700" spans="11:11" x14ac:dyDescent="0.25">
      <c r="K700" s="19"/>
    </row>
    <row r="701" spans="11:11" x14ac:dyDescent="0.25">
      <c r="K701" s="20"/>
    </row>
    <row r="702" spans="11:11" x14ac:dyDescent="0.25">
      <c r="K702" s="19"/>
    </row>
    <row r="703" spans="11:11" x14ac:dyDescent="0.25">
      <c r="K703" s="20"/>
    </row>
    <row r="704" spans="11:11" x14ac:dyDescent="0.25">
      <c r="K704" s="19"/>
    </row>
    <row r="705" spans="11:11" x14ac:dyDescent="0.25">
      <c r="K705" s="20"/>
    </row>
    <row r="706" spans="11:11" x14ac:dyDescent="0.25">
      <c r="K706" s="19"/>
    </row>
    <row r="707" spans="11:11" x14ac:dyDescent="0.25">
      <c r="K707" s="20"/>
    </row>
    <row r="708" spans="11:11" x14ac:dyDescent="0.25">
      <c r="K708" s="19"/>
    </row>
    <row r="709" spans="11:11" x14ac:dyDescent="0.25">
      <c r="K709" s="20"/>
    </row>
    <row r="710" spans="11:11" x14ac:dyDescent="0.25">
      <c r="K710" s="19"/>
    </row>
    <row r="711" spans="11:11" x14ac:dyDescent="0.25">
      <c r="K711" s="20"/>
    </row>
    <row r="712" spans="11:11" x14ac:dyDescent="0.25">
      <c r="K712" s="19"/>
    </row>
    <row r="713" spans="11:11" x14ac:dyDescent="0.25">
      <c r="K713" s="20"/>
    </row>
    <row r="714" spans="11:11" x14ac:dyDescent="0.25">
      <c r="K714" s="19"/>
    </row>
    <row r="715" spans="11:11" x14ac:dyDescent="0.25">
      <c r="K715" s="20"/>
    </row>
    <row r="716" spans="11:11" x14ac:dyDescent="0.25">
      <c r="K716" s="19"/>
    </row>
    <row r="717" spans="11:11" x14ac:dyDescent="0.25">
      <c r="K717" s="20"/>
    </row>
    <row r="718" spans="11:11" x14ac:dyDescent="0.25">
      <c r="K718" s="19"/>
    </row>
    <row r="719" spans="11:11" x14ac:dyDescent="0.25">
      <c r="K719" s="20"/>
    </row>
    <row r="720" spans="11:11" x14ac:dyDescent="0.25">
      <c r="K720" s="19"/>
    </row>
    <row r="721" spans="11:11" x14ac:dyDescent="0.25">
      <c r="K721" s="20"/>
    </row>
    <row r="722" spans="11:11" x14ac:dyDescent="0.25">
      <c r="K722" s="19"/>
    </row>
    <row r="723" spans="11:11" x14ac:dyDescent="0.25">
      <c r="K723" s="20"/>
    </row>
    <row r="724" spans="11:11" x14ac:dyDescent="0.25">
      <c r="K724" s="19"/>
    </row>
    <row r="725" spans="11:11" x14ac:dyDescent="0.25">
      <c r="K725" s="20"/>
    </row>
    <row r="726" spans="11:11" x14ac:dyDescent="0.25">
      <c r="K726" s="19"/>
    </row>
    <row r="727" spans="11:11" x14ac:dyDescent="0.25">
      <c r="K727" s="20"/>
    </row>
    <row r="728" spans="11:11" x14ac:dyDescent="0.25">
      <c r="K728" s="19"/>
    </row>
    <row r="729" spans="11:11" x14ac:dyDescent="0.25">
      <c r="K729" s="20"/>
    </row>
    <row r="730" spans="11:11" x14ac:dyDescent="0.25">
      <c r="K730" s="19"/>
    </row>
    <row r="731" spans="11:11" x14ac:dyDescent="0.25">
      <c r="K731" s="20"/>
    </row>
    <row r="732" spans="11:11" x14ac:dyDescent="0.25">
      <c r="K732" s="19"/>
    </row>
    <row r="733" spans="11:11" x14ac:dyDescent="0.25">
      <c r="K733" s="20"/>
    </row>
    <row r="734" spans="11:11" x14ac:dyDescent="0.25">
      <c r="K734" s="19"/>
    </row>
    <row r="735" spans="11:11" x14ac:dyDescent="0.25">
      <c r="K735" s="20"/>
    </row>
    <row r="736" spans="11:11" x14ac:dyDescent="0.25">
      <c r="K736" s="19"/>
    </row>
    <row r="737" spans="11:11" x14ac:dyDescent="0.25">
      <c r="K737" s="20"/>
    </row>
    <row r="738" spans="11:11" x14ac:dyDescent="0.25">
      <c r="K738" s="19"/>
    </row>
    <row r="739" spans="11:11" x14ac:dyDescent="0.25">
      <c r="K739" s="20"/>
    </row>
    <row r="740" spans="11:11" x14ac:dyDescent="0.25">
      <c r="K740" s="19"/>
    </row>
    <row r="741" spans="11:11" x14ac:dyDescent="0.25">
      <c r="K741" s="20"/>
    </row>
    <row r="742" spans="11:11" x14ac:dyDescent="0.25">
      <c r="K742" s="19"/>
    </row>
    <row r="743" spans="11:11" x14ac:dyDescent="0.25">
      <c r="K743" s="20"/>
    </row>
    <row r="744" spans="11:11" x14ac:dyDescent="0.25">
      <c r="K744" s="19"/>
    </row>
    <row r="745" spans="11:11" x14ac:dyDescent="0.25">
      <c r="K745" s="20"/>
    </row>
    <row r="746" spans="11:11" x14ac:dyDescent="0.25">
      <c r="K746" s="19"/>
    </row>
    <row r="747" spans="11:11" x14ac:dyDescent="0.25">
      <c r="K747" s="20"/>
    </row>
    <row r="748" spans="11:11" x14ac:dyDescent="0.25">
      <c r="K748" s="19"/>
    </row>
    <row r="749" spans="11:11" x14ac:dyDescent="0.25">
      <c r="K749" s="20"/>
    </row>
    <row r="750" spans="11:11" x14ac:dyDescent="0.25">
      <c r="K750" s="19"/>
    </row>
    <row r="751" spans="11:11" x14ac:dyDescent="0.25">
      <c r="K751" s="20"/>
    </row>
    <row r="752" spans="11:11" x14ac:dyDescent="0.25">
      <c r="K752" s="19"/>
    </row>
    <row r="753" spans="11:11" x14ac:dyDescent="0.25">
      <c r="K753" s="20"/>
    </row>
    <row r="754" spans="11:11" x14ac:dyDescent="0.25">
      <c r="K754" s="19"/>
    </row>
    <row r="755" spans="11:11" x14ac:dyDescent="0.25">
      <c r="K755" s="20"/>
    </row>
    <row r="756" spans="11:11" x14ac:dyDescent="0.25">
      <c r="K756" s="19"/>
    </row>
    <row r="757" spans="11:11" x14ac:dyDescent="0.25">
      <c r="K757" s="20"/>
    </row>
    <row r="758" spans="11:11" x14ac:dyDescent="0.25">
      <c r="K758" s="19"/>
    </row>
    <row r="759" spans="11:11" x14ac:dyDescent="0.25">
      <c r="K759" s="20"/>
    </row>
    <row r="760" spans="11:11" x14ac:dyDescent="0.25">
      <c r="K760" s="19"/>
    </row>
    <row r="761" spans="11:11" x14ac:dyDescent="0.25">
      <c r="K761" s="20"/>
    </row>
    <row r="762" spans="11:11" x14ac:dyDescent="0.25">
      <c r="K762" s="19"/>
    </row>
    <row r="763" spans="11:11" x14ac:dyDescent="0.25">
      <c r="K763" s="20"/>
    </row>
    <row r="764" spans="11:11" x14ac:dyDescent="0.25">
      <c r="K764" s="19"/>
    </row>
    <row r="765" spans="11:11" x14ac:dyDescent="0.25">
      <c r="K765" s="20"/>
    </row>
    <row r="766" spans="11:11" x14ac:dyDescent="0.25">
      <c r="K766" s="19"/>
    </row>
    <row r="767" spans="11:11" x14ac:dyDescent="0.25">
      <c r="K767" s="20"/>
    </row>
    <row r="768" spans="11:11" x14ac:dyDescent="0.25">
      <c r="K768" s="19"/>
    </row>
    <row r="769" spans="11:11" x14ac:dyDescent="0.25">
      <c r="K769" s="20"/>
    </row>
    <row r="770" spans="11:11" x14ac:dyDescent="0.25">
      <c r="K770" s="19"/>
    </row>
    <row r="771" spans="11:11" x14ac:dyDescent="0.25">
      <c r="K771" s="20"/>
    </row>
    <row r="772" spans="11:11" x14ac:dyDescent="0.25">
      <c r="K772" s="19"/>
    </row>
    <row r="773" spans="11:11" x14ac:dyDescent="0.25">
      <c r="K773" s="20"/>
    </row>
    <row r="774" spans="11:11" x14ac:dyDescent="0.25">
      <c r="K774" s="19"/>
    </row>
    <row r="775" spans="11:11" x14ac:dyDescent="0.25">
      <c r="K775" s="20"/>
    </row>
    <row r="776" spans="11:11" x14ac:dyDescent="0.25">
      <c r="K776" s="19"/>
    </row>
    <row r="777" spans="11:11" x14ac:dyDescent="0.25">
      <c r="K777" s="20"/>
    </row>
    <row r="778" spans="11:11" x14ac:dyDescent="0.25">
      <c r="K778" s="19"/>
    </row>
    <row r="779" spans="11:11" x14ac:dyDescent="0.25">
      <c r="K779" s="20"/>
    </row>
    <row r="780" spans="11:11" x14ac:dyDescent="0.25">
      <c r="K780" s="19"/>
    </row>
    <row r="781" spans="11:11" x14ac:dyDescent="0.25">
      <c r="K781" s="20"/>
    </row>
    <row r="782" spans="11:11" x14ac:dyDescent="0.25">
      <c r="K782" s="19"/>
    </row>
    <row r="783" spans="11:11" x14ac:dyDescent="0.25">
      <c r="K783" s="20"/>
    </row>
    <row r="784" spans="11:11" x14ac:dyDescent="0.25">
      <c r="K784" s="19"/>
    </row>
    <row r="785" spans="11:11" x14ac:dyDescent="0.25">
      <c r="K785" s="20"/>
    </row>
    <row r="786" spans="11:11" x14ac:dyDescent="0.25">
      <c r="K786" s="19"/>
    </row>
    <row r="787" spans="11:11" x14ac:dyDescent="0.25">
      <c r="K787" s="20"/>
    </row>
    <row r="788" spans="11:11" x14ac:dyDescent="0.25">
      <c r="K788" s="19"/>
    </row>
    <row r="789" spans="11:11" x14ac:dyDescent="0.25">
      <c r="K789" s="20"/>
    </row>
    <row r="790" spans="11:11" x14ac:dyDescent="0.25">
      <c r="K790" s="19"/>
    </row>
    <row r="791" spans="11:11" x14ac:dyDescent="0.25">
      <c r="K791" s="20"/>
    </row>
    <row r="792" spans="11:11" x14ac:dyDescent="0.25">
      <c r="K792" s="19"/>
    </row>
    <row r="793" spans="11:11" x14ac:dyDescent="0.25">
      <c r="K793" s="20"/>
    </row>
    <row r="794" spans="11:11" x14ac:dyDescent="0.25">
      <c r="K794" s="19"/>
    </row>
    <row r="795" spans="11:11" x14ac:dyDescent="0.25">
      <c r="K795" s="20"/>
    </row>
    <row r="796" spans="11:11" x14ac:dyDescent="0.25">
      <c r="K796" s="19"/>
    </row>
    <row r="797" spans="11:11" x14ac:dyDescent="0.25">
      <c r="K797" s="20"/>
    </row>
    <row r="798" spans="11:11" x14ac:dyDescent="0.25">
      <c r="K798" s="19"/>
    </row>
    <row r="799" spans="11:11" x14ac:dyDescent="0.25">
      <c r="K799" s="20"/>
    </row>
    <row r="800" spans="11:11" x14ac:dyDescent="0.25">
      <c r="K800" s="19"/>
    </row>
    <row r="801" spans="11:11" x14ac:dyDescent="0.25">
      <c r="K801" s="20"/>
    </row>
    <row r="802" spans="11:11" x14ac:dyDescent="0.25">
      <c r="K802" s="19"/>
    </row>
    <row r="803" spans="11:11" x14ac:dyDescent="0.25">
      <c r="K803" s="20"/>
    </row>
    <row r="804" spans="11:11" x14ac:dyDescent="0.25">
      <c r="K804" s="19"/>
    </row>
    <row r="805" spans="11:11" x14ac:dyDescent="0.25">
      <c r="K805" s="20"/>
    </row>
    <row r="806" spans="11:11" x14ac:dyDescent="0.25">
      <c r="K806" s="19"/>
    </row>
    <row r="807" spans="11:11" x14ac:dyDescent="0.25">
      <c r="K807" s="20"/>
    </row>
    <row r="808" spans="11:11" x14ac:dyDescent="0.25">
      <c r="K808" s="19"/>
    </row>
    <row r="809" spans="11:11" x14ac:dyDescent="0.25">
      <c r="K809" s="20"/>
    </row>
    <row r="810" spans="11:11" x14ac:dyDescent="0.25">
      <c r="K810" s="19"/>
    </row>
    <row r="811" spans="11:11" x14ac:dyDescent="0.25">
      <c r="K811" s="20"/>
    </row>
    <row r="812" spans="11:11" x14ac:dyDescent="0.25">
      <c r="K812" s="19"/>
    </row>
    <row r="813" spans="11:11" x14ac:dyDescent="0.25">
      <c r="K813" s="20"/>
    </row>
    <row r="814" spans="11:11" x14ac:dyDescent="0.25">
      <c r="K814" s="19"/>
    </row>
    <row r="815" spans="11:11" x14ac:dyDescent="0.25">
      <c r="K815" s="20"/>
    </row>
    <row r="816" spans="11:11" x14ac:dyDescent="0.25">
      <c r="K816" s="19"/>
    </row>
    <row r="817" spans="11:11" x14ac:dyDescent="0.25">
      <c r="K817" s="20"/>
    </row>
    <row r="818" spans="11:11" x14ac:dyDescent="0.25">
      <c r="K818" s="19"/>
    </row>
    <row r="819" spans="11:11" x14ac:dyDescent="0.25">
      <c r="K819" s="20"/>
    </row>
    <row r="820" spans="11:11" x14ac:dyDescent="0.25">
      <c r="K820" s="19"/>
    </row>
    <row r="821" spans="11:11" x14ac:dyDescent="0.25">
      <c r="K821" s="20"/>
    </row>
    <row r="822" spans="11:11" x14ac:dyDescent="0.25">
      <c r="K822" s="19"/>
    </row>
    <row r="823" spans="11:11" x14ac:dyDescent="0.25">
      <c r="K823" s="20"/>
    </row>
    <row r="824" spans="11:11" x14ac:dyDescent="0.25">
      <c r="K824" s="19"/>
    </row>
    <row r="825" spans="11:11" x14ac:dyDescent="0.25">
      <c r="K825" s="20"/>
    </row>
    <row r="826" spans="11:11" x14ac:dyDescent="0.25">
      <c r="K826" s="19"/>
    </row>
    <row r="827" spans="11:11" x14ac:dyDescent="0.25">
      <c r="K827" s="20"/>
    </row>
    <row r="828" spans="11:11" x14ac:dyDescent="0.25">
      <c r="K828" s="19"/>
    </row>
    <row r="829" spans="11:11" x14ac:dyDescent="0.25">
      <c r="K829" s="20"/>
    </row>
    <row r="830" spans="11:11" x14ac:dyDescent="0.25">
      <c r="K830" s="19"/>
    </row>
    <row r="831" spans="11:11" x14ac:dyDescent="0.25">
      <c r="K831" s="20"/>
    </row>
    <row r="832" spans="11:11" x14ac:dyDescent="0.25">
      <c r="K832" s="19"/>
    </row>
    <row r="833" spans="11:11" x14ac:dyDescent="0.25">
      <c r="K833" s="20"/>
    </row>
    <row r="834" spans="11:11" x14ac:dyDescent="0.25">
      <c r="K834" s="19"/>
    </row>
    <row r="835" spans="11:11" x14ac:dyDescent="0.25">
      <c r="K835" s="20"/>
    </row>
    <row r="836" spans="11:11" x14ac:dyDescent="0.25">
      <c r="K836" s="19"/>
    </row>
    <row r="837" spans="11:11" x14ac:dyDescent="0.25">
      <c r="K837" s="20"/>
    </row>
    <row r="838" spans="11:11" x14ac:dyDescent="0.25">
      <c r="K838" s="19"/>
    </row>
    <row r="839" spans="11:11" x14ac:dyDescent="0.25">
      <c r="K839" s="20"/>
    </row>
    <row r="840" spans="11:11" x14ac:dyDescent="0.25">
      <c r="K840" s="19"/>
    </row>
    <row r="841" spans="11:11" x14ac:dyDescent="0.25">
      <c r="K841" s="20"/>
    </row>
    <row r="842" spans="11:11" x14ac:dyDescent="0.25">
      <c r="K842" s="19"/>
    </row>
    <row r="843" spans="11:11" x14ac:dyDescent="0.25">
      <c r="K843" s="20"/>
    </row>
    <row r="844" spans="11:11" x14ac:dyDescent="0.25">
      <c r="K844" s="19"/>
    </row>
    <row r="845" spans="11:11" x14ac:dyDescent="0.25">
      <c r="K845" s="20"/>
    </row>
    <row r="846" spans="11:11" x14ac:dyDescent="0.25">
      <c r="K846" s="19"/>
    </row>
    <row r="847" spans="11:11" x14ac:dyDescent="0.25">
      <c r="K847" s="20"/>
    </row>
    <row r="848" spans="11:11" x14ac:dyDescent="0.25">
      <c r="K848" s="19"/>
    </row>
    <row r="849" spans="11:11" x14ac:dyDescent="0.25">
      <c r="K849" s="20"/>
    </row>
    <row r="850" spans="11:11" x14ac:dyDescent="0.25">
      <c r="K850" s="19"/>
    </row>
    <row r="851" spans="11:11" x14ac:dyDescent="0.25">
      <c r="K851" s="20"/>
    </row>
    <row r="852" spans="11:11" x14ac:dyDescent="0.25">
      <c r="K852" s="19"/>
    </row>
    <row r="853" spans="11:11" x14ac:dyDescent="0.25">
      <c r="K853" s="20"/>
    </row>
    <row r="854" spans="11:11" x14ac:dyDescent="0.25">
      <c r="K854" s="19"/>
    </row>
    <row r="855" spans="11:11" x14ac:dyDescent="0.25">
      <c r="K855" s="20"/>
    </row>
    <row r="856" spans="11:11" x14ac:dyDescent="0.25">
      <c r="K856" s="19"/>
    </row>
    <row r="857" spans="11:11" x14ac:dyDescent="0.25">
      <c r="K857" s="20"/>
    </row>
    <row r="858" spans="11:11" x14ac:dyDescent="0.25">
      <c r="K858" s="19"/>
    </row>
    <row r="859" spans="11:11" x14ac:dyDescent="0.25">
      <c r="K859" s="20"/>
    </row>
    <row r="860" spans="11:11" x14ac:dyDescent="0.25">
      <c r="K860" s="19"/>
    </row>
    <row r="861" spans="11:11" x14ac:dyDescent="0.25">
      <c r="K861" s="20"/>
    </row>
    <row r="862" spans="11:11" x14ac:dyDescent="0.25">
      <c r="K862" s="19"/>
    </row>
    <row r="863" spans="11:11" x14ac:dyDescent="0.25">
      <c r="K863" s="20"/>
    </row>
    <row r="864" spans="11:11" x14ac:dyDescent="0.25">
      <c r="K864" s="19"/>
    </row>
    <row r="865" spans="11:11" x14ac:dyDescent="0.25">
      <c r="K865" s="20"/>
    </row>
    <row r="866" spans="11:11" x14ac:dyDescent="0.25">
      <c r="K866" s="19"/>
    </row>
    <row r="867" spans="11:11" x14ac:dyDescent="0.25">
      <c r="K867" s="20"/>
    </row>
    <row r="868" spans="11:11" x14ac:dyDescent="0.25">
      <c r="K868" s="19"/>
    </row>
    <row r="869" spans="11:11" x14ac:dyDescent="0.25">
      <c r="K869" s="20"/>
    </row>
    <row r="870" spans="11:11" x14ac:dyDescent="0.25">
      <c r="K870" s="19"/>
    </row>
    <row r="871" spans="11:11" x14ac:dyDescent="0.25">
      <c r="K871" s="20"/>
    </row>
    <row r="872" spans="11:11" x14ac:dyDescent="0.25">
      <c r="K872" s="19"/>
    </row>
    <row r="873" spans="11:11" x14ac:dyDescent="0.25">
      <c r="K873" s="20"/>
    </row>
    <row r="874" spans="11:11" x14ac:dyDescent="0.25">
      <c r="K874" s="19"/>
    </row>
    <row r="875" spans="11:11" x14ac:dyDescent="0.25">
      <c r="K875" s="20"/>
    </row>
    <row r="876" spans="11:11" x14ac:dyDescent="0.25">
      <c r="K876" s="19"/>
    </row>
    <row r="877" spans="11:11" x14ac:dyDescent="0.25">
      <c r="K877" s="20"/>
    </row>
    <row r="878" spans="11:11" x14ac:dyDescent="0.25">
      <c r="K878" s="19"/>
    </row>
    <row r="879" spans="11:11" x14ac:dyDescent="0.25">
      <c r="K879" s="20"/>
    </row>
    <row r="880" spans="11:11" x14ac:dyDescent="0.25">
      <c r="K880" s="19"/>
    </row>
    <row r="881" spans="11:11" x14ac:dyDescent="0.25">
      <c r="K881" s="20"/>
    </row>
    <row r="882" spans="11:11" x14ac:dyDescent="0.25">
      <c r="K882" s="19"/>
    </row>
    <row r="883" spans="11:11" x14ac:dyDescent="0.25">
      <c r="K883" s="20"/>
    </row>
    <row r="884" spans="11:11" x14ac:dyDescent="0.25">
      <c r="K884" s="19"/>
    </row>
    <row r="885" spans="11:11" x14ac:dyDescent="0.25">
      <c r="K885" s="20"/>
    </row>
    <row r="886" spans="11:11" x14ac:dyDescent="0.25">
      <c r="K886" s="19"/>
    </row>
    <row r="887" spans="11:11" x14ac:dyDescent="0.25">
      <c r="K887" s="20"/>
    </row>
    <row r="888" spans="11:11" x14ac:dyDescent="0.25">
      <c r="K888" s="19"/>
    </row>
    <row r="889" spans="11:11" x14ac:dyDescent="0.25">
      <c r="K889" s="20"/>
    </row>
    <row r="890" spans="11:11" x14ac:dyDescent="0.25">
      <c r="K890" s="19"/>
    </row>
    <row r="891" spans="11:11" x14ac:dyDescent="0.25">
      <c r="K891" s="20"/>
    </row>
    <row r="892" spans="11:11" x14ac:dyDescent="0.25">
      <c r="K892" s="19"/>
    </row>
    <row r="893" spans="11:11" x14ac:dyDescent="0.25">
      <c r="K893" s="20"/>
    </row>
    <row r="894" spans="11:11" x14ac:dyDescent="0.25">
      <c r="K894" s="19"/>
    </row>
    <row r="895" spans="11:11" x14ac:dyDescent="0.25">
      <c r="K895" s="20"/>
    </row>
    <row r="896" spans="11:11" x14ac:dyDescent="0.25">
      <c r="K896" s="19"/>
    </row>
    <row r="897" spans="11:11" x14ac:dyDescent="0.25">
      <c r="K897" s="20"/>
    </row>
    <row r="898" spans="11:11" x14ac:dyDescent="0.25">
      <c r="K898" s="19"/>
    </row>
    <row r="899" spans="11:11" x14ac:dyDescent="0.25">
      <c r="K899" s="20"/>
    </row>
    <row r="900" spans="11:11" x14ac:dyDescent="0.25">
      <c r="K900" s="19"/>
    </row>
    <row r="901" spans="11:11" x14ac:dyDescent="0.25">
      <c r="K901" s="20"/>
    </row>
    <row r="902" spans="11:11" x14ac:dyDescent="0.25">
      <c r="K902" s="19"/>
    </row>
    <row r="903" spans="11:11" x14ac:dyDescent="0.25">
      <c r="K903" s="20"/>
    </row>
    <row r="904" spans="11:11" x14ac:dyDescent="0.25">
      <c r="K904" s="19"/>
    </row>
    <row r="905" spans="11:11" x14ac:dyDescent="0.25">
      <c r="K905" s="20"/>
    </row>
    <row r="906" spans="11:11" x14ac:dyDescent="0.25">
      <c r="K906" s="19"/>
    </row>
    <row r="907" spans="11:11" x14ac:dyDescent="0.25">
      <c r="K907" s="20"/>
    </row>
    <row r="908" spans="11:11" x14ac:dyDescent="0.25">
      <c r="K908" s="19"/>
    </row>
    <row r="909" spans="11:11" x14ac:dyDescent="0.25">
      <c r="K909" s="20"/>
    </row>
    <row r="910" spans="11:11" x14ac:dyDescent="0.25">
      <c r="K910" s="19"/>
    </row>
    <row r="911" spans="11:11" x14ac:dyDescent="0.25">
      <c r="K911" s="20"/>
    </row>
    <row r="912" spans="11:11" x14ac:dyDescent="0.25">
      <c r="K912" s="19"/>
    </row>
    <row r="913" spans="11:11" x14ac:dyDescent="0.25">
      <c r="K913" s="20"/>
    </row>
    <row r="914" spans="11:11" x14ac:dyDescent="0.25">
      <c r="K914" s="19"/>
    </row>
  </sheetData>
  <conditionalFormatting sqref="F23:F48">
    <cfRule type="duplicateValues" dxfId="2" priority="2"/>
  </conditionalFormatting>
  <conditionalFormatting sqref="J5:J78">
    <cfRule type="duplicateValues" dxfId="1" priority="3"/>
  </conditionalFormatting>
  <conditionalFormatting sqref="K1:K47 K50:K57 K59:K1048576">
    <cfRule type="duplicateValues" dxfId="0" priority="1"/>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979B-043D-4D1D-9E73-D9B765AF08A9}">
  <dimension ref="A3:G10"/>
  <sheetViews>
    <sheetView workbookViewId="0">
      <selection activeCell="A5" sqref="A5:F9"/>
    </sheetView>
  </sheetViews>
  <sheetFormatPr defaultRowHeight="15" x14ac:dyDescent="0.25"/>
  <cols>
    <col min="1" max="1" width="18" bestFit="1" customWidth="1"/>
    <col min="2" max="2" width="16.28515625" bestFit="1" customWidth="1"/>
    <col min="3" max="3" width="9.28515625" bestFit="1" customWidth="1"/>
    <col min="4" max="4" width="10.85546875" bestFit="1" customWidth="1"/>
    <col min="5" max="5" width="11.7109375" bestFit="1" customWidth="1"/>
    <col min="6" max="6" width="12.5703125" bestFit="1" customWidth="1"/>
    <col min="7" max="7" width="11.28515625" bestFit="1" customWidth="1"/>
  </cols>
  <sheetData>
    <row r="3" spans="1:7" x14ac:dyDescent="0.25">
      <c r="A3" s="13" t="s">
        <v>55</v>
      </c>
      <c r="B3" s="13" t="s">
        <v>53</v>
      </c>
    </row>
    <row r="4" spans="1:7" x14ac:dyDescent="0.25">
      <c r="A4" s="13" t="s">
        <v>51</v>
      </c>
      <c r="B4" t="s">
        <v>10</v>
      </c>
      <c r="C4" t="s">
        <v>17</v>
      </c>
      <c r="D4" t="s">
        <v>24</v>
      </c>
      <c r="E4" t="s">
        <v>21</v>
      </c>
      <c r="F4" t="s">
        <v>30</v>
      </c>
      <c r="G4" t="s">
        <v>52</v>
      </c>
    </row>
    <row r="5" spans="1:7" x14ac:dyDescent="0.25">
      <c r="A5" s="14" t="s">
        <v>13</v>
      </c>
      <c r="B5" s="15">
        <v>3.8385315125925711E-2</v>
      </c>
      <c r="C5" s="15">
        <v>4.20842273310034E-2</v>
      </c>
      <c r="D5" s="15">
        <v>3.745964820295717E-2</v>
      </c>
      <c r="E5" s="15">
        <v>4.1867620544160343E-2</v>
      </c>
      <c r="F5" s="15">
        <v>5.0306078231151179E-2</v>
      </c>
      <c r="G5" s="15">
        <v>0.21010288943519781</v>
      </c>
    </row>
    <row r="6" spans="1:7" x14ac:dyDescent="0.25">
      <c r="A6" s="14" t="s">
        <v>16</v>
      </c>
      <c r="B6" s="15">
        <v>2.6285863536028263E-2</v>
      </c>
      <c r="C6" s="15">
        <v>5.1525399992658628E-2</v>
      </c>
      <c r="D6" s="15">
        <v>4.4879642099685396E-2</v>
      </c>
      <c r="E6" s="15">
        <v>3.9944811304354462E-2</v>
      </c>
      <c r="F6" s="15">
        <v>4.1916926451456275E-2</v>
      </c>
      <c r="G6" s="15">
        <v>0.20455264338418302</v>
      </c>
    </row>
    <row r="7" spans="1:7" x14ac:dyDescent="0.25">
      <c r="A7" s="14" t="s">
        <v>29</v>
      </c>
      <c r="B7" s="15">
        <v>3.6965014248438052E-2</v>
      </c>
      <c r="C7" s="15">
        <v>4.3243945882708391E-2</v>
      </c>
      <c r="D7" s="15">
        <v>4.3382656604707998E-2</v>
      </c>
      <c r="E7" s="15">
        <v>2.092920677213608E-2</v>
      </c>
      <c r="F7" s="15">
        <v>3.6847746144599083E-2</v>
      </c>
      <c r="G7" s="15">
        <v>0.1813685696525896</v>
      </c>
    </row>
    <row r="8" spans="1:7" x14ac:dyDescent="0.25">
      <c r="A8" s="14" t="s">
        <v>20</v>
      </c>
      <c r="B8" s="15">
        <v>2.8387482405241495E-2</v>
      </c>
      <c r="C8" s="15">
        <v>5.2211200339592923E-2</v>
      </c>
      <c r="D8" s="15">
        <v>5.4525428219381972E-2</v>
      </c>
      <c r="E8" s="15">
        <v>6.2143978337382999E-2</v>
      </c>
      <c r="F8" s="15">
        <v>3.70798594575696E-2</v>
      </c>
      <c r="G8" s="15">
        <v>0.23434794875916898</v>
      </c>
    </row>
    <row r="9" spans="1:7" x14ac:dyDescent="0.25">
      <c r="A9" s="14" t="s">
        <v>23</v>
      </c>
      <c r="B9" s="15">
        <v>4.4612639102928078E-2</v>
      </c>
      <c r="C9" s="15">
        <v>3.5698203750665236E-2</v>
      </c>
      <c r="D9" s="15">
        <v>3.1189560134368896E-2</v>
      </c>
      <c r="E9" s="15">
        <v>2.5229844877800698E-2</v>
      </c>
      <c r="F9" s="15">
        <v>3.2897700903097661E-2</v>
      </c>
      <c r="G9" s="15">
        <v>0.16962794876886056</v>
      </c>
    </row>
    <row r="10" spans="1:7" x14ac:dyDescent="0.25">
      <c r="A10" s="14" t="s">
        <v>52</v>
      </c>
      <c r="B10" s="15">
        <v>0.17463631441856159</v>
      </c>
      <c r="C10" s="15">
        <v>0.22476297729662859</v>
      </c>
      <c r="D10" s="15">
        <v>0.21143693526110144</v>
      </c>
      <c r="E10" s="15">
        <v>0.19011546183583458</v>
      </c>
      <c r="F10" s="15">
        <v>0.19904831118787381</v>
      </c>
      <c r="G10" s="1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D37EB-3614-40DE-B4DC-18E9DD5CCEC9}">
  <dimension ref="A3:B16"/>
  <sheetViews>
    <sheetView workbookViewId="0">
      <selection activeCell="T3" sqref="T3"/>
    </sheetView>
  </sheetViews>
  <sheetFormatPr defaultRowHeight="15" x14ac:dyDescent="0.25"/>
  <cols>
    <col min="1" max="1" width="13.140625" bestFit="1" customWidth="1"/>
    <col min="2" max="2" width="14.7109375" bestFit="1" customWidth="1"/>
    <col min="3" max="4" width="3" bestFit="1" customWidth="1"/>
    <col min="5" max="57" width="4" bestFit="1" customWidth="1"/>
    <col min="58" max="563" width="5" bestFit="1" customWidth="1"/>
    <col min="564" max="840" width="6" bestFit="1" customWidth="1"/>
    <col min="841" max="841" width="11.28515625" bestFit="1" customWidth="1"/>
  </cols>
  <sheetData>
    <row r="3" spans="1:2" x14ac:dyDescent="0.25">
      <c r="A3" s="13" t="s">
        <v>51</v>
      </c>
      <c r="B3" t="s">
        <v>72</v>
      </c>
    </row>
    <row r="4" spans="1:2" x14ac:dyDescent="0.25">
      <c r="A4" s="14" t="s">
        <v>56</v>
      </c>
      <c r="B4" s="18">
        <v>3903</v>
      </c>
    </row>
    <row r="5" spans="1:2" x14ac:dyDescent="0.25">
      <c r="A5" s="14" t="s">
        <v>57</v>
      </c>
      <c r="B5" s="18">
        <v>4049</v>
      </c>
    </row>
    <row r="6" spans="1:2" x14ac:dyDescent="0.25">
      <c r="A6" s="14" t="s">
        <v>58</v>
      </c>
      <c r="B6" s="18">
        <v>4351</v>
      </c>
    </row>
    <row r="7" spans="1:2" x14ac:dyDescent="0.25">
      <c r="A7" s="14" t="s">
        <v>59</v>
      </c>
      <c r="B7" s="18">
        <v>5065</v>
      </c>
    </row>
    <row r="8" spans="1:2" x14ac:dyDescent="0.25">
      <c r="A8" s="14" t="s">
        <v>60</v>
      </c>
      <c r="B8" s="18">
        <v>4113</v>
      </c>
    </row>
    <row r="9" spans="1:2" x14ac:dyDescent="0.25">
      <c r="A9" s="14" t="s">
        <v>61</v>
      </c>
      <c r="B9" s="18">
        <v>4162</v>
      </c>
    </row>
    <row r="10" spans="1:2" x14ac:dyDescent="0.25">
      <c r="A10" s="14" t="s">
        <v>62</v>
      </c>
      <c r="B10" s="18">
        <v>5101</v>
      </c>
    </row>
    <row r="11" spans="1:2" x14ac:dyDescent="0.25">
      <c r="A11" s="14" t="s">
        <v>63</v>
      </c>
      <c r="B11" s="18">
        <v>4550</v>
      </c>
    </row>
    <row r="12" spans="1:2" x14ac:dyDescent="0.25">
      <c r="A12" s="14" t="s">
        <v>64</v>
      </c>
      <c r="B12" s="18">
        <v>4956</v>
      </c>
    </row>
    <row r="13" spans="1:2" x14ac:dyDescent="0.25">
      <c r="A13" s="14" t="s">
        <v>65</v>
      </c>
      <c r="B13" s="18">
        <v>4377</v>
      </c>
    </row>
    <row r="14" spans="1:2" x14ac:dyDescent="0.25">
      <c r="A14" s="14" t="s">
        <v>66</v>
      </c>
      <c r="B14" s="18">
        <v>4477</v>
      </c>
    </row>
    <row r="15" spans="1:2" x14ac:dyDescent="0.25">
      <c r="A15" s="14" t="s">
        <v>67</v>
      </c>
      <c r="B15" s="18">
        <v>4314</v>
      </c>
    </row>
    <row r="16" spans="1:2" x14ac:dyDescent="0.25">
      <c r="A16" s="14" t="s">
        <v>52</v>
      </c>
      <c r="B16">
        <v>53418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05FA-1F43-4936-84BE-904DB805EBC2}">
  <dimension ref="A3:C20"/>
  <sheetViews>
    <sheetView workbookViewId="0">
      <selection activeCell="A3" sqref="A3"/>
    </sheetView>
  </sheetViews>
  <sheetFormatPr defaultRowHeight="15" x14ac:dyDescent="0.25"/>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A5F4-6B65-4548-A434-2AE8FCAF86E2}">
  <dimension ref="A3:B14"/>
  <sheetViews>
    <sheetView topLeftCell="A3" workbookViewId="0">
      <selection activeCell="G25" sqref="G25"/>
    </sheetView>
  </sheetViews>
  <sheetFormatPr defaultRowHeight="15" x14ac:dyDescent="0.25"/>
  <cols>
    <col min="1" max="1" width="18" bestFit="1" customWidth="1"/>
    <col min="2" max="2" width="14.85546875" bestFit="1" customWidth="1"/>
  </cols>
  <sheetData>
    <row r="3" spans="1:2" x14ac:dyDescent="0.25">
      <c r="A3" s="13" t="s">
        <v>51</v>
      </c>
      <c r="B3" t="s">
        <v>55</v>
      </c>
    </row>
    <row r="4" spans="1:2" x14ac:dyDescent="0.25">
      <c r="A4" s="14" t="s">
        <v>13</v>
      </c>
      <c r="B4" s="22">
        <v>1734313</v>
      </c>
    </row>
    <row r="5" spans="1:2" x14ac:dyDescent="0.25">
      <c r="A5" s="14" t="s">
        <v>16</v>
      </c>
      <c r="B5" s="22">
        <v>1688498</v>
      </c>
    </row>
    <row r="6" spans="1:2" x14ac:dyDescent="0.25">
      <c r="A6" s="14" t="s">
        <v>29</v>
      </c>
      <c r="B6" s="22">
        <v>1497123</v>
      </c>
    </row>
    <row r="7" spans="1:2" x14ac:dyDescent="0.25">
      <c r="A7" s="14" t="s">
        <v>20</v>
      </c>
      <c r="B7" s="22">
        <v>1934446</v>
      </c>
    </row>
    <row r="8" spans="1:2" x14ac:dyDescent="0.25">
      <c r="A8" s="14" t="s">
        <v>23</v>
      </c>
      <c r="B8" s="22">
        <v>1400209</v>
      </c>
    </row>
    <row r="9" spans="1:2" x14ac:dyDescent="0.25">
      <c r="A9" s="14" t="s">
        <v>52</v>
      </c>
      <c r="B9" s="22">
        <v>8254589</v>
      </c>
    </row>
    <row r="14" spans="1:2" x14ac:dyDescent="0.25">
      <c r="A14" t="s">
        <v>135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AADD-381D-4DDA-9070-7FA159642C25}">
  <dimension ref="A1:I904"/>
  <sheetViews>
    <sheetView topLeftCell="B2" workbookViewId="0">
      <selection activeCell="L4" sqref="L4"/>
    </sheetView>
  </sheetViews>
  <sheetFormatPr defaultRowHeight="15" x14ac:dyDescent="0.25"/>
  <cols>
    <col min="1" max="1" width="10.42578125" bestFit="1" customWidth="1"/>
    <col min="2" max="2" width="21.85546875" bestFit="1" customWidth="1"/>
    <col min="3" max="3" width="12.85546875" bestFit="1" customWidth="1"/>
    <col min="4" max="4" width="16.140625" customWidth="1"/>
    <col min="5" max="5" width="10.28515625" customWidth="1"/>
    <col min="6" max="7" width="13.85546875" bestFit="1" customWidth="1"/>
    <col min="8" max="8" width="18.140625" customWidth="1"/>
    <col min="11" max="12" width="13.85546875" bestFit="1" customWidth="1"/>
    <col min="13" max="13" width="18" bestFit="1"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s="2">
        <v>45867</v>
      </c>
      <c r="B2" t="s">
        <v>9</v>
      </c>
      <c r="C2" t="s">
        <v>10</v>
      </c>
      <c r="D2">
        <v>180</v>
      </c>
      <c r="E2" s="3">
        <v>53</v>
      </c>
      <c r="F2" t="s">
        <v>11</v>
      </c>
      <c r="G2" t="s">
        <v>12</v>
      </c>
      <c r="H2" t="s">
        <v>13</v>
      </c>
      <c r="I2">
        <f>Table1[[#This Row],[Per unit]]*Table1[[#This Row],[Boxes Shipped]]</f>
        <v>9540</v>
      </c>
    </row>
    <row r="3" spans="1:9" x14ac:dyDescent="0.25">
      <c r="A3" s="2">
        <v>45687</v>
      </c>
      <c r="B3" t="s">
        <v>14</v>
      </c>
      <c r="C3" t="s">
        <v>10</v>
      </c>
      <c r="D3">
        <v>94</v>
      </c>
      <c r="E3" s="3">
        <v>64</v>
      </c>
      <c r="F3" t="s">
        <v>11</v>
      </c>
      <c r="G3" t="s">
        <v>11</v>
      </c>
      <c r="H3" t="s">
        <v>13</v>
      </c>
      <c r="I3">
        <f>Table1[[#This Row],[Per unit]]*Table1[[#This Row],[Boxes Shipped]]</f>
        <v>6016</v>
      </c>
    </row>
    <row r="4" spans="1:9" x14ac:dyDescent="0.25">
      <c r="A4" s="2">
        <v>45817</v>
      </c>
      <c r="B4" t="s">
        <v>18</v>
      </c>
      <c r="C4" t="s">
        <v>17</v>
      </c>
      <c r="D4">
        <v>91</v>
      </c>
      <c r="E4" s="3">
        <v>73</v>
      </c>
      <c r="F4" t="s">
        <v>11</v>
      </c>
      <c r="G4" t="s">
        <v>15</v>
      </c>
      <c r="H4" t="s">
        <v>16</v>
      </c>
      <c r="I4">
        <f>Table1[[#This Row],[Per unit]]*Table1[[#This Row],[Boxes Shipped]]</f>
        <v>6643</v>
      </c>
    </row>
    <row r="5" spans="1:9" x14ac:dyDescent="0.25">
      <c r="A5" s="2">
        <v>45898</v>
      </c>
      <c r="B5" t="s">
        <v>18</v>
      </c>
      <c r="C5" t="s">
        <v>21</v>
      </c>
      <c r="D5">
        <v>342</v>
      </c>
      <c r="E5" s="3">
        <v>90</v>
      </c>
      <c r="F5" t="s">
        <v>15</v>
      </c>
      <c r="G5" t="s">
        <v>19</v>
      </c>
      <c r="H5" t="s">
        <v>20</v>
      </c>
      <c r="I5">
        <f>Table1[[#This Row],[Per unit]]*Table1[[#This Row],[Boxes Shipped]]</f>
        <v>30780</v>
      </c>
    </row>
    <row r="6" spans="1:9" x14ac:dyDescent="0.25">
      <c r="A6" s="2">
        <v>45684</v>
      </c>
      <c r="B6" t="s">
        <v>25</v>
      </c>
      <c r="C6" t="s">
        <v>24</v>
      </c>
      <c r="D6">
        <v>520</v>
      </c>
      <c r="E6" s="3">
        <v>96</v>
      </c>
      <c r="F6" t="s">
        <v>26</v>
      </c>
      <c r="G6" t="s">
        <v>27</v>
      </c>
      <c r="H6" t="s">
        <v>23</v>
      </c>
      <c r="I6">
        <f>Table1[[#This Row],[Per unit]]*Table1[[#This Row],[Boxes Shipped]]</f>
        <v>49920</v>
      </c>
    </row>
    <row r="7" spans="1:9" x14ac:dyDescent="0.25">
      <c r="A7" s="2">
        <v>45857</v>
      </c>
      <c r="B7" t="s">
        <v>31</v>
      </c>
      <c r="C7" t="s">
        <v>24</v>
      </c>
      <c r="D7">
        <v>38</v>
      </c>
      <c r="E7" s="3">
        <v>20</v>
      </c>
      <c r="F7" t="s">
        <v>15</v>
      </c>
      <c r="G7" t="s">
        <v>19</v>
      </c>
      <c r="H7" t="s">
        <v>13</v>
      </c>
      <c r="I7">
        <f>Table1[[#This Row],[Per unit]]*Table1[[#This Row],[Boxes Shipped]]</f>
        <v>760</v>
      </c>
    </row>
    <row r="8" spans="1:9" x14ac:dyDescent="0.25">
      <c r="A8" s="2">
        <v>45936</v>
      </c>
      <c r="B8" t="s">
        <v>33</v>
      </c>
      <c r="C8" t="s">
        <v>10</v>
      </c>
      <c r="D8">
        <v>176</v>
      </c>
      <c r="E8" s="3">
        <v>85</v>
      </c>
      <c r="F8" t="s">
        <v>19</v>
      </c>
      <c r="G8" t="s">
        <v>15</v>
      </c>
      <c r="H8" t="s">
        <v>13</v>
      </c>
      <c r="I8">
        <f>Table1[[#This Row],[Per unit]]*Table1[[#This Row],[Boxes Shipped]]</f>
        <v>14960</v>
      </c>
    </row>
    <row r="9" spans="1:9" x14ac:dyDescent="0.25">
      <c r="A9" s="2">
        <v>45860</v>
      </c>
      <c r="B9" t="s">
        <v>35</v>
      </c>
      <c r="C9" t="s">
        <v>30</v>
      </c>
      <c r="D9">
        <v>73</v>
      </c>
      <c r="E9" s="3">
        <v>34</v>
      </c>
      <c r="F9" t="s">
        <v>22</v>
      </c>
      <c r="G9" t="s">
        <v>15</v>
      </c>
      <c r="H9" t="s">
        <v>13</v>
      </c>
      <c r="I9">
        <f>Table1[[#This Row],[Per unit]]*Table1[[#This Row],[Boxes Shipped]]</f>
        <v>2482</v>
      </c>
    </row>
    <row r="10" spans="1:9" x14ac:dyDescent="0.25">
      <c r="A10" s="2">
        <v>45746</v>
      </c>
      <c r="B10" t="s">
        <v>18</v>
      </c>
      <c r="C10" t="s">
        <v>10</v>
      </c>
      <c r="D10">
        <v>446</v>
      </c>
      <c r="E10" s="3">
        <v>99</v>
      </c>
      <c r="F10" t="s">
        <v>32</v>
      </c>
      <c r="G10" t="s">
        <v>27</v>
      </c>
      <c r="H10" t="s">
        <v>23</v>
      </c>
      <c r="I10">
        <f>Table1[[#This Row],[Per unit]]*Table1[[#This Row],[Boxes Shipped]]</f>
        <v>44154</v>
      </c>
    </row>
    <row r="11" spans="1:9" x14ac:dyDescent="0.25">
      <c r="A11" s="2">
        <v>45816</v>
      </c>
      <c r="B11" t="s">
        <v>33</v>
      </c>
      <c r="C11" t="s">
        <v>10</v>
      </c>
      <c r="D11">
        <v>102</v>
      </c>
      <c r="E11" s="3">
        <v>31</v>
      </c>
      <c r="F11" t="s">
        <v>32</v>
      </c>
      <c r="G11" t="s">
        <v>27</v>
      </c>
      <c r="H11" t="s">
        <v>13</v>
      </c>
      <c r="I11">
        <f>Table1[[#This Row],[Per unit]]*Table1[[#This Row],[Boxes Shipped]]</f>
        <v>3162</v>
      </c>
    </row>
    <row r="12" spans="1:9" x14ac:dyDescent="0.25">
      <c r="A12" s="2">
        <v>45733</v>
      </c>
      <c r="B12" t="s">
        <v>31</v>
      </c>
      <c r="C12" t="s">
        <v>30</v>
      </c>
      <c r="D12">
        <v>62</v>
      </c>
      <c r="E12" s="3">
        <v>34</v>
      </c>
      <c r="F12" t="s">
        <v>22</v>
      </c>
      <c r="G12" t="s">
        <v>19</v>
      </c>
      <c r="H12" t="s">
        <v>29</v>
      </c>
      <c r="I12">
        <f>Table1[[#This Row],[Per unit]]*Table1[[#This Row],[Boxes Shipped]]</f>
        <v>2108</v>
      </c>
    </row>
    <row r="13" spans="1:9" x14ac:dyDescent="0.25">
      <c r="A13" s="2">
        <v>46021</v>
      </c>
      <c r="B13" t="s">
        <v>36</v>
      </c>
      <c r="C13" t="s">
        <v>17</v>
      </c>
      <c r="D13">
        <v>11</v>
      </c>
      <c r="E13" s="3">
        <v>68</v>
      </c>
      <c r="F13" t="s">
        <v>34</v>
      </c>
      <c r="G13" t="s">
        <v>34</v>
      </c>
      <c r="H13" t="s">
        <v>16</v>
      </c>
      <c r="I13">
        <f>Table1[[#This Row],[Per unit]]*Table1[[#This Row],[Boxes Shipped]]</f>
        <v>748</v>
      </c>
    </row>
    <row r="14" spans="1:9" x14ac:dyDescent="0.25">
      <c r="A14" s="2">
        <v>45790</v>
      </c>
      <c r="B14" t="s">
        <v>37</v>
      </c>
      <c r="C14" t="s">
        <v>21</v>
      </c>
      <c r="D14">
        <v>597</v>
      </c>
      <c r="E14" s="3">
        <v>70</v>
      </c>
      <c r="F14" t="s">
        <v>19</v>
      </c>
      <c r="G14" t="s">
        <v>28</v>
      </c>
      <c r="H14" t="s">
        <v>23</v>
      </c>
      <c r="I14">
        <f>Table1[[#This Row],[Per unit]]*Table1[[#This Row],[Boxes Shipped]]</f>
        <v>41790</v>
      </c>
    </row>
    <row r="15" spans="1:9" x14ac:dyDescent="0.25">
      <c r="A15" s="2">
        <v>46000</v>
      </c>
      <c r="B15" t="s">
        <v>18</v>
      </c>
      <c r="C15" t="s">
        <v>10</v>
      </c>
      <c r="D15">
        <v>173</v>
      </c>
      <c r="E15" s="3">
        <v>53</v>
      </c>
      <c r="F15" t="s">
        <v>15</v>
      </c>
      <c r="G15" t="s">
        <v>28</v>
      </c>
      <c r="H15" t="s">
        <v>16</v>
      </c>
      <c r="I15">
        <f>Table1[[#This Row],[Per unit]]*Table1[[#This Row],[Boxes Shipped]]</f>
        <v>9169</v>
      </c>
    </row>
    <row r="16" spans="1:9" x14ac:dyDescent="0.25">
      <c r="A16" s="2">
        <v>45734</v>
      </c>
      <c r="B16" t="s">
        <v>38</v>
      </c>
      <c r="C16" t="s">
        <v>24</v>
      </c>
      <c r="D16">
        <v>356</v>
      </c>
      <c r="E16" s="3">
        <v>81</v>
      </c>
      <c r="F16" t="s">
        <v>19</v>
      </c>
      <c r="G16" t="s">
        <v>22</v>
      </c>
      <c r="H16" t="s">
        <v>20</v>
      </c>
      <c r="I16">
        <f>Table1[[#This Row],[Per unit]]*Table1[[#This Row],[Boxes Shipped]]</f>
        <v>28836</v>
      </c>
    </row>
    <row r="17" spans="1:9" x14ac:dyDescent="0.25">
      <c r="A17" s="2">
        <v>46007</v>
      </c>
      <c r="B17" t="s">
        <v>38</v>
      </c>
      <c r="C17" t="s">
        <v>24</v>
      </c>
      <c r="D17">
        <v>42</v>
      </c>
      <c r="E17" s="3">
        <v>36</v>
      </c>
      <c r="F17" t="s">
        <v>15</v>
      </c>
      <c r="G17" t="s">
        <v>27</v>
      </c>
      <c r="H17" t="s">
        <v>13</v>
      </c>
      <c r="I17">
        <f>Table1[[#This Row],[Per unit]]*Table1[[#This Row],[Boxes Shipped]]</f>
        <v>1512</v>
      </c>
    </row>
    <row r="18" spans="1:9" x14ac:dyDescent="0.25">
      <c r="A18" s="2">
        <v>45964</v>
      </c>
      <c r="B18" t="s">
        <v>31</v>
      </c>
      <c r="C18" t="s">
        <v>17</v>
      </c>
      <c r="D18">
        <v>140</v>
      </c>
      <c r="E18" s="3">
        <v>38</v>
      </c>
      <c r="F18" t="s">
        <v>32</v>
      </c>
      <c r="G18" t="s">
        <v>27</v>
      </c>
      <c r="H18" t="s">
        <v>16</v>
      </c>
      <c r="I18">
        <f>Table1[[#This Row],[Per unit]]*Table1[[#This Row],[Boxes Shipped]]</f>
        <v>5320</v>
      </c>
    </row>
    <row r="19" spans="1:9" x14ac:dyDescent="0.25">
      <c r="A19" s="2">
        <v>45691</v>
      </c>
      <c r="B19" t="s">
        <v>39</v>
      </c>
      <c r="C19" t="s">
        <v>17</v>
      </c>
      <c r="D19">
        <v>176</v>
      </c>
      <c r="E19" s="3">
        <v>90</v>
      </c>
      <c r="F19" t="s">
        <v>22</v>
      </c>
      <c r="G19" t="s">
        <v>22</v>
      </c>
      <c r="H19" t="s">
        <v>20</v>
      </c>
      <c r="I19">
        <f>Table1[[#This Row],[Per unit]]*Table1[[#This Row],[Boxes Shipped]]</f>
        <v>15840</v>
      </c>
    </row>
    <row r="20" spans="1:9" x14ac:dyDescent="0.25">
      <c r="A20" s="2">
        <v>45830</v>
      </c>
      <c r="B20" t="s">
        <v>40</v>
      </c>
      <c r="C20" t="s">
        <v>30</v>
      </c>
      <c r="D20">
        <v>70</v>
      </c>
      <c r="E20" s="3">
        <v>51</v>
      </c>
      <c r="F20" t="s">
        <v>15</v>
      </c>
      <c r="G20" t="s">
        <v>12</v>
      </c>
      <c r="H20" t="s">
        <v>13</v>
      </c>
      <c r="I20">
        <f>Table1[[#This Row],[Per unit]]*Table1[[#This Row],[Boxes Shipped]]</f>
        <v>3570</v>
      </c>
    </row>
    <row r="21" spans="1:9" x14ac:dyDescent="0.25">
      <c r="A21" s="2">
        <v>45954</v>
      </c>
      <c r="B21" t="s">
        <v>39</v>
      </c>
      <c r="C21" t="s">
        <v>24</v>
      </c>
      <c r="D21">
        <v>23</v>
      </c>
      <c r="E21" s="3">
        <v>62</v>
      </c>
      <c r="F21" t="s">
        <v>28</v>
      </c>
      <c r="G21" t="s">
        <v>32</v>
      </c>
      <c r="H21" t="s">
        <v>13</v>
      </c>
      <c r="I21">
        <f>Table1[[#This Row],[Per unit]]*Table1[[#This Row],[Boxes Shipped]]</f>
        <v>1426</v>
      </c>
    </row>
    <row r="22" spans="1:9" x14ac:dyDescent="0.25">
      <c r="A22" s="2">
        <v>45874</v>
      </c>
      <c r="B22" t="s">
        <v>41</v>
      </c>
      <c r="C22" t="s">
        <v>10</v>
      </c>
      <c r="D22">
        <v>135</v>
      </c>
      <c r="E22" s="3">
        <v>37</v>
      </c>
      <c r="F22" t="s">
        <v>34</v>
      </c>
      <c r="G22" t="s">
        <v>26</v>
      </c>
      <c r="H22" t="s">
        <v>20</v>
      </c>
      <c r="I22">
        <f>Table1[[#This Row],[Per unit]]*Table1[[#This Row],[Boxes Shipped]]</f>
        <v>4995</v>
      </c>
    </row>
    <row r="23" spans="1:9" x14ac:dyDescent="0.25">
      <c r="A23" s="2">
        <v>45867</v>
      </c>
      <c r="B23" t="s">
        <v>42</v>
      </c>
      <c r="C23" t="s">
        <v>24</v>
      </c>
      <c r="D23">
        <v>83</v>
      </c>
      <c r="E23" s="3">
        <v>88</v>
      </c>
      <c r="F23" t="s">
        <v>19</v>
      </c>
      <c r="G23" t="s">
        <v>15</v>
      </c>
      <c r="H23" t="s">
        <v>16</v>
      </c>
      <c r="I23">
        <f>Table1[[#This Row],[Per unit]]*Table1[[#This Row],[Boxes Shipped]]</f>
        <v>7304</v>
      </c>
    </row>
    <row r="24" spans="1:9" x14ac:dyDescent="0.25">
      <c r="A24" s="2">
        <v>45692</v>
      </c>
      <c r="B24" t="s">
        <v>14</v>
      </c>
      <c r="C24" t="s">
        <v>24</v>
      </c>
      <c r="D24">
        <v>179</v>
      </c>
      <c r="E24" s="3">
        <v>22</v>
      </c>
      <c r="F24" t="s">
        <v>12</v>
      </c>
      <c r="G24" t="s">
        <v>28</v>
      </c>
      <c r="H24" t="s">
        <v>16</v>
      </c>
      <c r="I24">
        <f>Table1[[#This Row],[Per unit]]*Table1[[#This Row],[Boxes Shipped]]</f>
        <v>3938</v>
      </c>
    </row>
    <row r="25" spans="1:9" x14ac:dyDescent="0.25">
      <c r="A25" s="2">
        <v>45969</v>
      </c>
      <c r="B25" t="s">
        <v>25</v>
      </c>
      <c r="C25" t="s">
        <v>24</v>
      </c>
      <c r="D25">
        <v>18</v>
      </c>
      <c r="E25" s="3">
        <v>20</v>
      </c>
      <c r="F25" t="s">
        <v>27</v>
      </c>
      <c r="G25" t="s">
        <v>27</v>
      </c>
      <c r="H25" t="s">
        <v>20</v>
      </c>
      <c r="I25">
        <f>Table1[[#This Row],[Per unit]]*Table1[[#This Row],[Boxes Shipped]]</f>
        <v>360</v>
      </c>
    </row>
    <row r="26" spans="1:9" x14ac:dyDescent="0.25">
      <c r="A26" s="2">
        <v>45957</v>
      </c>
      <c r="B26" t="s">
        <v>39</v>
      </c>
      <c r="C26" t="s">
        <v>21</v>
      </c>
      <c r="D26">
        <v>55</v>
      </c>
      <c r="E26" s="3">
        <v>94</v>
      </c>
      <c r="F26" t="s">
        <v>26</v>
      </c>
      <c r="G26" t="s">
        <v>15</v>
      </c>
      <c r="H26" t="s">
        <v>20</v>
      </c>
      <c r="I26">
        <f>Table1[[#This Row],[Per unit]]*Table1[[#This Row],[Boxes Shipped]]</f>
        <v>5170</v>
      </c>
    </row>
    <row r="27" spans="1:9" x14ac:dyDescent="0.25">
      <c r="A27" s="2">
        <v>45846</v>
      </c>
      <c r="B27" t="s">
        <v>43</v>
      </c>
      <c r="C27" t="s">
        <v>17</v>
      </c>
      <c r="D27">
        <v>227</v>
      </c>
      <c r="E27" s="3">
        <v>48</v>
      </c>
      <c r="F27" t="s">
        <v>26</v>
      </c>
      <c r="G27" t="s">
        <v>27</v>
      </c>
      <c r="H27" t="s">
        <v>13</v>
      </c>
      <c r="I27">
        <f>Table1[[#This Row],[Per unit]]*Table1[[#This Row],[Boxes Shipped]]</f>
        <v>10896</v>
      </c>
    </row>
    <row r="28" spans="1:9" x14ac:dyDescent="0.25">
      <c r="A28" s="2">
        <v>45900</v>
      </c>
      <c r="B28" t="s">
        <v>41</v>
      </c>
      <c r="C28" t="s">
        <v>30</v>
      </c>
      <c r="D28">
        <v>48</v>
      </c>
      <c r="E28" s="3">
        <v>31</v>
      </c>
      <c r="F28" t="s">
        <v>28</v>
      </c>
      <c r="G28" t="s">
        <v>27</v>
      </c>
      <c r="H28" t="s">
        <v>13</v>
      </c>
      <c r="I28">
        <f>Table1[[#This Row],[Per unit]]*Table1[[#This Row],[Boxes Shipped]]</f>
        <v>1488</v>
      </c>
    </row>
    <row r="29" spans="1:9" x14ac:dyDescent="0.25">
      <c r="A29" s="2">
        <v>45744</v>
      </c>
      <c r="B29" t="s">
        <v>38</v>
      </c>
      <c r="C29" t="s">
        <v>21</v>
      </c>
      <c r="D29">
        <v>174</v>
      </c>
      <c r="E29" s="3">
        <v>79</v>
      </c>
      <c r="F29" t="s">
        <v>15</v>
      </c>
      <c r="G29" t="s">
        <v>28</v>
      </c>
      <c r="H29" t="s">
        <v>16</v>
      </c>
      <c r="I29">
        <f>Table1[[#This Row],[Per unit]]*Table1[[#This Row],[Boxes Shipped]]</f>
        <v>13746</v>
      </c>
    </row>
    <row r="30" spans="1:9" x14ac:dyDescent="0.25">
      <c r="A30" s="2">
        <v>45775</v>
      </c>
      <c r="B30" t="s">
        <v>40</v>
      </c>
      <c r="C30" t="s">
        <v>21</v>
      </c>
      <c r="D30">
        <v>149</v>
      </c>
      <c r="E30" s="3">
        <v>38</v>
      </c>
      <c r="F30" t="s">
        <v>12</v>
      </c>
      <c r="G30" t="s">
        <v>34</v>
      </c>
      <c r="H30" t="s">
        <v>16</v>
      </c>
      <c r="I30">
        <f>Table1[[#This Row],[Per unit]]*Table1[[#This Row],[Boxes Shipped]]</f>
        <v>5662</v>
      </c>
    </row>
    <row r="31" spans="1:9" x14ac:dyDescent="0.25">
      <c r="A31" s="2">
        <v>45913</v>
      </c>
      <c r="B31" t="s">
        <v>33</v>
      </c>
      <c r="C31" t="s">
        <v>24</v>
      </c>
      <c r="D31">
        <v>11</v>
      </c>
      <c r="E31" s="3">
        <v>91</v>
      </c>
      <c r="F31" t="s">
        <v>27</v>
      </c>
      <c r="G31" t="s">
        <v>27</v>
      </c>
      <c r="H31" t="s">
        <v>20</v>
      </c>
      <c r="I31">
        <f>Table1[[#This Row],[Per unit]]*Table1[[#This Row],[Boxes Shipped]]</f>
        <v>1001</v>
      </c>
    </row>
    <row r="32" spans="1:9" x14ac:dyDescent="0.25">
      <c r="A32" s="2">
        <v>45884</v>
      </c>
      <c r="B32" t="s">
        <v>44</v>
      </c>
      <c r="C32" t="s">
        <v>21</v>
      </c>
      <c r="D32">
        <v>11</v>
      </c>
      <c r="E32" s="3">
        <v>33</v>
      </c>
      <c r="F32" t="s">
        <v>15</v>
      </c>
      <c r="G32" t="s">
        <v>12</v>
      </c>
      <c r="H32" t="s">
        <v>20</v>
      </c>
      <c r="I32">
        <f>Table1[[#This Row],[Per unit]]*Table1[[#This Row],[Boxes Shipped]]</f>
        <v>363</v>
      </c>
    </row>
    <row r="33" spans="1:9" x14ac:dyDescent="0.25">
      <c r="A33" s="2">
        <v>45698</v>
      </c>
      <c r="B33" t="s">
        <v>43</v>
      </c>
      <c r="C33" t="s">
        <v>24</v>
      </c>
      <c r="D33">
        <v>411</v>
      </c>
      <c r="E33" s="3">
        <v>45</v>
      </c>
      <c r="F33" t="s">
        <v>27</v>
      </c>
      <c r="G33" t="s">
        <v>26</v>
      </c>
      <c r="H33" t="s">
        <v>20</v>
      </c>
      <c r="I33">
        <f>Table1[[#This Row],[Per unit]]*Table1[[#This Row],[Boxes Shipped]]</f>
        <v>18495</v>
      </c>
    </row>
    <row r="34" spans="1:9" x14ac:dyDescent="0.25">
      <c r="A34" s="2">
        <v>45953</v>
      </c>
      <c r="B34" t="s">
        <v>38</v>
      </c>
      <c r="C34" t="s">
        <v>10</v>
      </c>
      <c r="D34">
        <v>56</v>
      </c>
      <c r="E34" s="3">
        <v>37</v>
      </c>
      <c r="F34" t="s">
        <v>28</v>
      </c>
      <c r="G34" t="s">
        <v>27</v>
      </c>
      <c r="H34" t="s">
        <v>13</v>
      </c>
      <c r="I34">
        <f>Table1[[#This Row],[Per unit]]*Table1[[#This Row],[Boxes Shipped]]</f>
        <v>2072</v>
      </c>
    </row>
    <row r="35" spans="1:9" x14ac:dyDescent="0.25">
      <c r="A35" s="2">
        <v>46002</v>
      </c>
      <c r="B35" t="s">
        <v>18</v>
      </c>
      <c r="C35" t="s">
        <v>30</v>
      </c>
      <c r="D35">
        <v>102</v>
      </c>
      <c r="E35" s="3">
        <v>60</v>
      </c>
      <c r="F35" t="s">
        <v>22</v>
      </c>
      <c r="G35" t="s">
        <v>19</v>
      </c>
      <c r="H35" t="s">
        <v>29</v>
      </c>
      <c r="I35">
        <f>Table1[[#This Row],[Per unit]]*Table1[[#This Row],[Boxes Shipped]]</f>
        <v>6120</v>
      </c>
    </row>
    <row r="36" spans="1:9" x14ac:dyDescent="0.25">
      <c r="A36" s="2">
        <v>45881</v>
      </c>
      <c r="B36" t="s">
        <v>45</v>
      </c>
      <c r="C36" t="s">
        <v>17</v>
      </c>
      <c r="D36">
        <v>103</v>
      </c>
      <c r="E36" s="3">
        <v>76</v>
      </c>
      <c r="F36" t="s">
        <v>12</v>
      </c>
      <c r="G36" t="s">
        <v>34</v>
      </c>
      <c r="H36" t="s">
        <v>16</v>
      </c>
      <c r="I36">
        <f>Table1[[#This Row],[Per unit]]*Table1[[#This Row],[Boxes Shipped]]</f>
        <v>7828</v>
      </c>
    </row>
    <row r="37" spans="1:9" x14ac:dyDescent="0.25">
      <c r="A37" s="2">
        <v>45820</v>
      </c>
      <c r="B37" t="s">
        <v>40</v>
      </c>
      <c r="C37" t="s">
        <v>10</v>
      </c>
      <c r="D37">
        <v>9</v>
      </c>
      <c r="E37" s="3">
        <v>39</v>
      </c>
      <c r="F37" t="s">
        <v>19</v>
      </c>
      <c r="G37" t="s">
        <v>19</v>
      </c>
      <c r="H37" t="s">
        <v>20</v>
      </c>
      <c r="I37">
        <f>Table1[[#This Row],[Per unit]]*Table1[[#This Row],[Boxes Shipped]]</f>
        <v>351</v>
      </c>
    </row>
    <row r="38" spans="1:9" x14ac:dyDescent="0.25">
      <c r="A38" s="2">
        <v>45984</v>
      </c>
      <c r="B38" t="s">
        <v>46</v>
      </c>
      <c r="C38" t="s">
        <v>17</v>
      </c>
      <c r="D38">
        <v>241</v>
      </c>
      <c r="E38" s="3">
        <v>100</v>
      </c>
      <c r="F38" t="s">
        <v>28</v>
      </c>
      <c r="G38" t="s">
        <v>11</v>
      </c>
      <c r="H38" t="s">
        <v>16</v>
      </c>
      <c r="I38">
        <f>Table1[[#This Row],[Per unit]]*Table1[[#This Row],[Boxes Shipped]]</f>
        <v>24100</v>
      </c>
    </row>
    <row r="39" spans="1:9" x14ac:dyDescent="0.25">
      <c r="A39" s="2">
        <v>45971</v>
      </c>
      <c r="B39" t="s">
        <v>38</v>
      </c>
      <c r="C39" t="s">
        <v>17</v>
      </c>
      <c r="D39">
        <v>214</v>
      </c>
      <c r="E39" s="3">
        <v>53</v>
      </c>
      <c r="F39" t="s">
        <v>22</v>
      </c>
      <c r="G39" t="s">
        <v>11</v>
      </c>
      <c r="H39" t="s">
        <v>29</v>
      </c>
      <c r="I39">
        <f>Table1[[#This Row],[Per unit]]*Table1[[#This Row],[Boxes Shipped]]</f>
        <v>11342</v>
      </c>
    </row>
    <row r="40" spans="1:9" x14ac:dyDescent="0.25">
      <c r="A40" s="2">
        <v>45688</v>
      </c>
      <c r="B40" t="s">
        <v>47</v>
      </c>
      <c r="C40" t="s">
        <v>17</v>
      </c>
      <c r="D40">
        <v>32</v>
      </c>
      <c r="E40" s="3">
        <v>21</v>
      </c>
      <c r="F40" t="s">
        <v>32</v>
      </c>
      <c r="G40" t="s">
        <v>19</v>
      </c>
      <c r="H40" t="s">
        <v>16</v>
      </c>
      <c r="I40">
        <f>Table1[[#This Row],[Per unit]]*Table1[[#This Row],[Boxes Shipped]]</f>
        <v>672</v>
      </c>
    </row>
    <row r="41" spans="1:9" x14ac:dyDescent="0.25">
      <c r="A41" s="2">
        <v>46013</v>
      </c>
      <c r="B41" t="s">
        <v>25</v>
      </c>
      <c r="C41" t="s">
        <v>21</v>
      </c>
      <c r="D41">
        <v>244</v>
      </c>
      <c r="E41" s="3">
        <v>43</v>
      </c>
      <c r="F41" t="s">
        <v>12</v>
      </c>
      <c r="G41" t="s">
        <v>15</v>
      </c>
      <c r="H41" t="s">
        <v>16</v>
      </c>
      <c r="I41">
        <f>Table1[[#This Row],[Per unit]]*Table1[[#This Row],[Boxes Shipped]]</f>
        <v>10492</v>
      </c>
    </row>
    <row r="42" spans="1:9" x14ac:dyDescent="0.25">
      <c r="A42" s="2">
        <v>45889</v>
      </c>
      <c r="B42" t="s">
        <v>36</v>
      </c>
      <c r="C42" t="s">
        <v>21</v>
      </c>
      <c r="D42">
        <v>181</v>
      </c>
      <c r="E42" s="3">
        <v>54</v>
      </c>
      <c r="F42" t="s">
        <v>34</v>
      </c>
      <c r="G42" t="s">
        <v>19</v>
      </c>
      <c r="H42" t="s">
        <v>20</v>
      </c>
      <c r="I42">
        <f>Table1[[#This Row],[Per unit]]*Table1[[#This Row],[Boxes Shipped]]</f>
        <v>9774</v>
      </c>
    </row>
    <row r="43" spans="1:9" x14ac:dyDescent="0.25">
      <c r="A43" s="2">
        <v>45727</v>
      </c>
      <c r="B43" t="s">
        <v>33</v>
      </c>
      <c r="C43" t="s">
        <v>17</v>
      </c>
      <c r="D43">
        <v>137</v>
      </c>
      <c r="E43" s="3">
        <v>55</v>
      </c>
      <c r="F43" t="s">
        <v>32</v>
      </c>
      <c r="G43" t="s">
        <v>22</v>
      </c>
      <c r="H43" t="s">
        <v>29</v>
      </c>
      <c r="I43">
        <f>Table1[[#This Row],[Per unit]]*Table1[[#This Row],[Boxes Shipped]]</f>
        <v>7535</v>
      </c>
    </row>
    <row r="44" spans="1:9" x14ac:dyDescent="0.25">
      <c r="A44" s="2">
        <v>46004</v>
      </c>
      <c r="B44" t="s">
        <v>42</v>
      </c>
      <c r="C44" t="s">
        <v>21</v>
      </c>
      <c r="D44">
        <v>21</v>
      </c>
      <c r="E44" s="3">
        <v>28</v>
      </c>
      <c r="F44" t="s">
        <v>32</v>
      </c>
      <c r="G44" t="s">
        <v>27</v>
      </c>
      <c r="H44" t="s">
        <v>29</v>
      </c>
      <c r="I44">
        <f>Table1[[#This Row],[Per unit]]*Table1[[#This Row],[Boxes Shipped]]</f>
        <v>588</v>
      </c>
    </row>
    <row r="45" spans="1:9" x14ac:dyDescent="0.25">
      <c r="A45" s="2">
        <v>45877</v>
      </c>
      <c r="B45" t="s">
        <v>39</v>
      </c>
      <c r="C45" t="s">
        <v>24</v>
      </c>
      <c r="D45">
        <v>311</v>
      </c>
      <c r="E45" s="3">
        <v>59</v>
      </c>
      <c r="F45" t="s">
        <v>26</v>
      </c>
      <c r="G45" t="s">
        <v>11</v>
      </c>
      <c r="H45" t="s">
        <v>29</v>
      </c>
      <c r="I45">
        <f>Table1[[#This Row],[Per unit]]*Table1[[#This Row],[Boxes Shipped]]</f>
        <v>18349</v>
      </c>
    </row>
    <row r="46" spans="1:9" x14ac:dyDescent="0.25">
      <c r="A46" s="2">
        <v>45772</v>
      </c>
      <c r="B46" t="s">
        <v>9</v>
      </c>
      <c r="C46" t="s">
        <v>10</v>
      </c>
      <c r="D46">
        <v>181</v>
      </c>
      <c r="E46" s="3">
        <v>20</v>
      </c>
      <c r="F46" t="s">
        <v>15</v>
      </c>
      <c r="G46" t="s">
        <v>32</v>
      </c>
      <c r="H46" t="s">
        <v>20</v>
      </c>
      <c r="I46">
        <f>Table1[[#This Row],[Per unit]]*Table1[[#This Row],[Boxes Shipped]]</f>
        <v>3620</v>
      </c>
    </row>
    <row r="47" spans="1:9" x14ac:dyDescent="0.25">
      <c r="A47" s="2">
        <v>45672</v>
      </c>
      <c r="B47" t="s">
        <v>35</v>
      </c>
      <c r="C47" t="s">
        <v>17</v>
      </c>
      <c r="D47">
        <v>10</v>
      </c>
      <c r="E47" s="3">
        <v>24</v>
      </c>
      <c r="F47" t="s">
        <v>34</v>
      </c>
      <c r="G47" t="s">
        <v>28</v>
      </c>
      <c r="H47" t="s">
        <v>20</v>
      </c>
      <c r="I47">
        <f>Table1[[#This Row],[Per unit]]*Table1[[#This Row],[Boxes Shipped]]</f>
        <v>240</v>
      </c>
    </row>
    <row r="48" spans="1:9" x14ac:dyDescent="0.25">
      <c r="A48" s="2">
        <v>45764</v>
      </c>
      <c r="B48" t="s">
        <v>37</v>
      </c>
      <c r="C48" t="s">
        <v>30</v>
      </c>
      <c r="D48">
        <v>108</v>
      </c>
      <c r="E48" s="3">
        <v>28</v>
      </c>
      <c r="F48" t="s">
        <v>27</v>
      </c>
      <c r="G48" t="s">
        <v>12</v>
      </c>
      <c r="H48" t="s">
        <v>29</v>
      </c>
      <c r="I48">
        <f>Table1[[#This Row],[Per unit]]*Table1[[#This Row],[Boxes Shipped]]</f>
        <v>3024</v>
      </c>
    </row>
    <row r="49" spans="1:9" x14ac:dyDescent="0.25">
      <c r="A49" s="2">
        <v>45880</v>
      </c>
      <c r="B49" t="s">
        <v>36</v>
      </c>
      <c r="C49" t="s">
        <v>21</v>
      </c>
      <c r="D49">
        <v>401</v>
      </c>
      <c r="E49" s="3">
        <v>73</v>
      </c>
      <c r="F49" t="s">
        <v>11</v>
      </c>
      <c r="G49" t="s">
        <v>26</v>
      </c>
      <c r="H49" t="s">
        <v>20</v>
      </c>
      <c r="I49">
        <f>Table1[[#This Row],[Per unit]]*Table1[[#This Row],[Boxes Shipped]]</f>
        <v>29273</v>
      </c>
    </row>
    <row r="50" spans="1:9" x14ac:dyDescent="0.25">
      <c r="A50" s="2">
        <v>45893</v>
      </c>
      <c r="B50" t="s">
        <v>25</v>
      </c>
      <c r="C50" t="s">
        <v>10</v>
      </c>
      <c r="D50">
        <v>408</v>
      </c>
      <c r="E50" s="3">
        <v>64</v>
      </c>
      <c r="F50" t="s">
        <v>32</v>
      </c>
      <c r="G50" t="s">
        <v>11</v>
      </c>
      <c r="H50" t="s">
        <v>20</v>
      </c>
      <c r="I50">
        <f>Table1[[#This Row],[Per unit]]*Table1[[#This Row],[Boxes Shipped]]</f>
        <v>26112</v>
      </c>
    </row>
    <row r="51" spans="1:9" x14ac:dyDescent="0.25">
      <c r="A51" s="2">
        <v>45903</v>
      </c>
      <c r="B51" t="s">
        <v>14</v>
      </c>
      <c r="C51" t="s">
        <v>17</v>
      </c>
      <c r="D51">
        <v>420</v>
      </c>
      <c r="E51" s="3">
        <v>54</v>
      </c>
      <c r="F51" t="s">
        <v>26</v>
      </c>
      <c r="G51" t="s">
        <v>19</v>
      </c>
      <c r="H51" t="s">
        <v>13</v>
      </c>
      <c r="I51">
        <f>Table1[[#This Row],[Per unit]]*Table1[[#This Row],[Boxes Shipped]]</f>
        <v>22680</v>
      </c>
    </row>
    <row r="52" spans="1:9" x14ac:dyDescent="0.25">
      <c r="A52" s="2">
        <v>45909</v>
      </c>
      <c r="B52" t="s">
        <v>44</v>
      </c>
      <c r="C52" t="s">
        <v>21</v>
      </c>
      <c r="D52">
        <v>348</v>
      </c>
      <c r="E52" s="3">
        <v>79</v>
      </c>
      <c r="F52" t="s">
        <v>34</v>
      </c>
      <c r="G52" t="s">
        <v>26</v>
      </c>
      <c r="H52" t="s">
        <v>16</v>
      </c>
      <c r="I52">
        <f>Table1[[#This Row],[Per unit]]*Table1[[#This Row],[Boxes Shipped]]</f>
        <v>27492</v>
      </c>
    </row>
    <row r="53" spans="1:9" x14ac:dyDescent="0.25">
      <c r="A53" s="2">
        <v>45754</v>
      </c>
      <c r="B53" t="s">
        <v>48</v>
      </c>
      <c r="C53" t="s">
        <v>17</v>
      </c>
      <c r="D53">
        <v>270</v>
      </c>
      <c r="E53" s="3">
        <v>37</v>
      </c>
      <c r="F53" t="s">
        <v>34</v>
      </c>
      <c r="G53" t="s">
        <v>34</v>
      </c>
      <c r="H53" t="s">
        <v>29</v>
      </c>
      <c r="I53">
        <f>Table1[[#This Row],[Per unit]]*Table1[[#This Row],[Boxes Shipped]]</f>
        <v>9990</v>
      </c>
    </row>
    <row r="54" spans="1:9" x14ac:dyDescent="0.25">
      <c r="A54" s="2">
        <v>45976</v>
      </c>
      <c r="B54" t="s">
        <v>42</v>
      </c>
      <c r="C54" t="s">
        <v>10</v>
      </c>
      <c r="D54">
        <v>9</v>
      </c>
      <c r="E54" s="3">
        <v>68</v>
      </c>
      <c r="F54" t="s">
        <v>28</v>
      </c>
      <c r="G54" t="s">
        <v>22</v>
      </c>
      <c r="H54" t="s">
        <v>29</v>
      </c>
      <c r="I54">
        <f>Table1[[#This Row],[Per unit]]*Table1[[#This Row],[Boxes Shipped]]</f>
        <v>612</v>
      </c>
    </row>
    <row r="55" spans="1:9" x14ac:dyDescent="0.25">
      <c r="A55" s="2">
        <v>45859</v>
      </c>
      <c r="B55" t="s">
        <v>38</v>
      </c>
      <c r="C55" t="s">
        <v>17</v>
      </c>
      <c r="D55">
        <v>111</v>
      </c>
      <c r="E55" s="3">
        <v>79</v>
      </c>
      <c r="F55" t="s">
        <v>28</v>
      </c>
      <c r="G55" t="s">
        <v>32</v>
      </c>
      <c r="H55" t="s">
        <v>13</v>
      </c>
      <c r="I55">
        <f>Table1[[#This Row],[Per unit]]*Table1[[#This Row],[Boxes Shipped]]</f>
        <v>8769</v>
      </c>
    </row>
    <row r="56" spans="1:9" x14ac:dyDescent="0.25">
      <c r="A56" s="2">
        <v>45776</v>
      </c>
      <c r="B56" t="s">
        <v>43</v>
      </c>
      <c r="C56" t="s">
        <v>30</v>
      </c>
      <c r="D56">
        <v>65</v>
      </c>
      <c r="E56" s="3">
        <v>83</v>
      </c>
      <c r="F56" t="s">
        <v>28</v>
      </c>
      <c r="G56" t="s">
        <v>34</v>
      </c>
      <c r="H56" t="s">
        <v>20</v>
      </c>
      <c r="I56">
        <f>Table1[[#This Row],[Per unit]]*Table1[[#This Row],[Boxes Shipped]]</f>
        <v>5395</v>
      </c>
    </row>
    <row r="57" spans="1:9" x14ac:dyDescent="0.25">
      <c r="A57" s="2">
        <v>45832</v>
      </c>
      <c r="B57" t="s">
        <v>36</v>
      </c>
      <c r="C57" t="s">
        <v>21</v>
      </c>
      <c r="D57">
        <v>97</v>
      </c>
      <c r="E57" s="3">
        <v>36</v>
      </c>
      <c r="F57" t="s">
        <v>34</v>
      </c>
      <c r="G57" t="s">
        <v>22</v>
      </c>
      <c r="H57" t="s">
        <v>29</v>
      </c>
      <c r="I57">
        <f>Table1[[#This Row],[Per unit]]*Table1[[#This Row],[Boxes Shipped]]</f>
        <v>3492</v>
      </c>
    </row>
    <row r="58" spans="1:9" x14ac:dyDescent="0.25">
      <c r="A58" s="2">
        <v>45812</v>
      </c>
      <c r="B58" t="s">
        <v>48</v>
      </c>
      <c r="C58" t="s">
        <v>24</v>
      </c>
      <c r="D58">
        <v>6</v>
      </c>
      <c r="E58" s="3">
        <v>94</v>
      </c>
      <c r="F58" t="s">
        <v>12</v>
      </c>
      <c r="G58" t="s">
        <v>11</v>
      </c>
      <c r="H58" t="s">
        <v>13</v>
      </c>
      <c r="I58">
        <f>Table1[[#This Row],[Per unit]]*Table1[[#This Row],[Boxes Shipped]]</f>
        <v>564</v>
      </c>
    </row>
    <row r="59" spans="1:9" x14ac:dyDescent="0.25">
      <c r="A59" s="2">
        <v>45959</v>
      </c>
      <c r="B59" t="s">
        <v>39</v>
      </c>
      <c r="C59" t="s">
        <v>10</v>
      </c>
      <c r="D59">
        <v>482</v>
      </c>
      <c r="E59" s="3">
        <v>33</v>
      </c>
      <c r="F59" t="s">
        <v>19</v>
      </c>
      <c r="G59" t="s">
        <v>12</v>
      </c>
      <c r="H59" t="s">
        <v>29</v>
      </c>
      <c r="I59">
        <f>Table1[[#This Row],[Per unit]]*Table1[[#This Row],[Boxes Shipped]]</f>
        <v>15906</v>
      </c>
    </row>
    <row r="60" spans="1:9" x14ac:dyDescent="0.25">
      <c r="A60" s="2">
        <v>45933</v>
      </c>
      <c r="B60" t="s">
        <v>43</v>
      </c>
      <c r="C60" t="s">
        <v>10</v>
      </c>
      <c r="D60">
        <v>106</v>
      </c>
      <c r="E60" s="3">
        <v>46</v>
      </c>
      <c r="F60" t="s">
        <v>19</v>
      </c>
      <c r="G60" t="s">
        <v>34</v>
      </c>
      <c r="H60" t="s">
        <v>20</v>
      </c>
      <c r="I60">
        <f>Table1[[#This Row],[Per unit]]*Table1[[#This Row],[Boxes Shipped]]</f>
        <v>4876</v>
      </c>
    </row>
    <row r="61" spans="1:9" x14ac:dyDescent="0.25">
      <c r="A61" s="2">
        <v>45681</v>
      </c>
      <c r="B61" t="s">
        <v>35</v>
      </c>
      <c r="C61" t="s">
        <v>30</v>
      </c>
      <c r="D61">
        <v>180</v>
      </c>
      <c r="E61" s="3">
        <v>70</v>
      </c>
      <c r="F61" t="s">
        <v>26</v>
      </c>
      <c r="G61" t="s">
        <v>19</v>
      </c>
      <c r="H61" t="s">
        <v>29</v>
      </c>
      <c r="I61">
        <f>Table1[[#This Row],[Per unit]]*Table1[[#This Row],[Boxes Shipped]]</f>
        <v>12600</v>
      </c>
    </row>
    <row r="62" spans="1:9" x14ac:dyDescent="0.25">
      <c r="A62" s="2">
        <v>45701</v>
      </c>
      <c r="B62" t="s">
        <v>42</v>
      </c>
      <c r="C62" t="s">
        <v>24</v>
      </c>
      <c r="D62">
        <v>31</v>
      </c>
      <c r="E62" s="3">
        <v>29</v>
      </c>
      <c r="F62" t="s">
        <v>22</v>
      </c>
      <c r="G62" t="s">
        <v>32</v>
      </c>
      <c r="H62" t="s">
        <v>29</v>
      </c>
      <c r="I62">
        <f>Table1[[#This Row],[Per unit]]*Table1[[#This Row],[Boxes Shipped]]</f>
        <v>899</v>
      </c>
    </row>
    <row r="63" spans="1:9" x14ac:dyDescent="0.25">
      <c r="A63" s="2">
        <v>45788</v>
      </c>
      <c r="B63" t="s">
        <v>39</v>
      </c>
      <c r="C63" t="s">
        <v>21</v>
      </c>
      <c r="D63">
        <v>359</v>
      </c>
      <c r="E63" s="3">
        <v>48</v>
      </c>
      <c r="F63" t="s">
        <v>12</v>
      </c>
      <c r="G63" t="s">
        <v>34</v>
      </c>
      <c r="H63" t="s">
        <v>16</v>
      </c>
      <c r="I63">
        <f>Table1[[#This Row],[Per unit]]*Table1[[#This Row],[Boxes Shipped]]</f>
        <v>17232</v>
      </c>
    </row>
    <row r="64" spans="1:9" x14ac:dyDescent="0.25">
      <c r="A64" s="2">
        <v>45696</v>
      </c>
      <c r="B64" t="s">
        <v>48</v>
      </c>
      <c r="C64" t="s">
        <v>30</v>
      </c>
      <c r="D64">
        <v>80</v>
      </c>
      <c r="E64" s="3">
        <v>26</v>
      </c>
      <c r="F64" t="s">
        <v>26</v>
      </c>
      <c r="G64" t="s">
        <v>11</v>
      </c>
      <c r="H64" t="s">
        <v>16</v>
      </c>
      <c r="I64">
        <f>Table1[[#This Row],[Per unit]]*Table1[[#This Row],[Boxes Shipped]]</f>
        <v>2080</v>
      </c>
    </row>
    <row r="65" spans="1:9" x14ac:dyDescent="0.25">
      <c r="A65" s="2">
        <v>45685</v>
      </c>
      <c r="B65" t="s">
        <v>33</v>
      </c>
      <c r="C65" t="s">
        <v>17</v>
      </c>
      <c r="D65">
        <v>296</v>
      </c>
      <c r="E65" s="3">
        <v>85</v>
      </c>
      <c r="F65" t="s">
        <v>22</v>
      </c>
      <c r="G65" t="s">
        <v>28</v>
      </c>
      <c r="H65" t="s">
        <v>29</v>
      </c>
      <c r="I65">
        <f>Table1[[#This Row],[Per unit]]*Table1[[#This Row],[Boxes Shipped]]</f>
        <v>25160</v>
      </c>
    </row>
    <row r="66" spans="1:9" x14ac:dyDescent="0.25">
      <c r="A66" s="2">
        <v>45799</v>
      </c>
      <c r="B66" t="s">
        <v>25</v>
      </c>
      <c r="C66" t="s">
        <v>21</v>
      </c>
      <c r="D66">
        <v>101</v>
      </c>
      <c r="E66" s="3">
        <v>58</v>
      </c>
      <c r="F66" t="s">
        <v>22</v>
      </c>
      <c r="G66" t="s">
        <v>22</v>
      </c>
      <c r="H66" t="s">
        <v>13</v>
      </c>
      <c r="I66">
        <f>Table1[[#This Row],[Per unit]]*Table1[[#This Row],[Boxes Shipped]]</f>
        <v>5858</v>
      </c>
    </row>
    <row r="67" spans="1:9" x14ac:dyDescent="0.25">
      <c r="A67" s="2">
        <v>45909</v>
      </c>
      <c r="B67" t="s">
        <v>37</v>
      </c>
      <c r="C67" t="s">
        <v>17</v>
      </c>
      <c r="D67">
        <v>40</v>
      </c>
      <c r="E67" s="3">
        <v>85</v>
      </c>
      <c r="F67" t="s">
        <v>12</v>
      </c>
      <c r="G67" t="s">
        <v>19</v>
      </c>
      <c r="H67" t="s">
        <v>29</v>
      </c>
      <c r="I67">
        <f>Table1[[#This Row],[Per unit]]*Table1[[#This Row],[Boxes Shipped]]</f>
        <v>3400</v>
      </c>
    </row>
    <row r="68" spans="1:9" x14ac:dyDescent="0.25">
      <c r="A68" s="2">
        <v>45916</v>
      </c>
      <c r="B68" t="s">
        <v>25</v>
      </c>
      <c r="C68" t="s">
        <v>17</v>
      </c>
      <c r="D68">
        <v>42</v>
      </c>
      <c r="E68" s="3">
        <v>43</v>
      </c>
      <c r="F68" t="s">
        <v>34</v>
      </c>
      <c r="G68" t="s">
        <v>28</v>
      </c>
      <c r="H68" t="s">
        <v>29</v>
      </c>
      <c r="I68">
        <f>Table1[[#This Row],[Per unit]]*Table1[[#This Row],[Boxes Shipped]]</f>
        <v>1806</v>
      </c>
    </row>
    <row r="69" spans="1:9" x14ac:dyDescent="0.25">
      <c r="A69" s="2">
        <v>45718</v>
      </c>
      <c r="B69" t="s">
        <v>40</v>
      </c>
      <c r="C69" t="s">
        <v>30</v>
      </c>
      <c r="D69">
        <v>167</v>
      </c>
      <c r="E69" s="3">
        <v>53</v>
      </c>
      <c r="F69" t="s">
        <v>26</v>
      </c>
      <c r="G69" t="s">
        <v>15</v>
      </c>
      <c r="H69" t="s">
        <v>16</v>
      </c>
      <c r="I69">
        <f>Table1[[#This Row],[Per unit]]*Table1[[#This Row],[Boxes Shipped]]</f>
        <v>8851</v>
      </c>
    </row>
    <row r="70" spans="1:9" x14ac:dyDescent="0.25">
      <c r="A70" s="2">
        <v>45785</v>
      </c>
      <c r="B70" t="s">
        <v>36</v>
      </c>
      <c r="C70" t="s">
        <v>30</v>
      </c>
      <c r="D70">
        <v>138</v>
      </c>
      <c r="E70" s="3">
        <v>91</v>
      </c>
      <c r="F70" t="s">
        <v>22</v>
      </c>
      <c r="G70" t="s">
        <v>15</v>
      </c>
      <c r="H70" t="s">
        <v>13</v>
      </c>
      <c r="I70">
        <f>Table1[[#This Row],[Per unit]]*Table1[[#This Row],[Boxes Shipped]]</f>
        <v>12558</v>
      </c>
    </row>
    <row r="71" spans="1:9" x14ac:dyDescent="0.25">
      <c r="A71" s="2">
        <v>45859</v>
      </c>
      <c r="B71" t="s">
        <v>38</v>
      </c>
      <c r="C71" t="s">
        <v>30</v>
      </c>
      <c r="D71">
        <v>313</v>
      </c>
      <c r="E71" s="3">
        <v>85</v>
      </c>
      <c r="F71" t="s">
        <v>12</v>
      </c>
      <c r="G71" t="s">
        <v>28</v>
      </c>
      <c r="H71" t="s">
        <v>23</v>
      </c>
      <c r="I71">
        <f>Table1[[#This Row],[Per unit]]*Table1[[#This Row],[Boxes Shipped]]</f>
        <v>26605</v>
      </c>
    </row>
    <row r="72" spans="1:9" x14ac:dyDescent="0.25">
      <c r="A72" s="2">
        <v>45774</v>
      </c>
      <c r="B72" t="s">
        <v>25</v>
      </c>
      <c r="C72" t="s">
        <v>24</v>
      </c>
      <c r="D72">
        <v>94</v>
      </c>
      <c r="E72" s="3">
        <v>72</v>
      </c>
      <c r="F72" t="s">
        <v>22</v>
      </c>
      <c r="G72" t="s">
        <v>12</v>
      </c>
      <c r="H72" t="s">
        <v>20</v>
      </c>
      <c r="I72">
        <f>Table1[[#This Row],[Per unit]]*Table1[[#This Row],[Boxes Shipped]]</f>
        <v>6768</v>
      </c>
    </row>
    <row r="73" spans="1:9" x14ac:dyDescent="0.25">
      <c r="A73" s="2">
        <v>45931</v>
      </c>
      <c r="B73" t="s">
        <v>31</v>
      </c>
      <c r="C73" t="s">
        <v>30</v>
      </c>
      <c r="D73">
        <v>175</v>
      </c>
      <c r="E73" s="3">
        <v>96</v>
      </c>
      <c r="F73" t="s">
        <v>28</v>
      </c>
      <c r="G73" t="s">
        <v>15</v>
      </c>
      <c r="H73" t="s">
        <v>13</v>
      </c>
      <c r="I73">
        <f>Table1[[#This Row],[Per unit]]*Table1[[#This Row],[Boxes Shipped]]</f>
        <v>16800</v>
      </c>
    </row>
    <row r="74" spans="1:9" x14ac:dyDescent="0.25">
      <c r="A74" s="2">
        <v>45884</v>
      </c>
      <c r="B74" t="s">
        <v>39</v>
      </c>
      <c r="C74" t="s">
        <v>30</v>
      </c>
      <c r="D74">
        <v>92</v>
      </c>
      <c r="E74" s="3">
        <v>28</v>
      </c>
      <c r="F74" t="s">
        <v>34</v>
      </c>
      <c r="G74" t="s">
        <v>15</v>
      </c>
      <c r="H74" t="s">
        <v>29</v>
      </c>
      <c r="I74">
        <f>Table1[[#This Row],[Per unit]]*Table1[[#This Row],[Boxes Shipped]]</f>
        <v>2576</v>
      </c>
    </row>
    <row r="75" spans="1:9" x14ac:dyDescent="0.25">
      <c r="A75" s="2">
        <v>45979</v>
      </c>
      <c r="B75" t="s">
        <v>37</v>
      </c>
      <c r="C75" t="s">
        <v>24</v>
      </c>
      <c r="D75">
        <v>141</v>
      </c>
      <c r="E75" s="3">
        <v>40</v>
      </c>
      <c r="F75" t="s">
        <v>28</v>
      </c>
      <c r="G75" t="s">
        <v>19</v>
      </c>
      <c r="H75" t="s">
        <v>13</v>
      </c>
      <c r="I75">
        <f>Table1[[#This Row],[Per unit]]*Table1[[#This Row],[Boxes Shipped]]</f>
        <v>5640</v>
      </c>
    </row>
    <row r="76" spans="1:9" x14ac:dyDescent="0.25">
      <c r="A76" s="2">
        <v>45822</v>
      </c>
      <c r="B76" t="s">
        <v>41</v>
      </c>
      <c r="C76" t="s">
        <v>17</v>
      </c>
      <c r="D76">
        <v>283</v>
      </c>
      <c r="E76" s="3">
        <v>32</v>
      </c>
      <c r="F76" t="s">
        <v>34</v>
      </c>
      <c r="G76" t="s">
        <v>34</v>
      </c>
      <c r="H76" t="s">
        <v>16</v>
      </c>
      <c r="I76">
        <f>Table1[[#This Row],[Per unit]]*Table1[[#This Row],[Boxes Shipped]]</f>
        <v>9056</v>
      </c>
    </row>
    <row r="77" spans="1:9" x14ac:dyDescent="0.25">
      <c r="A77" s="2">
        <v>45659</v>
      </c>
      <c r="B77" t="s">
        <v>39</v>
      </c>
      <c r="C77" t="s">
        <v>30</v>
      </c>
      <c r="D77">
        <v>21</v>
      </c>
      <c r="E77" s="3">
        <v>95</v>
      </c>
      <c r="F77" t="s">
        <v>22</v>
      </c>
      <c r="G77" t="s">
        <v>19</v>
      </c>
      <c r="H77" t="s">
        <v>16</v>
      </c>
      <c r="I77">
        <f>Table1[[#This Row],[Per unit]]*Table1[[#This Row],[Boxes Shipped]]</f>
        <v>1995</v>
      </c>
    </row>
    <row r="78" spans="1:9" x14ac:dyDescent="0.25">
      <c r="A78" s="2">
        <v>45754</v>
      </c>
      <c r="B78" t="s">
        <v>49</v>
      </c>
      <c r="C78" t="s">
        <v>21</v>
      </c>
      <c r="D78">
        <v>47</v>
      </c>
      <c r="E78" s="3">
        <v>41</v>
      </c>
      <c r="F78" t="s">
        <v>34</v>
      </c>
      <c r="G78" t="s">
        <v>32</v>
      </c>
      <c r="H78" t="s">
        <v>20</v>
      </c>
      <c r="I78">
        <f>Table1[[#This Row],[Per unit]]*Table1[[#This Row],[Boxes Shipped]]</f>
        <v>1927</v>
      </c>
    </row>
    <row r="79" spans="1:9" x14ac:dyDescent="0.25">
      <c r="A79" s="2">
        <v>46012</v>
      </c>
      <c r="B79" t="s">
        <v>25</v>
      </c>
      <c r="C79" t="s">
        <v>30</v>
      </c>
      <c r="D79">
        <v>336</v>
      </c>
      <c r="E79" s="3">
        <v>76</v>
      </c>
      <c r="F79" t="s">
        <v>12</v>
      </c>
      <c r="G79" t="s">
        <v>22</v>
      </c>
      <c r="H79" t="s">
        <v>23</v>
      </c>
      <c r="I79">
        <f>Table1[[#This Row],[Per unit]]*Table1[[#This Row],[Boxes Shipped]]</f>
        <v>25536</v>
      </c>
    </row>
    <row r="80" spans="1:9" x14ac:dyDescent="0.25">
      <c r="A80" s="2">
        <v>45925</v>
      </c>
      <c r="B80" t="s">
        <v>41</v>
      </c>
      <c r="C80" t="s">
        <v>30</v>
      </c>
      <c r="D80">
        <v>396</v>
      </c>
      <c r="E80" s="3">
        <v>47</v>
      </c>
      <c r="F80" t="s">
        <v>28</v>
      </c>
      <c r="G80" t="s">
        <v>26</v>
      </c>
      <c r="H80" t="s">
        <v>13</v>
      </c>
      <c r="I80">
        <f>Table1[[#This Row],[Per unit]]*Table1[[#This Row],[Boxes Shipped]]</f>
        <v>18612</v>
      </c>
    </row>
    <row r="81" spans="1:9" x14ac:dyDescent="0.25">
      <c r="A81" s="2">
        <v>45694</v>
      </c>
      <c r="B81" t="s">
        <v>50</v>
      </c>
      <c r="C81" t="s">
        <v>21</v>
      </c>
      <c r="D81">
        <v>87</v>
      </c>
      <c r="E81" s="3">
        <v>83</v>
      </c>
      <c r="F81" t="s">
        <v>26</v>
      </c>
      <c r="G81" t="s">
        <v>22</v>
      </c>
      <c r="H81" t="s">
        <v>13</v>
      </c>
      <c r="I81">
        <f>Table1[[#This Row],[Per unit]]*Table1[[#This Row],[Boxes Shipped]]</f>
        <v>7221</v>
      </c>
    </row>
    <row r="82" spans="1:9" x14ac:dyDescent="0.25">
      <c r="A82" s="2">
        <v>46007</v>
      </c>
      <c r="B82" t="s">
        <v>25</v>
      </c>
      <c r="C82" t="s">
        <v>24</v>
      </c>
      <c r="D82">
        <v>27</v>
      </c>
      <c r="E82" s="3">
        <v>48</v>
      </c>
      <c r="F82" t="s">
        <v>15</v>
      </c>
      <c r="G82" t="s">
        <v>19</v>
      </c>
      <c r="H82" t="s">
        <v>20</v>
      </c>
      <c r="I82">
        <f>Table1[[#This Row],[Per unit]]*Table1[[#This Row],[Boxes Shipped]]</f>
        <v>1296</v>
      </c>
    </row>
    <row r="83" spans="1:9" x14ac:dyDescent="0.25">
      <c r="A83" s="2">
        <v>45886</v>
      </c>
      <c r="B83" t="s">
        <v>48</v>
      </c>
      <c r="C83" t="s">
        <v>10</v>
      </c>
      <c r="D83">
        <v>547</v>
      </c>
      <c r="E83" s="3">
        <v>99</v>
      </c>
      <c r="F83" t="s">
        <v>19</v>
      </c>
      <c r="G83" t="s">
        <v>15</v>
      </c>
      <c r="H83" t="s">
        <v>16</v>
      </c>
      <c r="I83">
        <f>Table1[[#This Row],[Per unit]]*Table1[[#This Row],[Boxes Shipped]]</f>
        <v>54153</v>
      </c>
    </row>
    <row r="84" spans="1:9" x14ac:dyDescent="0.25">
      <c r="A84" s="2">
        <v>45963</v>
      </c>
      <c r="B84" t="s">
        <v>40</v>
      </c>
      <c r="C84" t="s">
        <v>17</v>
      </c>
      <c r="D84">
        <v>392</v>
      </c>
      <c r="E84" s="3">
        <v>65</v>
      </c>
      <c r="F84" t="s">
        <v>19</v>
      </c>
      <c r="G84" t="s">
        <v>19</v>
      </c>
      <c r="H84" t="s">
        <v>23</v>
      </c>
      <c r="I84">
        <f>Table1[[#This Row],[Per unit]]*Table1[[#This Row],[Boxes Shipped]]</f>
        <v>25480</v>
      </c>
    </row>
    <row r="85" spans="1:9" x14ac:dyDescent="0.25">
      <c r="A85" s="2">
        <v>45909</v>
      </c>
      <c r="B85" t="s">
        <v>43</v>
      </c>
      <c r="C85" t="s">
        <v>17</v>
      </c>
      <c r="D85">
        <v>308</v>
      </c>
      <c r="E85" s="3">
        <v>80</v>
      </c>
      <c r="F85" t="s">
        <v>19</v>
      </c>
      <c r="G85" t="s">
        <v>22</v>
      </c>
      <c r="H85" t="s">
        <v>23</v>
      </c>
      <c r="I85">
        <f>Table1[[#This Row],[Per unit]]*Table1[[#This Row],[Boxes Shipped]]</f>
        <v>24640</v>
      </c>
    </row>
    <row r="86" spans="1:9" x14ac:dyDescent="0.25">
      <c r="A86" s="2">
        <v>45712</v>
      </c>
      <c r="B86" t="s">
        <v>48</v>
      </c>
      <c r="C86" t="s">
        <v>10</v>
      </c>
      <c r="D86">
        <v>57</v>
      </c>
      <c r="E86" s="3">
        <v>76</v>
      </c>
      <c r="F86" t="s">
        <v>11</v>
      </c>
      <c r="G86" t="s">
        <v>12</v>
      </c>
      <c r="H86" t="s">
        <v>13</v>
      </c>
      <c r="I86">
        <f>Table1[[#This Row],[Per unit]]*Table1[[#This Row],[Boxes Shipped]]</f>
        <v>4332</v>
      </c>
    </row>
    <row r="87" spans="1:9" x14ac:dyDescent="0.25">
      <c r="A87" s="2">
        <v>45799</v>
      </c>
      <c r="B87" t="s">
        <v>40</v>
      </c>
      <c r="C87" t="s">
        <v>24</v>
      </c>
      <c r="D87">
        <v>22</v>
      </c>
      <c r="E87" s="3">
        <v>100</v>
      </c>
      <c r="F87" t="s">
        <v>19</v>
      </c>
      <c r="G87" t="s">
        <v>12</v>
      </c>
      <c r="H87" t="s">
        <v>16</v>
      </c>
      <c r="I87">
        <f>Table1[[#This Row],[Per unit]]*Table1[[#This Row],[Boxes Shipped]]</f>
        <v>2200</v>
      </c>
    </row>
    <row r="88" spans="1:9" x14ac:dyDescent="0.25">
      <c r="A88" s="2">
        <v>45706</v>
      </c>
      <c r="B88" t="s">
        <v>40</v>
      </c>
      <c r="C88" t="s">
        <v>21</v>
      </c>
      <c r="D88">
        <v>96</v>
      </c>
      <c r="E88" s="3">
        <v>73</v>
      </c>
      <c r="F88" t="s">
        <v>26</v>
      </c>
      <c r="G88" t="s">
        <v>32</v>
      </c>
      <c r="H88" t="s">
        <v>29</v>
      </c>
      <c r="I88">
        <f>Table1[[#This Row],[Per unit]]*Table1[[#This Row],[Boxes Shipped]]</f>
        <v>7008</v>
      </c>
    </row>
    <row r="89" spans="1:9" x14ac:dyDescent="0.25">
      <c r="A89" s="2">
        <v>45761</v>
      </c>
      <c r="B89" t="s">
        <v>44</v>
      </c>
      <c r="C89" t="s">
        <v>30</v>
      </c>
      <c r="D89">
        <v>539</v>
      </c>
      <c r="E89" s="3">
        <v>45</v>
      </c>
      <c r="F89" t="s">
        <v>26</v>
      </c>
      <c r="G89" t="s">
        <v>27</v>
      </c>
      <c r="H89" t="s">
        <v>23</v>
      </c>
      <c r="I89">
        <f>Table1[[#This Row],[Per unit]]*Table1[[#This Row],[Boxes Shipped]]</f>
        <v>24255</v>
      </c>
    </row>
    <row r="90" spans="1:9" x14ac:dyDescent="0.25">
      <c r="A90" s="2">
        <v>45838</v>
      </c>
      <c r="B90" t="s">
        <v>37</v>
      </c>
      <c r="C90" t="s">
        <v>30</v>
      </c>
      <c r="D90">
        <v>317</v>
      </c>
      <c r="E90" s="3">
        <v>74</v>
      </c>
      <c r="F90" t="s">
        <v>15</v>
      </c>
      <c r="G90" t="s">
        <v>12</v>
      </c>
      <c r="H90" t="s">
        <v>23</v>
      </c>
      <c r="I90">
        <f>Table1[[#This Row],[Per unit]]*Table1[[#This Row],[Boxes Shipped]]</f>
        <v>23458</v>
      </c>
    </row>
    <row r="91" spans="1:9" x14ac:dyDescent="0.25">
      <c r="A91" s="2">
        <v>45699</v>
      </c>
      <c r="B91" t="s">
        <v>47</v>
      </c>
      <c r="C91" t="s">
        <v>21</v>
      </c>
      <c r="D91">
        <v>387</v>
      </c>
      <c r="E91" s="3">
        <v>40</v>
      </c>
      <c r="F91" t="s">
        <v>19</v>
      </c>
      <c r="G91" t="s">
        <v>15</v>
      </c>
      <c r="H91" t="s">
        <v>13</v>
      </c>
      <c r="I91">
        <f>Table1[[#This Row],[Per unit]]*Table1[[#This Row],[Boxes Shipped]]</f>
        <v>15480</v>
      </c>
    </row>
    <row r="92" spans="1:9" x14ac:dyDescent="0.25">
      <c r="A92" s="2">
        <v>45684</v>
      </c>
      <c r="B92" t="s">
        <v>33</v>
      </c>
      <c r="C92" t="s">
        <v>24</v>
      </c>
      <c r="D92">
        <v>50</v>
      </c>
      <c r="E92" s="3">
        <v>98</v>
      </c>
      <c r="F92" t="s">
        <v>19</v>
      </c>
      <c r="G92" t="s">
        <v>27</v>
      </c>
      <c r="H92" t="s">
        <v>20</v>
      </c>
      <c r="I92">
        <f>Table1[[#This Row],[Per unit]]*Table1[[#This Row],[Boxes Shipped]]</f>
        <v>4900</v>
      </c>
    </row>
    <row r="93" spans="1:9" x14ac:dyDescent="0.25">
      <c r="A93" s="2">
        <v>46015</v>
      </c>
      <c r="B93" t="s">
        <v>50</v>
      </c>
      <c r="C93" t="s">
        <v>30</v>
      </c>
      <c r="D93">
        <v>264</v>
      </c>
      <c r="E93" s="3">
        <v>85</v>
      </c>
      <c r="F93" t="s">
        <v>12</v>
      </c>
      <c r="G93" t="s">
        <v>28</v>
      </c>
      <c r="H93" t="s">
        <v>29</v>
      </c>
      <c r="I93">
        <f>Table1[[#This Row],[Per unit]]*Table1[[#This Row],[Boxes Shipped]]</f>
        <v>22440</v>
      </c>
    </row>
    <row r="94" spans="1:9" x14ac:dyDescent="0.25">
      <c r="A94" s="2">
        <v>46005</v>
      </c>
      <c r="B94" t="s">
        <v>47</v>
      </c>
      <c r="C94" t="s">
        <v>17</v>
      </c>
      <c r="D94">
        <v>90</v>
      </c>
      <c r="E94" s="3">
        <v>89</v>
      </c>
      <c r="F94" t="s">
        <v>26</v>
      </c>
      <c r="G94" t="s">
        <v>11</v>
      </c>
      <c r="H94" t="s">
        <v>29</v>
      </c>
      <c r="I94">
        <f>Table1[[#This Row],[Per unit]]*Table1[[#This Row],[Boxes Shipped]]</f>
        <v>8010</v>
      </c>
    </row>
    <row r="95" spans="1:9" x14ac:dyDescent="0.25">
      <c r="A95" s="2">
        <v>46007</v>
      </c>
      <c r="B95" t="s">
        <v>33</v>
      </c>
      <c r="C95" t="s">
        <v>17</v>
      </c>
      <c r="D95">
        <v>403</v>
      </c>
      <c r="E95" s="3">
        <v>24</v>
      </c>
      <c r="F95" t="s">
        <v>12</v>
      </c>
      <c r="G95" t="s">
        <v>15</v>
      </c>
      <c r="H95" t="s">
        <v>16</v>
      </c>
      <c r="I95">
        <f>Table1[[#This Row],[Per unit]]*Table1[[#This Row],[Boxes Shipped]]</f>
        <v>9672</v>
      </c>
    </row>
    <row r="96" spans="1:9" x14ac:dyDescent="0.25">
      <c r="A96" s="2">
        <v>45890</v>
      </c>
      <c r="B96" t="s">
        <v>38</v>
      </c>
      <c r="C96" t="s">
        <v>17</v>
      </c>
      <c r="D96">
        <v>174</v>
      </c>
      <c r="E96" s="3">
        <v>96</v>
      </c>
      <c r="F96" t="s">
        <v>28</v>
      </c>
      <c r="G96" t="s">
        <v>27</v>
      </c>
      <c r="H96" t="s">
        <v>20</v>
      </c>
      <c r="I96">
        <f>Table1[[#This Row],[Per unit]]*Table1[[#This Row],[Boxes Shipped]]</f>
        <v>16704</v>
      </c>
    </row>
    <row r="97" spans="1:9" x14ac:dyDescent="0.25">
      <c r="A97" s="2">
        <v>45786</v>
      </c>
      <c r="B97" t="s">
        <v>48</v>
      </c>
      <c r="C97" t="s">
        <v>17</v>
      </c>
      <c r="D97">
        <v>27</v>
      </c>
      <c r="E97" s="3">
        <v>67</v>
      </c>
      <c r="F97" t="s">
        <v>15</v>
      </c>
      <c r="G97" t="s">
        <v>34</v>
      </c>
      <c r="H97" t="s">
        <v>29</v>
      </c>
      <c r="I97">
        <f>Table1[[#This Row],[Per unit]]*Table1[[#This Row],[Boxes Shipped]]</f>
        <v>1809</v>
      </c>
    </row>
    <row r="98" spans="1:9" x14ac:dyDescent="0.25">
      <c r="A98" s="2">
        <v>45799</v>
      </c>
      <c r="B98" t="s">
        <v>31</v>
      </c>
      <c r="C98" t="s">
        <v>30</v>
      </c>
      <c r="D98">
        <v>110</v>
      </c>
      <c r="E98" s="3">
        <v>79</v>
      </c>
      <c r="F98" t="s">
        <v>27</v>
      </c>
      <c r="G98" t="s">
        <v>32</v>
      </c>
      <c r="H98" t="s">
        <v>20</v>
      </c>
      <c r="I98">
        <f>Table1[[#This Row],[Per unit]]*Table1[[#This Row],[Boxes Shipped]]</f>
        <v>8690</v>
      </c>
    </row>
    <row r="99" spans="1:9" x14ac:dyDescent="0.25">
      <c r="A99" s="2">
        <v>45958</v>
      </c>
      <c r="B99" t="s">
        <v>35</v>
      </c>
      <c r="C99" t="s">
        <v>24</v>
      </c>
      <c r="D99">
        <v>30</v>
      </c>
      <c r="E99" s="3">
        <v>85</v>
      </c>
      <c r="F99" t="s">
        <v>28</v>
      </c>
      <c r="G99" t="s">
        <v>19</v>
      </c>
      <c r="H99" t="s">
        <v>20</v>
      </c>
      <c r="I99">
        <f>Table1[[#This Row],[Per unit]]*Table1[[#This Row],[Boxes Shipped]]</f>
        <v>2550</v>
      </c>
    </row>
    <row r="100" spans="1:9" x14ac:dyDescent="0.25">
      <c r="A100" s="2">
        <v>45890</v>
      </c>
      <c r="B100" t="s">
        <v>39</v>
      </c>
      <c r="C100" t="s">
        <v>24</v>
      </c>
      <c r="D100">
        <v>121</v>
      </c>
      <c r="E100" s="3">
        <v>26</v>
      </c>
      <c r="F100" t="s">
        <v>27</v>
      </c>
      <c r="G100" t="s">
        <v>27</v>
      </c>
      <c r="H100" t="s">
        <v>13</v>
      </c>
      <c r="I100">
        <f>Table1[[#This Row],[Per unit]]*Table1[[#This Row],[Boxes Shipped]]</f>
        <v>3146</v>
      </c>
    </row>
    <row r="101" spans="1:9" x14ac:dyDescent="0.25">
      <c r="A101" s="2">
        <v>45907</v>
      </c>
      <c r="B101" t="s">
        <v>42</v>
      </c>
      <c r="C101" t="s">
        <v>21</v>
      </c>
      <c r="D101">
        <v>101</v>
      </c>
      <c r="E101" s="3">
        <v>75</v>
      </c>
      <c r="F101" t="s">
        <v>26</v>
      </c>
      <c r="G101" t="s">
        <v>27</v>
      </c>
      <c r="H101" t="s">
        <v>20</v>
      </c>
      <c r="I101">
        <f>Table1[[#This Row],[Per unit]]*Table1[[#This Row],[Boxes Shipped]]</f>
        <v>7575</v>
      </c>
    </row>
    <row r="102" spans="1:9" x14ac:dyDescent="0.25">
      <c r="A102" s="2">
        <v>45832</v>
      </c>
      <c r="B102" t="s">
        <v>14</v>
      </c>
      <c r="C102" t="s">
        <v>10</v>
      </c>
      <c r="D102">
        <v>117</v>
      </c>
      <c r="E102" s="3">
        <v>65</v>
      </c>
      <c r="F102" t="s">
        <v>27</v>
      </c>
      <c r="G102" t="s">
        <v>27</v>
      </c>
      <c r="H102" t="s">
        <v>13</v>
      </c>
      <c r="I102">
        <f>Table1[[#This Row],[Per unit]]*Table1[[#This Row],[Boxes Shipped]]</f>
        <v>7605</v>
      </c>
    </row>
    <row r="103" spans="1:9" x14ac:dyDescent="0.25">
      <c r="A103" s="2">
        <v>45806</v>
      </c>
      <c r="B103" t="s">
        <v>50</v>
      </c>
      <c r="C103" t="s">
        <v>21</v>
      </c>
      <c r="D103">
        <v>272</v>
      </c>
      <c r="E103" s="3">
        <v>54</v>
      </c>
      <c r="F103" t="s">
        <v>15</v>
      </c>
      <c r="G103" t="s">
        <v>19</v>
      </c>
      <c r="H103" t="s">
        <v>13</v>
      </c>
      <c r="I103">
        <f>Table1[[#This Row],[Per unit]]*Table1[[#This Row],[Boxes Shipped]]</f>
        <v>14688</v>
      </c>
    </row>
    <row r="104" spans="1:9" x14ac:dyDescent="0.25">
      <c r="A104" s="2">
        <v>45853</v>
      </c>
      <c r="B104" t="s">
        <v>31</v>
      </c>
      <c r="C104" t="s">
        <v>17</v>
      </c>
      <c r="D104">
        <v>27</v>
      </c>
      <c r="E104" s="3">
        <v>86</v>
      </c>
      <c r="F104" t="s">
        <v>12</v>
      </c>
      <c r="G104" t="s">
        <v>34</v>
      </c>
      <c r="H104" t="s">
        <v>16</v>
      </c>
      <c r="I104">
        <f>Table1[[#This Row],[Per unit]]*Table1[[#This Row],[Boxes Shipped]]</f>
        <v>2322</v>
      </c>
    </row>
    <row r="105" spans="1:9" x14ac:dyDescent="0.25">
      <c r="A105" s="2">
        <v>45671</v>
      </c>
      <c r="B105" t="s">
        <v>49</v>
      </c>
      <c r="C105" t="s">
        <v>30</v>
      </c>
      <c r="D105">
        <v>212</v>
      </c>
      <c r="E105" s="3">
        <v>32</v>
      </c>
      <c r="F105" t="s">
        <v>22</v>
      </c>
      <c r="G105" t="s">
        <v>34</v>
      </c>
      <c r="H105" t="s">
        <v>20</v>
      </c>
      <c r="I105">
        <f>Table1[[#This Row],[Per unit]]*Table1[[#This Row],[Boxes Shipped]]</f>
        <v>6784</v>
      </c>
    </row>
    <row r="106" spans="1:9" x14ac:dyDescent="0.25">
      <c r="A106" s="2">
        <v>45878</v>
      </c>
      <c r="B106" t="s">
        <v>33</v>
      </c>
      <c r="C106" t="s">
        <v>21</v>
      </c>
      <c r="D106">
        <v>18</v>
      </c>
      <c r="E106" s="3">
        <v>45</v>
      </c>
      <c r="F106" t="s">
        <v>28</v>
      </c>
      <c r="G106" t="s">
        <v>27</v>
      </c>
      <c r="H106" t="s">
        <v>13</v>
      </c>
      <c r="I106">
        <f>Table1[[#This Row],[Per unit]]*Table1[[#This Row],[Boxes Shipped]]</f>
        <v>810</v>
      </c>
    </row>
    <row r="107" spans="1:9" x14ac:dyDescent="0.25">
      <c r="A107" s="2">
        <v>45872</v>
      </c>
      <c r="B107" t="s">
        <v>40</v>
      </c>
      <c r="C107" t="s">
        <v>30</v>
      </c>
      <c r="D107">
        <v>149</v>
      </c>
      <c r="E107" s="3">
        <v>76</v>
      </c>
      <c r="F107" t="s">
        <v>32</v>
      </c>
      <c r="G107" t="s">
        <v>15</v>
      </c>
      <c r="H107" t="s">
        <v>16</v>
      </c>
      <c r="I107">
        <f>Table1[[#This Row],[Per unit]]*Table1[[#This Row],[Boxes Shipped]]</f>
        <v>11324</v>
      </c>
    </row>
    <row r="108" spans="1:9" x14ac:dyDescent="0.25">
      <c r="A108" s="2">
        <v>46005</v>
      </c>
      <c r="B108" t="s">
        <v>38</v>
      </c>
      <c r="C108" t="s">
        <v>17</v>
      </c>
      <c r="D108">
        <v>178</v>
      </c>
      <c r="E108" s="3">
        <v>40</v>
      </c>
      <c r="F108" t="s">
        <v>15</v>
      </c>
      <c r="G108" t="s">
        <v>22</v>
      </c>
      <c r="H108" t="s">
        <v>29</v>
      </c>
      <c r="I108">
        <f>Table1[[#This Row],[Per unit]]*Table1[[#This Row],[Boxes Shipped]]</f>
        <v>7120</v>
      </c>
    </row>
    <row r="109" spans="1:9" x14ac:dyDescent="0.25">
      <c r="A109" s="2">
        <v>45741</v>
      </c>
      <c r="B109" t="s">
        <v>44</v>
      </c>
      <c r="C109" t="s">
        <v>24</v>
      </c>
      <c r="D109">
        <v>81</v>
      </c>
      <c r="E109" s="3">
        <v>89</v>
      </c>
      <c r="F109" t="s">
        <v>15</v>
      </c>
      <c r="G109" t="s">
        <v>11</v>
      </c>
      <c r="H109" t="s">
        <v>13</v>
      </c>
      <c r="I109">
        <f>Table1[[#This Row],[Per unit]]*Table1[[#This Row],[Boxes Shipped]]</f>
        <v>7209</v>
      </c>
    </row>
    <row r="110" spans="1:9" x14ac:dyDescent="0.25">
      <c r="A110" s="2">
        <v>45874</v>
      </c>
      <c r="B110" t="s">
        <v>48</v>
      </c>
      <c r="C110" t="s">
        <v>24</v>
      </c>
      <c r="D110">
        <v>196</v>
      </c>
      <c r="E110" s="3">
        <v>86</v>
      </c>
      <c r="F110" t="s">
        <v>28</v>
      </c>
      <c r="G110" t="s">
        <v>19</v>
      </c>
      <c r="H110" t="s">
        <v>16</v>
      </c>
      <c r="I110">
        <f>Table1[[#This Row],[Per unit]]*Table1[[#This Row],[Boxes Shipped]]</f>
        <v>16856</v>
      </c>
    </row>
    <row r="111" spans="1:9" x14ac:dyDescent="0.25">
      <c r="A111" s="2">
        <v>45953</v>
      </c>
      <c r="B111" t="s">
        <v>49</v>
      </c>
      <c r="C111" t="s">
        <v>17</v>
      </c>
      <c r="D111">
        <v>447</v>
      </c>
      <c r="E111" s="3">
        <v>54</v>
      </c>
      <c r="F111" t="s">
        <v>19</v>
      </c>
      <c r="G111" t="s">
        <v>32</v>
      </c>
      <c r="H111" t="s">
        <v>16</v>
      </c>
      <c r="I111">
        <f>Table1[[#This Row],[Per unit]]*Table1[[#This Row],[Boxes Shipped]]</f>
        <v>24138</v>
      </c>
    </row>
    <row r="112" spans="1:9" x14ac:dyDescent="0.25">
      <c r="A112" s="2">
        <v>45934</v>
      </c>
      <c r="B112" t="s">
        <v>35</v>
      </c>
      <c r="C112" t="s">
        <v>17</v>
      </c>
      <c r="D112">
        <v>175</v>
      </c>
      <c r="E112" s="3">
        <v>36</v>
      </c>
      <c r="F112" t="s">
        <v>28</v>
      </c>
      <c r="G112" t="s">
        <v>15</v>
      </c>
      <c r="H112" t="s">
        <v>20</v>
      </c>
      <c r="I112">
        <f>Table1[[#This Row],[Per unit]]*Table1[[#This Row],[Boxes Shipped]]</f>
        <v>6300</v>
      </c>
    </row>
    <row r="113" spans="1:9" x14ac:dyDescent="0.25">
      <c r="A113" s="2">
        <v>45904</v>
      </c>
      <c r="B113" t="s">
        <v>36</v>
      </c>
      <c r="C113" t="s">
        <v>10</v>
      </c>
      <c r="D113">
        <v>136</v>
      </c>
      <c r="E113" s="3">
        <v>89</v>
      </c>
      <c r="F113" t="s">
        <v>22</v>
      </c>
      <c r="G113" t="s">
        <v>12</v>
      </c>
      <c r="H113" t="s">
        <v>20</v>
      </c>
      <c r="I113">
        <f>Table1[[#This Row],[Per unit]]*Table1[[#This Row],[Boxes Shipped]]</f>
        <v>12104</v>
      </c>
    </row>
    <row r="114" spans="1:9" x14ac:dyDescent="0.25">
      <c r="A114" s="2">
        <v>46007</v>
      </c>
      <c r="B114" t="s">
        <v>31</v>
      </c>
      <c r="C114" t="s">
        <v>10</v>
      </c>
      <c r="D114">
        <v>138</v>
      </c>
      <c r="E114" s="3">
        <v>32</v>
      </c>
      <c r="F114" t="s">
        <v>12</v>
      </c>
      <c r="G114" t="s">
        <v>27</v>
      </c>
      <c r="H114" t="s">
        <v>20</v>
      </c>
      <c r="I114">
        <f>Table1[[#This Row],[Per unit]]*Table1[[#This Row],[Boxes Shipped]]</f>
        <v>4416</v>
      </c>
    </row>
    <row r="115" spans="1:9" x14ac:dyDescent="0.25">
      <c r="A115" s="2">
        <v>45719</v>
      </c>
      <c r="B115" t="s">
        <v>31</v>
      </c>
      <c r="C115" t="s">
        <v>24</v>
      </c>
      <c r="D115">
        <v>184</v>
      </c>
      <c r="E115" s="3">
        <v>67</v>
      </c>
      <c r="F115" t="s">
        <v>34</v>
      </c>
      <c r="G115" t="s">
        <v>12</v>
      </c>
      <c r="H115" t="s">
        <v>29</v>
      </c>
      <c r="I115">
        <f>Table1[[#This Row],[Per unit]]*Table1[[#This Row],[Boxes Shipped]]</f>
        <v>12328</v>
      </c>
    </row>
    <row r="116" spans="1:9" x14ac:dyDescent="0.25">
      <c r="A116" s="2">
        <v>45865</v>
      </c>
      <c r="B116" t="s">
        <v>14</v>
      </c>
      <c r="C116" t="s">
        <v>10</v>
      </c>
      <c r="D116">
        <v>82</v>
      </c>
      <c r="E116" s="3">
        <v>39</v>
      </c>
      <c r="F116" t="s">
        <v>32</v>
      </c>
      <c r="G116" t="s">
        <v>12</v>
      </c>
      <c r="H116" t="s">
        <v>20</v>
      </c>
      <c r="I116">
        <f>Table1[[#This Row],[Per unit]]*Table1[[#This Row],[Boxes Shipped]]</f>
        <v>3198</v>
      </c>
    </row>
    <row r="117" spans="1:9" x14ac:dyDescent="0.25">
      <c r="A117" s="2">
        <v>45711</v>
      </c>
      <c r="B117" t="s">
        <v>44</v>
      </c>
      <c r="C117" t="s">
        <v>30</v>
      </c>
      <c r="D117">
        <v>299</v>
      </c>
      <c r="E117" s="3">
        <v>67</v>
      </c>
      <c r="F117" t="s">
        <v>27</v>
      </c>
      <c r="G117" t="s">
        <v>22</v>
      </c>
      <c r="H117" t="s">
        <v>23</v>
      </c>
      <c r="I117">
        <f>Table1[[#This Row],[Per unit]]*Table1[[#This Row],[Boxes Shipped]]</f>
        <v>20033</v>
      </c>
    </row>
    <row r="118" spans="1:9" x14ac:dyDescent="0.25">
      <c r="A118" s="2">
        <v>45953</v>
      </c>
      <c r="B118" t="s">
        <v>36</v>
      </c>
      <c r="C118" t="s">
        <v>24</v>
      </c>
      <c r="D118">
        <v>26</v>
      </c>
      <c r="E118" s="3">
        <v>58</v>
      </c>
      <c r="F118" t="s">
        <v>22</v>
      </c>
      <c r="G118" t="s">
        <v>15</v>
      </c>
      <c r="H118" t="s">
        <v>16</v>
      </c>
      <c r="I118">
        <f>Table1[[#This Row],[Per unit]]*Table1[[#This Row],[Boxes Shipped]]</f>
        <v>1508</v>
      </c>
    </row>
    <row r="119" spans="1:9" x14ac:dyDescent="0.25">
      <c r="A119" s="2">
        <v>45706</v>
      </c>
      <c r="B119" t="s">
        <v>18</v>
      </c>
      <c r="C119" t="s">
        <v>30</v>
      </c>
      <c r="D119">
        <v>146</v>
      </c>
      <c r="E119" s="3">
        <v>65</v>
      </c>
      <c r="F119" t="s">
        <v>26</v>
      </c>
      <c r="G119" t="s">
        <v>22</v>
      </c>
      <c r="H119" t="s">
        <v>20</v>
      </c>
      <c r="I119">
        <f>Table1[[#This Row],[Per unit]]*Table1[[#This Row],[Boxes Shipped]]</f>
        <v>9490</v>
      </c>
    </row>
    <row r="120" spans="1:9" x14ac:dyDescent="0.25">
      <c r="A120" s="2">
        <v>46013</v>
      </c>
      <c r="B120" t="s">
        <v>45</v>
      </c>
      <c r="C120" t="s">
        <v>30</v>
      </c>
      <c r="D120">
        <v>41</v>
      </c>
      <c r="E120" s="3">
        <v>94</v>
      </c>
      <c r="F120" t="s">
        <v>15</v>
      </c>
      <c r="G120" t="s">
        <v>22</v>
      </c>
      <c r="H120" t="s">
        <v>13</v>
      </c>
      <c r="I120">
        <f>Table1[[#This Row],[Per unit]]*Table1[[#This Row],[Boxes Shipped]]</f>
        <v>3854</v>
      </c>
    </row>
    <row r="121" spans="1:9" x14ac:dyDescent="0.25">
      <c r="A121" s="2">
        <v>45729</v>
      </c>
      <c r="B121" t="s">
        <v>25</v>
      </c>
      <c r="C121" t="s">
        <v>10</v>
      </c>
      <c r="D121">
        <v>54</v>
      </c>
      <c r="E121" s="3">
        <v>81</v>
      </c>
      <c r="F121" t="s">
        <v>28</v>
      </c>
      <c r="G121" t="s">
        <v>32</v>
      </c>
      <c r="H121" t="s">
        <v>20</v>
      </c>
      <c r="I121">
        <f>Table1[[#This Row],[Per unit]]*Table1[[#This Row],[Boxes Shipped]]</f>
        <v>4374</v>
      </c>
    </row>
    <row r="122" spans="1:9" x14ac:dyDescent="0.25">
      <c r="A122" s="2">
        <v>45787</v>
      </c>
      <c r="B122" t="s">
        <v>44</v>
      </c>
      <c r="C122" t="s">
        <v>17</v>
      </c>
      <c r="D122">
        <v>304</v>
      </c>
      <c r="E122" s="3">
        <v>65</v>
      </c>
      <c r="F122" t="s">
        <v>22</v>
      </c>
      <c r="G122" t="s">
        <v>22</v>
      </c>
      <c r="H122" t="s">
        <v>23</v>
      </c>
      <c r="I122">
        <f>Table1[[#This Row],[Per unit]]*Table1[[#This Row],[Boxes Shipped]]</f>
        <v>19760</v>
      </c>
    </row>
    <row r="123" spans="1:9" x14ac:dyDescent="0.25">
      <c r="A123" s="2">
        <v>46014</v>
      </c>
      <c r="B123" t="s">
        <v>18</v>
      </c>
      <c r="C123" t="s">
        <v>24</v>
      </c>
      <c r="D123">
        <v>176</v>
      </c>
      <c r="E123" s="3">
        <v>43</v>
      </c>
      <c r="F123" t="s">
        <v>22</v>
      </c>
      <c r="G123" t="s">
        <v>15</v>
      </c>
      <c r="H123" t="s">
        <v>16</v>
      </c>
      <c r="I123">
        <f>Table1[[#This Row],[Per unit]]*Table1[[#This Row],[Boxes Shipped]]</f>
        <v>7568</v>
      </c>
    </row>
    <row r="124" spans="1:9" x14ac:dyDescent="0.25">
      <c r="A124" s="2">
        <v>45718</v>
      </c>
      <c r="B124" t="s">
        <v>50</v>
      </c>
      <c r="C124" t="s">
        <v>10</v>
      </c>
      <c r="D124">
        <v>210</v>
      </c>
      <c r="E124" s="3">
        <v>29</v>
      </c>
      <c r="F124" t="s">
        <v>34</v>
      </c>
      <c r="G124" t="s">
        <v>26</v>
      </c>
      <c r="H124" t="s">
        <v>29</v>
      </c>
      <c r="I124">
        <f>Table1[[#This Row],[Per unit]]*Table1[[#This Row],[Boxes Shipped]]</f>
        <v>6090</v>
      </c>
    </row>
    <row r="125" spans="1:9" x14ac:dyDescent="0.25">
      <c r="A125" s="2">
        <v>45689</v>
      </c>
      <c r="B125" t="s">
        <v>43</v>
      </c>
      <c r="C125" t="s">
        <v>21</v>
      </c>
      <c r="D125">
        <v>12</v>
      </c>
      <c r="E125" s="3">
        <v>95</v>
      </c>
      <c r="F125" t="s">
        <v>28</v>
      </c>
      <c r="G125" t="s">
        <v>27</v>
      </c>
      <c r="H125" t="s">
        <v>16</v>
      </c>
      <c r="I125">
        <f>Table1[[#This Row],[Per unit]]*Table1[[#This Row],[Boxes Shipped]]</f>
        <v>1140</v>
      </c>
    </row>
    <row r="126" spans="1:9" x14ac:dyDescent="0.25">
      <c r="A126" s="2">
        <v>45832</v>
      </c>
      <c r="B126" t="s">
        <v>9</v>
      </c>
      <c r="C126" t="s">
        <v>10</v>
      </c>
      <c r="D126">
        <v>252</v>
      </c>
      <c r="E126" s="3">
        <v>77</v>
      </c>
      <c r="F126" t="s">
        <v>19</v>
      </c>
      <c r="G126" t="s">
        <v>28</v>
      </c>
      <c r="H126" t="s">
        <v>23</v>
      </c>
      <c r="I126">
        <f>Table1[[#This Row],[Per unit]]*Table1[[#This Row],[Boxes Shipped]]</f>
        <v>19404</v>
      </c>
    </row>
    <row r="127" spans="1:9" x14ac:dyDescent="0.25">
      <c r="A127" s="2">
        <v>45883</v>
      </c>
      <c r="B127" t="s">
        <v>46</v>
      </c>
      <c r="C127" t="s">
        <v>24</v>
      </c>
      <c r="D127">
        <v>187</v>
      </c>
      <c r="E127" s="3">
        <v>46</v>
      </c>
      <c r="F127" t="s">
        <v>22</v>
      </c>
      <c r="G127" t="s">
        <v>28</v>
      </c>
      <c r="H127" t="s">
        <v>13</v>
      </c>
      <c r="I127">
        <f>Table1[[#This Row],[Per unit]]*Table1[[#This Row],[Boxes Shipped]]</f>
        <v>8602</v>
      </c>
    </row>
    <row r="128" spans="1:9" x14ac:dyDescent="0.25">
      <c r="A128" s="2">
        <v>45734</v>
      </c>
      <c r="B128" t="s">
        <v>41</v>
      </c>
      <c r="C128" t="s">
        <v>30</v>
      </c>
      <c r="D128">
        <v>233</v>
      </c>
      <c r="E128" s="3">
        <v>58</v>
      </c>
      <c r="F128" t="s">
        <v>12</v>
      </c>
      <c r="G128" t="s">
        <v>12</v>
      </c>
      <c r="H128" t="s">
        <v>16</v>
      </c>
      <c r="I128">
        <f>Table1[[#This Row],[Per unit]]*Table1[[#This Row],[Boxes Shipped]]</f>
        <v>13514</v>
      </c>
    </row>
    <row r="129" spans="1:9" x14ac:dyDescent="0.25">
      <c r="A129" s="2">
        <v>45947</v>
      </c>
      <c r="B129" t="s">
        <v>33</v>
      </c>
      <c r="C129" t="s">
        <v>17</v>
      </c>
      <c r="D129">
        <v>282</v>
      </c>
      <c r="E129" s="3">
        <v>48</v>
      </c>
      <c r="F129" t="s">
        <v>32</v>
      </c>
      <c r="G129" t="s">
        <v>34</v>
      </c>
      <c r="H129" t="s">
        <v>16</v>
      </c>
      <c r="I129">
        <f>Table1[[#This Row],[Per unit]]*Table1[[#This Row],[Boxes Shipped]]</f>
        <v>13536</v>
      </c>
    </row>
    <row r="130" spans="1:9" x14ac:dyDescent="0.25">
      <c r="A130" s="2">
        <v>45914</v>
      </c>
      <c r="B130" t="s">
        <v>44</v>
      </c>
      <c r="C130" t="s">
        <v>17</v>
      </c>
      <c r="D130">
        <v>475</v>
      </c>
      <c r="E130" s="3">
        <v>43</v>
      </c>
      <c r="F130" t="s">
        <v>12</v>
      </c>
      <c r="G130" t="s">
        <v>26</v>
      </c>
      <c r="H130" t="s">
        <v>29</v>
      </c>
      <c r="I130">
        <f>Table1[[#This Row],[Per unit]]*Table1[[#This Row],[Boxes Shipped]]</f>
        <v>20425</v>
      </c>
    </row>
    <row r="131" spans="1:9" x14ac:dyDescent="0.25">
      <c r="A131" s="2">
        <v>45683</v>
      </c>
      <c r="B131" t="s">
        <v>43</v>
      </c>
      <c r="C131" t="s">
        <v>10</v>
      </c>
      <c r="D131">
        <v>65</v>
      </c>
      <c r="E131" s="3">
        <v>95</v>
      </c>
      <c r="F131" t="s">
        <v>34</v>
      </c>
      <c r="G131" t="s">
        <v>22</v>
      </c>
      <c r="H131" t="s">
        <v>29</v>
      </c>
      <c r="I131">
        <f>Table1[[#This Row],[Per unit]]*Table1[[#This Row],[Boxes Shipped]]</f>
        <v>6175</v>
      </c>
    </row>
    <row r="132" spans="1:9" x14ac:dyDescent="0.25">
      <c r="A132" s="2">
        <v>45812</v>
      </c>
      <c r="B132" t="s">
        <v>38</v>
      </c>
      <c r="C132" t="s">
        <v>30</v>
      </c>
      <c r="D132">
        <v>311</v>
      </c>
      <c r="E132" s="3">
        <v>30</v>
      </c>
      <c r="F132" t="s">
        <v>19</v>
      </c>
      <c r="G132" t="s">
        <v>22</v>
      </c>
      <c r="H132" t="s">
        <v>20</v>
      </c>
      <c r="I132">
        <f>Table1[[#This Row],[Per unit]]*Table1[[#This Row],[Boxes Shipped]]</f>
        <v>9330</v>
      </c>
    </row>
    <row r="133" spans="1:9" x14ac:dyDescent="0.25">
      <c r="A133" s="2">
        <v>45808</v>
      </c>
      <c r="B133" t="s">
        <v>45</v>
      </c>
      <c r="C133" t="s">
        <v>30</v>
      </c>
      <c r="D133">
        <v>43</v>
      </c>
      <c r="E133" s="3">
        <v>64</v>
      </c>
      <c r="F133" t="s">
        <v>15</v>
      </c>
      <c r="G133" t="s">
        <v>34</v>
      </c>
      <c r="H133" t="s">
        <v>20</v>
      </c>
      <c r="I133">
        <f>Table1[[#This Row],[Per unit]]*Table1[[#This Row],[Boxes Shipped]]</f>
        <v>2752</v>
      </c>
    </row>
    <row r="134" spans="1:9" x14ac:dyDescent="0.25">
      <c r="A134" s="2">
        <v>45727</v>
      </c>
      <c r="B134" t="s">
        <v>35</v>
      </c>
      <c r="C134" t="s">
        <v>21</v>
      </c>
      <c r="D134">
        <v>26</v>
      </c>
      <c r="E134" s="3">
        <v>90</v>
      </c>
      <c r="F134" t="s">
        <v>26</v>
      </c>
      <c r="G134" t="s">
        <v>19</v>
      </c>
      <c r="H134" t="s">
        <v>20</v>
      </c>
      <c r="I134">
        <f>Table1[[#This Row],[Per unit]]*Table1[[#This Row],[Boxes Shipped]]</f>
        <v>2340</v>
      </c>
    </row>
    <row r="135" spans="1:9" x14ac:dyDescent="0.25">
      <c r="A135" s="2">
        <v>45695</v>
      </c>
      <c r="B135" t="s">
        <v>40</v>
      </c>
      <c r="C135" t="s">
        <v>21</v>
      </c>
      <c r="D135">
        <v>84</v>
      </c>
      <c r="E135" s="3">
        <v>76</v>
      </c>
      <c r="F135" t="s">
        <v>22</v>
      </c>
      <c r="G135" t="s">
        <v>19</v>
      </c>
      <c r="H135" t="s">
        <v>16</v>
      </c>
      <c r="I135">
        <f>Table1[[#This Row],[Per unit]]*Table1[[#This Row],[Boxes Shipped]]</f>
        <v>6384</v>
      </c>
    </row>
    <row r="136" spans="1:9" x14ac:dyDescent="0.25">
      <c r="A136" s="2">
        <v>45886</v>
      </c>
      <c r="B136" t="s">
        <v>18</v>
      </c>
      <c r="C136" t="s">
        <v>24</v>
      </c>
      <c r="D136">
        <v>78</v>
      </c>
      <c r="E136" s="3">
        <v>96</v>
      </c>
      <c r="F136" t="s">
        <v>27</v>
      </c>
      <c r="G136" t="s">
        <v>27</v>
      </c>
      <c r="H136" t="s">
        <v>29</v>
      </c>
      <c r="I136">
        <f>Table1[[#This Row],[Per unit]]*Table1[[#This Row],[Boxes Shipped]]</f>
        <v>7488</v>
      </c>
    </row>
    <row r="137" spans="1:9" x14ac:dyDescent="0.25">
      <c r="A137" s="2">
        <v>45788</v>
      </c>
      <c r="B137" t="s">
        <v>37</v>
      </c>
      <c r="C137" t="s">
        <v>21</v>
      </c>
      <c r="D137">
        <v>100</v>
      </c>
      <c r="E137" s="3">
        <v>47</v>
      </c>
      <c r="F137" t="s">
        <v>26</v>
      </c>
      <c r="G137" t="s">
        <v>26</v>
      </c>
      <c r="H137" t="s">
        <v>13</v>
      </c>
      <c r="I137">
        <f>Table1[[#This Row],[Per unit]]*Table1[[#This Row],[Boxes Shipped]]</f>
        <v>4700</v>
      </c>
    </row>
    <row r="138" spans="1:9" x14ac:dyDescent="0.25">
      <c r="A138" s="2">
        <v>45750</v>
      </c>
      <c r="B138" t="s">
        <v>18</v>
      </c>
      <c r="C138" t="s">
        <v>24</v>
      </c>
      <c r="D138">
        <v>265</v>
      </c>
      <c r="E138" s="3">
        <v>69</v>
      </c>
      <c r="F138" t="s">
        <v>15</v>
      </c>
      <c r="G138" t="s">
        <v>27</v>
      </c>
      <c r="H138" t="s">
        <v>23</v>
      </c>
      <c r="I138">
        <f>Table1[[#This Row],[Per unit]]*Table1[[#This Row],[Boxes Shipped]]</f>
        <v>18285</v>
      </c>
    </row>
    <row r="139" spans="1:9" x14ac:dyDescent="0.25">
      <c r="A139" s="2">
        <v>45746</v>
      </c>
      <c r="B139" t="s">
        <v>18</v>
      </c>
      <c r="C139" t="s">
        <v>30</v>
      </c>
      <c r="D139">
        <v>333</v>
      </c>
      <c r="E139" s="3">
        <v>54</v>
      </c>
      <c r="F139" t="s">
        <v>12</v>
      </c>
      <c r="G139" t="s">
        <v>15</v>
      </c>
      <c r="H139" t="s">
        <v>23</v>
      </c>
      <c r="I139">
        <f>Table1[[#This Row],[Per unit]]*Table1[[#This Row],[Boxes Shipped]]</f>
        <v>17982</v>
      </c>
    </row>
    <row r="140" spans="1:9" x14ac:dyDescent="0.25">
      <c r="A140" s="2">
        <v>45959</v>
      </c>
      <c r="B140" t="s">
        <v>49</v>
      </c>
      <c r="C140" t="s">
        <v>21</v>
      </c>
      <c r="D140">
        <v>141</v>
      </c>
      <c r="E140" s="3">
        <v>98</v>
      </c>
      <c r="F140" t="s">
        <v>27</v>
      </c>
      <c r="G140" t="s">
        <v>22</v>
      </c>
      <c r="H140" t="s">
        <v>16</v>
      </c>
      <c r="I140">
        <f>Table1[[#This Row],[Per unit]]*Table1[[#This Row],[Boxes Shipped]]</f>
        <v>13818</v>
      </c>
    </row>
    <row r="141" spans="1:9" x14ac:dyDescent="0.25">
      <c r="A141" s="2">
        <v>45784</v>
      </c>
      <c r="B141" t="s">
        <v>31</v>
      </c>
      <c r="C141" t="s">
        <v>30</v>
      </c>
      <c r="D141">
        <v>42</v>
      </c>
      <c r="E141" s="3">
        <v>77</v>
      </c>
      <c r="F141" t="s">
        <v>19</v>
      </c>
      <c r="G141" t="s">
        <v>22</v>
      </c>
      <c r="H141" t="s">
        <v>20</v>
      </c>
      <c r="I141">
        <f>Table1[[#This Row],[Per unit]]*Table1[[#This Row],[Boxes Shipped]]</f>
        <v>3234</v>
      </c>
    </row>
    <row r="142" spans="1:9" x14ac:dyDescent="0.25">
      <c r="A142" s="2">
        <v>45994</v>
      </c>
      <c r="B142" t="s">
        <v>42</v>
      </c>
      <c r="C142" t="s">
        <v>17</v>
      </c>
      <c r="D142">
        <v>344</v>
      </c>
      <c r="E142" s="3">
        <v>51</v>
      </c>
      <c r="F142" t="s">
        <v>11</v>
      </c>
      <c r="G142" t="s">
        <v>32</v>
      </c>
      <c r="H142" t="s">
        <v>23</v>
      </c>
      <c r="I142">
        <f>Table1[[#This Row],[Per unit]]*Table1[[#This Row],[Boxes Shipped]]</f>
        <v>17544</v>
      </c>
    </row>
    <row r="143" spans="1:9" x14ac:dyDescent="0.25">
      <c r="A143" s="2">
        <v>45872</v>
      </c>
      <c r="B143" t="s">
        <v>9</v>
      </c>
      <c r="C143" t="s">
        <v>24</v>
      </c>
      <c r="D143">
        <v>190</v>
      </c>
      <c r="E143" s="3">
        <v>68</v>
      </c>
      <c r="F143" t="s">
        <v>22</v>
      </c>
      <c r="G143" t="s">
        <v>32</v>
      </c>
      <c r="H143" t="s">
        <v>29</v>
      </c>
      <c r="I143">
        <f>Table1[[#This Row],[Per unit]]*Table1[[#This Row],[Boxes Shipped]]</f>
        <v>12920</v>
      </c>
    </row>
    <row r="144" spans="1:9" x14ac:dyDescent="0.25">
      <c r="A144" s="2">
        <v>45801</v>
      </c>
      <c r="B144" t="s">
        <v>36</v>
      </c>
      <c r="C144" t="s">
        <v>30</v>
      </c>
      <c r="D144">
        <v>54</v>
      </c>
      <c r="E144" s="3">
        <v>73</v>
      </c>
      <c r="F144" t="s">
        <v>34</v>
      </c>
      <c r="G144" t="s">
        <v>26</v>
      </c>
      <c r="H144" t="s">
        <v>16</v>
      </c>
      <c r="I144">
        <f>Table1[[#This Row],[Per unit]]*Table1[[#This Row],[Boxes Shipped]]</f>
        <v>3942</v>
      </c>
    </row>
    <row r="145" spans="1:9" x14ac:dyDescent="0.25">
      <c r="A145" s="2">
        <v>45732</v>
      </c>
      <c r="B145" t="s">
        <v>46</v>
      </c>
      <c r="C145" t="s">
        <v>21</v>
      </c>
      <c r="D145">
        <v>32</v>
      </c>
      <c r="E145" s="3">
        <v>27</v>
      </c>
      <c r="F145" t="s">
        <v>22</v>
      </c>
      <c r="G145" t="s">
        <v>27</v>
      </c>
      <c r="H145" t="s">
        <v>13</v>
      </c>
      <c r="I145">
        <f>Table1[[#This Row],[Per unit]]*Table1[[#This Row],[Boxes Shipped]]</f>
        <v>864</v>
      </c>
    </row>
    <row r="146" spans="1:9" x14ac:dyDescent="0.25">
      <c r="A146" s="2">
        <v>45931</v>
      </c>
      <c r="B146" t="s">
        <v>14</v>
      </c>
      <c r="C146" t="s">
        <v>17</v>
      </c>
      <c r="D146">
        <v>424</v>
      </c>
      <c r="E146" s="3">
        <v>23</v>
      </c>
      <c r="F146" t="s">
        <v>32</v>
      </c>
      <c r="G146" t="s">
        <v>34</v>
      </c>
      <c r="H146" t="s">
        <v>29</v>
      </c>
      <c r="I146">
        <f>Table1[[#This Row],[Per unit]]*Table1[[#This Row],[Boxes Shipped]]</f>
        <v>9752</v>
      </c>
    </row>
    <row r="147" spans="1:9" x14ac:dyDescent="0.25">
      <c r="A147" s="2">
        <v>45920</v>
      </c>
      <c r="B147" t="s">
        <v>25</v>
      </c>
      <c r="C147" t="s">
        <v>17</v>
      </c>
      <c r="D147">
        <v>134</v>
      </c>
      <c r="E147" s="3">
        <v>49</v>
      </c>
      <c r="F147" t="s">
        <v>34</v>
      </c>
      <c r="G147" t="s">
        <v>22</v>
      </c>
      <c r="H147" t="s">
        <v>20</v>
      </c>
      <c r="I147">
        <f>Table1[[#This Row],[Per unit]]*Table1[[#This Row],[Boxes Shipped]]</f>
        <v>6566</v>
      </c>
    </row>
    <row r="148" spans="1:9" x14ac:dyDescent="0.25">
      <c r="A148" s="2">
        <v>45731</v>
      </c>
      <c r="B148" t="s">
        <v>9</v>
      </c>
      <c r="C148" t="s">
        <v>24</v>
      </c>
      <c r="D148">
        <v>317</v>
      </c>
      <c r="E148" s="3">
        <v>55</v>
      </c>
      <c r="F148" t="s">
        <v>26</v>
      </c>
      <c r="G148" t="s">
        <v>26</v>
      </c>
      <c r="H148" t="s">
        <v>23</v>
      </c>
      <c r="I148">
        <f>Table1[[#This Row],[Per unit]]*Table1[[#This Row],[Boxes Shipped]]</f>
        <v>17435</v>
      </c>
    </row>
    <row r="149" spans="1:9" x14ac:dyDescent="0.25">
      <c r="A149" s="2">
        <v>45965</v>
      </c>
      <c r="B149" t="s">
        <v>46</v>
      </c>
      <c r="C149" t="s">
        <v>10</v>
      </c>
      <c r="D149">
        <v>48</v>
      </c>
      <c r="E149" s="3">
        <v>67</v>
      </c>
      <c r="F149" t="s">
        <v>27</v>
      </c>
      <c r="G149" t="s">
        <v>32</v>
      </c>
      <c r="H149" t="s">
        <v>13</v>
      </c>
      <c r="I149">
        <f>Table1[[#This Row],[Per unit]]*Table1[[#This Row],[Boxes Shipped]]</f>
        <v>3216</v>
      </c>
    </row>
    <row r="150" spans="1:9" x14ac:dyDescent="0.25">
      <c r="A150" s="2">
        <v>45829</v>
      </c>
      <c r="B150" t="s">
        <v>41</v>
      </c>
      <c r="C150" t="s">
        <v>30</v>
      </c>
      <c r="D150">
        <v>46</v>
      </c>
      <c r="E150" s="3">
        <v>65</v>
      </c>
      <c r="F150" t="s">
        <v>32</v>
      </c>
      <c r="G150" t="s">
        <v>32</v>
      </c>
      <c r="H150" t="s">
        <v>29</v>
      </c>
      <c r="I150">
        <f>Table1[[#This Row],[Per unit]]*Table1[[#This Row],[Boxes Shipped]]</f>
        <v>2990</v>
      </c>
    </row>
    <row r="151" spans="1:9" x14ac:dyDescent="0.25">
      <c r="A151" s="2">
        <v>45982</v>
      </c>
      <c r="B151" t="s">
        <v>45</v>
      </c>
      <c r="C151" t="s">
        <v>17</v>
      </c>
      <c r="D151">
        <v>62</v>
      </c>
      <c r="E151" s="3">
        <v>60</v>
      </c>
      <c r="F151" t="s">
        <v>15</v>
      </c>
      <c r="G151" t="s">
        <v>27</v>
      </c>
      <c r="H151" t="s">
        <v>16</v>
      </c>
      <c r="I151">
        <f>Table1[[#This Row],[Per unit]]*Table1[[#This Row],[Boxes Shipped]]</f>
        <v>3720</v>
      </c>
    </row>
    <row r="152" spans="1:9" x14ac:dyDescent="0.25">
      <c r="A152" s="2">
        <v>45833</v>
      </c>
      <c r="B152" t="s">
        <v>48</v>
      </c>
      <c r="C152" t="s">
        <v>21</v>
      </c>
      <c r="D152">
        <v>358</v>
      </c>
      <c r="E152" s="3">
        <v>31</v>
      </c>
      <c r="F152" t="s">
        <v>26</v>
      </c>
      <c r="G152" t="s">
        <v>34</v>
      </c>
      <c r="H152" t="s">
        <v>16</v>
      </c>
      <c r="I152">
        <f>Table1[[#This Row],[Per unit]]*Table1[[#This Row],[Boxes Shipped]]</f>
        <v>11098</v>
      </c>
    </row>
    <row r="153" spans="1:9" x14ac:dyDescent="0.25">
      <c r="A153" s="2">
        <v>45744</v>
      </c>
      <c r="B153" t="s">
        <v>33</v>
      </c>
      <c r="C153" t="s">
        <v>10</v>
      </c>
      <c r="D153">
        <v>249</v>
      </c>
      <c r="E153" s="3">
        <v>27</v>
      </c>
      <c r="F153" t="s">
        <v>15</v>
      </c>
      <c r="G153" t="s">
        <v>15</v>
      </c>
      <c r="H153" t="s">
        <v>13</v>
      </c>
      <c r="I153">
        <f>Table1[[#This Row],[Per unit]]*Table1[[#This Row],[Boxes Shipped]]</f>
        <v>6723</v>
      </c>
    </row>
    <row r="154" spans="1:9" x14ac:dyDescent="0.25">
      <c r="A154" s="2">
        <v>45966</v>
      </c>
      <c r="B154" t="s">
        <v>31</v>
      </c>
      <c r="C154" t="s">
        <v>24</v>
      </c>
      <c r="D154">
        <v>88</v>
      </c>
      <c r="E154" s="3">
        <v>80</v>
      </c>
      <c r="F154" t="s">
        <v>27</v>
      </c>
      <c r="G154" t="s">
        <v>28</v>
      </c>
      <c r="H154" t="s">
        <v>20</v>
      </c>
      <c r="I154">
        <f>Table1[[#This Row],[Per unit]]*Table1[[#This Row],[Boxes Shipped]]</f>
        <v>7040</v>
      </c>
    </row>
    <row r="155" spans="1:9" x14ac:dyDescent="0.25">
      <c r="A155" s="2">
        <v>45908</v>
      </c>
      <c r="B155" t="s">
        <v>33</v>
      </c>
      <c r="C155" t="s">
        <v>10</v>
      </c>
      <c r="D155">
        <v>219</v>
      </c>
      <c r="E155" s="3">
        <v>79</v>
      </c>
      <c r="F155" t="s">
        <v>19</v>
      </c>
      <c r="G155" t="s">
        <v>12</v>
      </c>
      <c r="H155" t="s">
        <v>23</v>
      </c>
      <c r="I155">
        <f>Table1[[#This Row],[Per unit]]*Table1[[#This Row],[Boxes Shipped]]</f>
        <v>17301</v>
      </c>
    </row>
    <row r="156" spans="1:9" x14ac:dyDescent="0.25">
      <c r="A156" s="2">
        <v>45866</v>
      </c>
      <c r="B156" t="s">
        <v>47</v>
      </c>
      <c r="C156" t="s">
        <v>24</v>
      </c>
      <c r="D156">
        <v>390</v>
      </c>
      <c r="E156" s="3">
        <v>25</v>
      </c>
      <c r="F156" t="s">
        <v>28</v>
      </c>
      <c r="G156" t="s">
        <v>11</v>
      </c>
      <c r="H156" t="s">
        <v>20</v>
      </c>
      <c r="I156">
        <f>Table1[[#This Row],[Per unit]]*Table1[[#This Row],[Boxes Shipped]]</f>
        <v>9750</v>
      </c>
    </row>
    <row r="157" spans="1:9" x14ac:dyDescent="0.25">
      <c r="A157" s="2">
        <v>45824</v>
      </c>
      <c r="B157" t="s">
        <v>42</v>
      </c>
      <c r="C157" t="s">
        <v>24</v>
      </c>
      <c r="D157">
        <v>79</v>
      </c>
      <c r="E157" s="3">
        <v>35</v>
      </c>
      <c r="F157" t="s">
        <v>19</v>
      </c>
      <c r="G157" t="s">
        <v>15</v>
      </c>
      <c r="H157" t="s">
        <v>16</v>
      </c>
      <c r="I157">
        <f>Table1[[#This Row],[Per unit]]*Table1[[#This Row],[Boxes Shipped]]</f>
        <v>2765</v>
      </c>
    </row>
    <row r="158" spans="1:9" x14ac:dyDescent="0.25">
      <c r="A158" s="2">
        <v>45752</v>
      </c>
      <c r="B158" t="s">
        <v>36</v>
      </c>
      <c r="C158" t="s">
        <v>30</v>
      </c>
      <c r="D158">
        <v>122</v>
      </c>
      <c r="E158" s="3">
        <v>67</v>
      </c>
      <c r="F158" t="s">
        <v>19</v>
      </c>
      <c r="G158" t="s">
        <v>28</v>
      </c>
      <c r="H158" t="s">
        <v>20</v>
      </c>
      <c r="I158">
        <f>Table1[[#This Row],[Per unit]]*Table1[[#This Row],[Boxes Shipped]]</f>
        <v>8174</v>
      </c>
    </row>
    <row r="159" spans="1:9" x14ac:dyDescent="0.25">
      <c r="A159" s="2">
        <v>45950</v>
      </c>
      <c r="B159" t="s">
        <v>43</v>
      </c>
      <c r="C159" t="s">
        <v>24</v>
      </c>
      <c r="D159">
        <v>135</v>
      </c>
      <c r="E159" s="3">
        <v>46</v>
      </c>
      <c r="F159" t="s">
        <v>11</v>
      </c>
      <c r="G159" t="s">
        <v>27</v>
      </c>
      <c r="H159" t="s">
        <v>13</v>
      </c>
      <c r="I159">
        <f>Table1[[#This Row],[Per unit]]*Table1[[#This Row],[Boxes Shipped]]</f>
        <v>6210</v>
      </c>
    </row>
    <row r="160" spans="1:9" x14ac:dyDescent="0.25">
      <c r="A160" s="2">
        <v>45940</v>
      </c>
      <c r="B160" t="s">
        <v>35</v>
      </c>
      <c r="C160" t="s">
        <v>24</v>
      </c>
      <c r="D160">
        <v>430</v>
      </c>
      <c r="E160" s="3">
        <v>35</v>
      </c>
      <c r="F160" t="s">
        <v>15</v>
      </c>
      <c r="G160" t="s">
        <v>32</v>
      </c>
      <c r="H160" t="s">
        <v>13</v>
      </c>
      <c r="I160">
        <f>Table1[[#This Row],[Per unit]]*Table1[[#This Row],[Boxes Shipped]]</f>
        <v>15050</v>
      </c>
    </row>
    <row r="161" spans="1:9" x14ac:dyDescent="0.25">
      <c r="A161" s="2">
        <v>45862</v>
      </c>
      <c r="B161" t="s">
        <v>42</v>
      </c>
      <c r="C161" t="s">
        <v>30</v>
      </c>
      <c r="D161">
        <v>69</v>
      </c>
      <c r="E161" s="3">
        <v>86</v>
      </c>
      <c r="F161" t="s">
        <v>12</v>
      </c>
      <c r="G161" t="s">
        <v>12</v>
      </c>
      <c r="H161" t="s">
        <v>20</v>
      </c>
      <c r="I161">
        <f>Table1[[#This Row],[Per unit]]*Table1[[#This Row],[Boxes Shipped]]</f>
        <v>5934</v>
      </c>
    </row>
    <row r="162" spans="1:9" x14ac:dyDescent="0.25">
      <c r="A162" s="2">
        <v>45901</v>
      </c>
      <c r="B162" t="s">
        <v>37</v>
      </c>
      <c r="C162" t="s">
        <v>21</v>
      </c>
      <c r="D162">
        <v>125</v>
      </c>
      <c r="E162" s="3">
        <v>81</v>
      </c>
      <c r="F162" t="s">
        <v>32</v>
      </c>
      <c r="G162" t="s">
        <v>19</v>
      </c>
      <c r="H162" t="s">
        <v>13</v>
      </c>
      <c r="I162">
        <f>Table1[[#This Row],[Per unit]]*Table1[[#This Row],[Boxes Shipped]]</f>
        <v>10125</v>
      </c>
    </row>
    <row r="163" spans="1:9" x14ac:dyDescent="0.25">
      <c r="A163" s="2">
        <v>45852</v>
      </c>
      <c r="B163" t="s">
        <v>49</v>
      </c>
      <c r="C163" t="s">
        <v>21</v>
      </c>
      <c r="D163">
        <v>154</v>
      </c>
      <c r="E163" s="3">
        <v>42</v>
      </c>
      <c r="F163" t="s">
        <v>22</v>
      </c>
      <c r="G163" t="s">
        <v>28</v>
      </c>
      <c r="H163" t="s">
        <v>20</v>
      </c>
      <c r="I163">
        <f>Table1[[#This Row],[Per unit]]*Table1[[#This Row],[Boxes Shipped]]</f>
        <v>6468</v>
      </c>
    </row>
    <row r="164" spans="1:9" x14ac:dyDescent="0.25">
      <c r="A164" s="2">
        <v>45877</v>
      </c>
      <c r="B164" t="s">
        <v>37</v>
      </c>
      <c r="C164" t="s">
        <v>10</v>
      </c>
      <c r="D164">
        <v>181</v>
      </c>
      <c r="E164" s="3">
        <v>94</v>
      </c>
      <c r="F164" t="s">
        <v>15</v>
      </c>
      <c r="G164" t="s">
        <v>22</v>
      </c>
      <c r="H164" t="s">
        <v>23</v>
      </c>
      <c r="I164">
        <f>Table1[[#This Row],[Per unit]]*Table1[[#This Row],[Boxes Shipped]]</f>
        <v>17014</v>
      </c>
    </row>
    <row r="165" spans="1:9" x14ac:dyDescent="0.25">
      <c r="A165" s="2">
        <v>45705</v>
      </c>
      <c r="B165" t="s">
        <v>25</v>
      </c>
      <c r="C165" t="s">
        <v>17</v>
      </c>
      <c r="D165">
        <v>200</v>
      </c>
      <c r="E165" s="3">
        <v>82</v>
      </c>
      <c r="F165" t="s">
        <v>11</v>
      </c>
      <c r="G165" t="s">
        <v>34</v>
      </c>
      <c r="H165" t="s">
        <v>23</v>
      </c>
      <c r="I165">
        <f>Table1[[#This Row],[Per unit]]*Table1[[#This Row],[Boxes Shipped]]</f>
        <v>16400</v>
      </c>
    </row>
    <row r="166" spans="1:9" x14ac:dyDescent="0.25">
      <c r="A166" s="2">
        <v>45702</v>
      </c>
      <c r="B166" t="s">
        <v>44</v>
      </c>
      <c r="C166" t="s">
        <v>30</v>
      </c>
      <c r="D166">
        <v>433</v>
      </c>
      <c r="E166" s="3">
        <v>81</v>
      </c>
      <c r="F166" t="s">
        <v>15</v>
      </c>
      <c r="G166" t="s">
        <v>12</v>
      </c>
      <c r="H166" t="s">
        <v>16</v>
      </c>
      <c r="I166">
        <f>Table1[[#This Row],[Per unit]]*Table1[[#This Row],[Boxes Shipped]]</f>
        <v>35073</v>
      </c>
    </row>
    <row r="167" spans="1:9" x14ac:dyDescent="0.25">
      <c r="A167" s="2">
        <v>45680</v>
      </c>
      <c r="B167" t="s">
        <v>39</v>
      </c>
      <c r="C167" t="s">
        <v>10</v>
      </c>
      <c r="D167">
        <v>235</v>
      </c>
      <c r="E167" s="3">
        <v>68</v>
      </c>
      <c r="F167" t="s">
        <v>27</v>
      </c>
      <c r="G167" t="s">
        <v>11</v>
      </c>
      <c r="H167" t="s">
        <v>23</v>
      </c>
      <c r="I167">
        <f>Table1[[#This Row],[Per unit]]*Table1[[#This Row],[Boxes Shipped]]</f>
        <v>15980</v>
      </c>
    </row>
    <row r="168" spans="1:9" x14ac:dyDescent="0.25">
      <c r="A168" s="2">
        <v>45913</v>
      </c>
      <c r="B168" t="s">
        <v>37</v>
      </c>
      <c r="C168" t="s">
        <v>21</v>
      </c>
      <c r="D168">
        <v>258</v>
      </c>
      <c r="E168" s="3">
        <v>96</v>
      </c>
      <c r="F168" t="s">
        <v>12</v>
      </c>
      <c r="G168" t="s">
        <v>28</v>
      </c>
      <c r="H168" t="s">
        <v>13</v>
      </c>
      <c r="I168">
        <f>Table1[[#This Row],[Per unit]]*Table1[[#This Row],[Boxes Shipped]]</f>
        <v>24768</v>
      </c>
    </row>
    <row r="169" spans="1:9" x14ac:dyDescent="0.25">
      <c r="A169" s="2">
        <v>45998</v>
      </c>
      <c r="B169" t="s">
        <v>50</v>
      </c>
      <c r="C169" t="s">
        <v>17</v>
      </c>
      <c r="D169">
        <v>92</v>
      </c>
      <c r="E169" s="3">
        <v>29</v>
      </c>
      <c r="F169" t="s">
        <v>15</v>
      </c>
      <c r="G169" t="s">
        <v>11</v>
      </c>
      <c r="H169" t="s">
        <v>16</v>
      </c>
      <c r="I169">
        <f>Table1[[#This Row],[Per unit]]*Table1[[#This Row],[Boxes Shipped]]</f>
        <v>2668</v>
      </c>
    </row>
    <row r="170" spans="1:9" x14ac:dyDescent="0.25">
      <c r="A170" s="2">
        <v>45740</v>
      </c>
      <c r="B170" t="s">
        <v>48</v>
      </c>
      <c r="C170" t="s">
        <v>24</v>
      </c>
      <c r="D170">
        <v>200</v>
      </c>
      <c r="E170" s="3">
        <v>33</v>
      </c>
      <c r="F170" t="s">
        <v>26</v>
      </c>
      <c r="G170" t="s">
        <v>19</v>
      </c>
      <c r="H170" t="s">
        <v>13</v>
      </c>
      <c r="I170">
        <f>Table1[[#This Row],[Per unit]]*Table1[[#This Row],[Boxes Shipped]]</f>
        <v>6600</v>
      </c>
    </row>
    <row r="171" spans="1:9" x14ac:dyDescent="0.25">
      <c r="A171" s="2">
        <v>45711</v>
      </c>
      <c r="B171" t="s">
        <v>48</v>
      </c>
      <c r="C171" t="s">
        <v>30</v>
      </c>
      <c r="D171">
        <v>61</v>
      </c>
      <c r="E171" s="3">
        <v>32</v>
      </c>
      <c r="F171" t="s">
        <v>34</v>
      </c>
      <c r="G171" t="s">
        <v>32</v>
      </c>
      <c r="H171" t="s">
        <v>13</v>
      </c>
      <c r="I171">
        <f>Table1[[#This Row],[Per unit]]*Table1[[#This Row],[Boxes Shipped]]</f>
        <v>1952</v>
      </c>
    </row>
    <row r="172" spans="1:9" x14ac:dyDescent="0.25">
      <c r="A172" s="2">
        <v>45666</v>
      </c>
      <c r="B172" t="s">
        <v>46</v>
      </c>
      <c r="C172" t="s">
        <v>17</v>
      </c>
      <c r="D172">
        <v>246</v>
      </c>
      <c r="E172" s="3">
        <v>56</v>
      </c>
      <c r="F172" t="s">
        <v>32</v>
      </c>
      <c r="G172" t="s">
        <v>11</v>
      </c>
      <c r="H172" t="s">
        <v>13</v>
      </c>
      <c r="I172">
        <f>Table1[[#This Row],[Per unit]]*Table1[[#This Row],[Boxes Shipped]]</f>
        <v>13776</v>
      </c>
    </row>
    <row r="173" spans="1:9" x14ac:dyDescent="0.25">
      <c r="A173" s="2">
        <v>45821</v>
      </c>
      <c r="B173" t="s">
        <v>47</v>
      </c>
      <c r="C173" t="s">
        <v>30</v>
      </c>
      <c r="D173">
        <v>56</v>
      </c>
      <c r="E173" s="3">
        <v>94</v>
      </c>
      <c r="F173" t="s">
        <v>28</v>
      </c>
      <c r="G173" t="s">
        <v>26</v>
      </c>
      <c r="H173" t="s">
        <v>13</v>
      </c>
      <c r="I173">
        <f>Table1[[#This Row],[Per unit]]*Table1[[#This Row],[Boxes Shipped]]</f>
        <v>5264</v>
      </c>
    </row>
    <row r="174" spans="1:9" x14ac:dyDescent="0.25">
      <c r="A174" s="2">
        <v>45856</v>
      </c>
      <c r="B174" t="s">
        <v>47</v>
      </c>
      <c r="C174" t="s">
        <v>30</v>
      </c>
      <c r="D174">
        <v>87</v>
      </c>
      <c r="E174" s="3">
        <v>53</v>
      </c>
      <c r="F174" t="s">
        <v>11</v>
      </c>
      <c r="G174" t="s">
        <v>34</v>
      </c>
      <c r="H174" t="s">
        <v>16</v>
      </c>
      <c r="I174">
        <f>Table1[[#This Row],[Per unit]]*Table1[[#This Row],[Boxes Shipped]]</f>
        <v>4611</v>
      </c>
    </row>
    <row r="175" spans="1:9" x14ac:dyDescent="0.25">
      <c r="A175" s="2">
        <v>45744</v>
      </c>
      <c r="B175" t="s">
        <v>46</v>
      </c>
      <c r="C175" t="s">
        <v>21</v>
      </c>
      <c r="D175">
        <v>173</v>
      </c>
      <c r="E175" s="3">
        <v>82</v>
      </c>
      <c r="F175" t="s">
        <v>12</v>
      </c>
      <c r="G175" t="s">
        <v>34</v>
      </c>
      <c r="H175" t="s">
        <v>20</v>
      </c>
      <c r="I175">
        <f>Table1[[#This Row],[Per unit]]*Table1[[#This Row],[Boxes Shipped]]</f>
        <v>14186</v>
      </c>
    </row>
    <row r="176" spans="1:9" x14ac:dyDescent="0.25">
      <c r="A176" s="2">
        <v>45876</v>
      </c>
      <c r="B176" t="s">
        <v>43</v>
      </c>
      <c r="C176" t="s">
        <v>10</v>
      </c>
      <c r="D176">
        <v>252</v>
      </c>
      <c r="E176" s="3">
        <v>70</v>
      </c>
      <c r="F176" t="s">
        <v>32</v>
      </c>
      <c r="G176" t="s">
        <v>11</v>
      </c>
      <c r="H176" t="s">
        <v>29</v>
      </c>
      <c r="I176">
        <f>Table1[[#This Row],[Per unit]]*Table1[[#This Row],[Boxes Shipped]]</f>
        <v>17640</v>
      </c>
    </row>
    <row r="177" spans="1:9" x14ac:dyDescent="0.25">
      <c r="A177" s="2">
        <v>45771</v>
      </c>
      <c r="B177" t="s">
        <v>38</v>
      </c>
      <c r="C177" t="s">
        <v>24</v>
      </c>
      <c r="D177">
        <v>256</v>
      </c>
      <c r="E177" s="3">
        <v>76</v>
      </c>
      <c r="F177" t="s">
        <v>34</v>
      </c>
      <c r="G177" t="s">
        <v>12</v>
      </c>
      <c r="H177" t="s">
        <v>13</v>
      </c>
      <c r="I177">
        <f>Table1[[#This Row],[Per unit]]*Table1[[#This Row],[Boxes Shipped]]</f>
        <v>19456</v>
      </c>
    </row>
    <row r="178" spans="1:9" x14ac:dyDescent="0.25">
      <c r="A178" s="2">
        <v>45992</v>
      </c>
      <c r="B178" t="s">
        <v>50</v>
      </c>
      <c r="C178" t="s">
        <v>10</v>
      </c>
      <c r="D178">
        <v>239</v>
      </c>
      <c r="E178" s="3">
        <v>66</v>
      </c>
      <c r="F178" t="s">
        <v>11</v>
      </c>
      <c r="G178" t="s">
        <v>19</v>
      </c>
      <c r="H178" t="s">
        <v>23</v>
      </c>
      <c r="I178">
        <f>Table1[[#This Row],[Per unit]]*Table1[[#This Row],[Boxes Shipped]]</f>
        <v>15774</v>
      </c>
    </row>
    <row r="179" spans="1:9" x14ac:dyDescent="0.25">
      <c r="A179" s="2">
        <v>45979</v>
      </c>
      <c r="B179" t="s">
        <v>41</v>
      </c>
      <c r="C179" t="s">
        <v>17</v>
      </c>
      <c r="D179">
        <v>55</v>
      </c>
      <c r="E179" s="3">
        <v>94</v>
      </c>
      <c r="F179" t="s">
        <v>22</v>
      </c>
      <c r="G179" t="s">
        <v>34</v>
      </c>
      <c r="H179" t="s">
        <v>16</v>
      </c>
      <c r="I179">
        <f>Table1[[#This Row],[Per unit]]*Table1[[#This Row],[Boxes Shipped]]</f>
        <v>5170</v>
      </c>
    </row>
    <row r="180" spans="1:9" x14ac:dyDescent="0.25">
      <c r="A180" s="2">
        <v>45947</v>
      </c>
      <c r="B180" t="s">
        <v>18</v>
      </c>
      <c r="C180" t="s">
        <v>24</v>
      </c>
      <c r="D180">
        <v>277</v>
      </c>
      <c r="E180" s="3">
        <v>25</v>
      </c>
      <c r="F180" t="s">
        <v>15</v>
      </c>
      <c r="G180" t="s">
        <v>19</v>
      </c>
      <c r="H180" t="s">
        <v>16</v>
      </c>
      <c r="I180">
        <f>Table1[[#This Row],[Per unit]]*Table1[[#This Row],[Boxes Shipped]]</f>
        <v>6925</v>
      </c>
    </row>
    <row r="181" spans="1:9" x14ac:dyDescent="0.25">
      <c r="A181" s="2">
        <v>45770</v>
      </c>
      <c r="B181" t="s">
        <v>37</v>
      </c>
      <c r="C181" t="s">
        <v>17</v>
      </c>
      <c r="D181">
        <v>44</v>
      </c>
      <c r="E181" s="3">
        <v>88</v>
      </c>
      <c r="F181" t="s">
        <v>28</v>
      </c>
      <c r="G181" t="s">
        <v>32</v>
      </c>
      <c r="H181" t="s">
        <v>16</v>
      </c>
      <c r="I181">
        <f>Table1[[#This Row],[Per unit]]*Table1[[#This Row],[Boxes Shipped]]</f>
        <v>3872</v>
      </c>
    </row>
    <row r="182" spans="1:9" x14ac:dyDescent="0.25">
      <c r="A182" s="2">
        <v>45969</v>
      </c>
      <c r="B182" t="s">
        <v>50</v>
      </c>
      <c r="C182" t="s">
        <v>10</v>
      </c>
      <c r="D182">
        <v>96</v>
      </c>
      <c r="E182" s="3">
        <v>78</v>
      </c>
      <c r="F182" t="s">
        <v>32</v>
      </c>
      <c r="G182" t="s">
        <v>19</v>
      </c>
      <c r="H182" t="s">
        <v>16</v>
      </c>
      <c r="I182">
        <f>Table1[[#This Row],[Per unit]]*Table1[[#This Row],[Boxes Shipped]]</f>
        <v>7488</v>
      </c>
    </row>
    <row r="183" spans="1:9" x14ac:dyDescent="0.25">
      <c r="A183" s="2">
        <v>45925</v>
      </c>
      <c r="B183" t="s">
        <v>37</v>
      </c>
      <c r="C183" t="s">
        <v>17</v>
      </c>
      <c r="D183">
        <v>216</v>
      </c>
      <c r="E183" s="3">
        <v>45</v>
      </c>
      <c r="F183" t="s">
        <v>15</v>
      </c>
      <c r="G183" t="s">
        <v>12</v>
      </c>
      <c r="H183" t="s">
        <v>29</v>
      </c>
      <c r="I183">
        <f>Table1[[#This Row],[Per unit]]*Table1[[#This Row],[Boxes Shipped]]</f>
        <v>9720</v>
      </c>
    </row>
    <row r="184" spans="1:9" x14ac:dyDescent="0.25">
      <c r="A184" s="2">
        <v>45804</v>
      </c>
      <c r="B184" t="s">
        <v>40</v>
      </c>
      <c r="C184" t="s">
        <v>30</v>
      </c>
      <c r="D184">
        <v>424</v>
      </c>
      <c r="E184" s="3">
        <v>73</v>
      </c>
      <c r="F184" t="s">
        <v>28</v>
      </c>
      <c r="G184" t="s">
        <v>27</v>
      </c>
      <c r="H184" t="s">
        <v>16</v>
      </c>
      <c r="I184">
        <f>Table1[[#This Row],[Per unit]]*Table1[[#This Row],[Boxes Shipped]]</f>
        <v>30952</v>
      </c>
    </row>
    <row r="185" spans="1:9" x14ac:dyDescent="0.25">
      <c r="A185" s="2">
        <v>45990</v>
      </c>
      <c r="B185" t="s">
        <v>25</v>
      </c>
      <c r="C185" t="s">
        <v>17</v>
      </c>
      <c r="D185">
        <v>37</v>
      </c>
      <c r="E185" s="3">
        <v>61</v>
      </c>
      <c r="F185" t="s">
        <v>28</v>
      </c>
      <c r="G185" t="s">
        <v>22</v>
      </c>
      <c r="H185" t="s">
        <v>16</v>
      </c>
      <c r="I185">
        <f>Table1[[#This Row],[Per unit]]*Table1[[#This Row],[Boxes Shipped]]</f>
        <v>2257</v>
      </c>
    </row>
    <row r="186" spans="1:9" x14ac:dyDescent="0.25">
      <c r="A186" s="2">
        <v>45853</v>
      </c>
      <c r="B186" t="s">
        <v>38</v>
      </c>
      <c r="C186" t="s">
        <v>21</v>
      </c>
      <c r="D186">
        <v>158</v>
      </c>
      <c r="E186" s="3">
        <v>99</v>
      </c>
      <c r="F186" t="s">
        <v>27</v>
      </c>
      <c r="G186" t="s">
        <v>32</v>
      </c>
      <c r="H186" t="s">
        <v>23</v>
      </c>
      <c r="I186">
        <f>Table1[[#This Row],[Per unit]]*Table1[[#This Row],[Boxes Shipped]]</f>
        <v>15642</v>
      </c>
    </row>
    <row r="187" spans="1:9" x14ac:dyDescent="0.25">
      <c r="A187" s="2">
        <v>45942</v>
      </c>
      <c r="B187" t="s">
        <v>49</v>
      </c>
      <c r="C187" t="s">
        <v>10</v>
      </c>
      <c r="D187">
        <v>215</v>
      </c>
      <c r="E187" s="3">
        <v>71</v>
      </c>
      <c r="F187" t="s">
        <v>22</v>
      </c>
      <c r="G187" t="s">
        <v>11</v>
      </c>
      <c r="H187" t="s">
        <v>23</v>
      </c>
      <c r="I187">
        <f>Table1[[#This Row],[Per unit]]*Table1[[#This Row],[Boxes Shipped]]</f>
        <v>15265</v>
      </c>
    </row>
    <row r="188" spans="1:9" x14ac:dyDescent="0.25">
      <c r="A188" s="2">
        <v>45789</v>
      </c>
      <c r="B188" t="s">
        <v>49</v>
      </c>
      <c r="C188" t="s">
        <v>17</v>
      </c>
      <c r="D188">
        <v>109</v>
      </c>
      <c r="E188" s="3">
        <v>38</v>
      </c>
      <c r="F188" t="s">
        <v>27</v>
      </c>
      <c r="G188" t="s">
        <v>32</v>
      </c>
      <c r="H188" t="s">
        <v>29</v>
      </c>
      <c r="I188">
        <f>Table1[[#This Row],[Per unit]]*Table1[[#This Row],[Boxes Shipped]]</f>
        <v>4142</v>
      </c>
    </row>
    <row r="189" spans="1:9" x14ac:dyDescent="0.25">
      <c r="A189" s="2">
        <v>45662</v>
      </c>
      <c r="B189" t="s">
        <v>37</v>
      </c>
      <c r="C189" t="s">
        <v>10</v>
      </c>
      <c r="D189">
        <v>146</v>
      </c>
      <c r="E189" s="3">
        <v>100</v>
      </c>
      <c r="F189" t="s">
        <v>22</v>
      </c>
      <c r="G189" t="s">
        <v>34</v>
      </c>
      <c r="H189" t="s">
        <v>16</v>
      </c>
      <c r="I189">
        <f>Table1[[#This Row],[Per unit]]*Table1[[#This Row],[Boxes Shipped]]</f>
        <v>14600</v>
      </c>
    </row>
    <row r="190" spans="1:9" x14ac:dyDescent="0.25">
      <c r="A190" s="2">
        <v>45739</v>
      </c>
      <c r="B190" t="s">
        <v>50</v>
      </c>
      <c r="C190" t="s">
        <v>10</v>
      </c>
      <c r="D190">
        <v>377</v>
      </c>
      <c r="E190" s="3">
        <v>39</v>
      </c>
      <c r="F190" t="s">
        <v>15</v>
      </c>
      <c r="G190" t="s">
        <v>26</v>
      </c>
      <c r="H190" t="s">
        <v>23</v>
      </c>
      <c r="I190">
        <f>Table1[[#This Row],[Per unit]]*Table1[[#This Row],[Boxes Shipped]]</f>
        <v>14703</v>
      </c>
    </row>
    <row r="191" spans="1:9" x14ac:dyDescent="0.25">
      <c r="A191" s="2">
        <v>45888</v>
      </c>
      <c r="B191" t="s">
        <v>43</v>
      </c>
      <c r="C191" t="s">
        <v>24</v>
      </c>
      <c r="D191">
        <v>27</v>
      </c>
      <c r="E191" s="3">
        <v>55</v>
      </c>
      <c r="F191" t="s">
        <v>32</v>
      </c>
      <c r="G191" t="s">
        <v>15</v>
      </c>
      <c r="H191" t="s">
        <v>13</v>
      </c>
      <c r="I191">
        <f>Table1[[#This Row],[Per unit]]*Table1[[#This Row],[Boxes Shipped]]</f>
        <v>1485</v>
      </c>
    </row>
    <row r="192" spans="1:9" x14ac:dyDescent="0.25">
      <c r="A192" s="2">
        <v>45801</v>
      </c>
      <c r="B192" t="s">
        <v>36</v>
      </c>
      <c r="C192" t="s">
        <v>30</v>
      </c>
      <c r="D192">
        <v>69</v>
      </c>
      <c r="E192" s="3">
        <v>91</v>
      </c>
      <c r="F192" t="s">
        <v>22</v>
      </c>
      <c r="G192" t="s">
        <v>11</v>
      </c>
      <c r="H192" t="s">
        <v>20</v>
      </c>
      <c r="I192">
        <f>Table1[[#This Row],[Per unit]]*Table1[[#This Row],[Boxes Shipped]]</f>
        <v>6279</v>
      </c>
    </row>
    <row r="193" spans="1:9" x14ac:dyDescent="0.25">
      <c r="A193" s="2">
        <v>45773</v>
      </c>
      <c r="B193" t="s">
        <v>50</v>
      </c>
      <c r="C193" t="s">
        <v>24</v>
      </c>
      <c r="D193">
        <v>46</v>
      </c>
      <c r="E193" s="3">
        <v>38</v>
      </c>
      <c r="F193" t="s">
        <v>22</v>
      </c>
      <c r="G193" t="s">
        <v>22</v>
      </c>
      <c r="H193" t="s">
        <v>13</v>
      </c>
      <c r="I193">
        <f>Table1[[#This Row],[Per unit]]*Table1[[#This Row],[Boxes Shipped]]</f>
        <v>1748</v>
      </c>
    </row>
    <row r="194" spans="1:9" x14ac:dyDescent="0.25">
      <c r="A194" s="2">
        <v>45659</v>
      </c>
      <c r="B194" t="s">
        <v>31</v>
      </c>
      <c r="C194" t="s">
        <v>10</v>
      </c>
      <c r="D194">
        <v>170</v>
      </c>
      <c r="E194" s="3">
        <v>97</v>
      </c>
      <c r="F194" t="s">
        <v>28</v>
      </c>
      <c r="G194" t="s">
        <v>15</v>
      </c>
      <c r="H194" t="s">
        <v>29</v>
      </c>
      <c r="I194">
        <f>Table1[[#This Row],[Per unit]]*Table1[[#This Row],[Boxes Shipped]]</f>
        <v>16490</v>
      </c>
    </row>
    <row r="195" spans="1:9" x14ac:dyDescent="0.25">
      <c r="A195" s="2">
        <v>45739</v>
      </c>
      <c r="B195" t="s">
        <v>35</v>
      </c>
      <c r="C195" t="s">
        <v>21</v>
      </c>
      <c r="D195">
        <v>179</v>
      </c>
      <c r="E195" s="3">
        <v>22</v>
      </c>
      <c r="F195" t="s">
        <v>26</v>
      </c>
      <c r="G195" t="s">
        <v>22</v>
      </c>
      <c r="H195" t="s">
        <v>13</v>
      </c>
      <c r="I195">
        <f>Table1[[#This Row],[Per unit]]*Table1[[#This Row],[Boxes Shipped]]</f>
        <v>3938</v>
      </c>
    </row>
    <row r="196" spans="1:9" x14ac:dyDescent="0.25">
      <c r="A196" s="2">
        <v>45900</v>
      </c>
      <c r="B196" t="s">
        <v>46</v>
      </c>
      <c r="C196" t="s">
        <v>24</v>
      </c>
      <c r="D196">
        <v>265</v>
      </c>
      <c r="E196" s="3">
        <v>55</v>
      </c>
      <c r="F196" t="s">
        <v>26</v>
      </c>
      <c r="G196" t="s">
        <v>19</v>
      </c>
      <c r="H196" t="s">
        <v>23</v>
      </c>
      <c r="I196">
        <f>Table1[[#This Row],[Per unit]]*Table1[[#This Row],[Boxes Shipped]]</f>
        <v>14575</v>
      </c>
    </row>
    <row r="197" spans="1:9" x14ac:dyDescent="0.25">
      <c r="A197" s="2">
        <v>45873</v>
      </c>
      <c r="B197" t="s">
        <v>39</v>
      </c>
      <c r="C197" t="s">
        <v>10</v>
      </c>
      <c r="D197">
        <v>65</v>
      </c>
      <c r="E197" s="3">
        <v>84</v>
      </c>
      <c r="F197" t="s">
        <v>34</v>
      </c>
      <c r="G197" t="s">
        <v>28</v>
      </c>
      <c r="H197" t="s">
        <v>20</v>
      </c>
      <c r="I197">
        <f>Table1[[#This Row],[Per unit]]*Table1[[#This Row],[Boxes Shipped]]</f>
        <v>5460</v>
      </c>
    </row>
    <row r="198" spans="1:9" x14ac:dyDescent="0.25">
      <c r="A198" s="2">
        <v>45783</v>
      </c>
      <c r="B198" t="s">
        <v>38</v>
      </c>
      <c r="C198" t="s">
        <v>21</v>
      </c>
      <c r="D198">
        <v>99</v>
      </c>
      <c r="E198" s="3">
        <v>93</v>
      </c>
      <c r="F198" t="s">
        <v>11</v>
      </c>
      <c r="G198" t="s">
        <v>26</v>
      </c>
      <c r="H198" t="s">
        <v>20</v>
      </c>
      <c r="I198">
        <f>Table1[[#This Row],[Per unit]]*Table1[[#This Row],[Boxes Shipped]]</f>
        <v>9207</v>
      </c>
    </row>
    <row r="199" spans="1:9" x14ac:dyDescent="0.25">
      <c r="A199" s="2">
        <v>45768</v>
      </c>
      <c r="B199" t="s">
        <v>36</v>
      </c>
      <c r="C199" t="s">
        <v>30</v>
      </c>
      <c r="D199">
        <v>275</v>
      </c>
      <c r="E199" s="3">
        <v>50</v>
      </c>
      <c r="F199" t="s">
        <v>34</v>
      </c>
      <c r="G199" t="s">
        <v>12</v>
      </c>
      <c r="H199" t="s">
        <v>29</v>
      </c>
      <c r="I199">
        <f>Table1[[#This Row],[Per unit]]*Table1[[#This Row],[Boxes Shipped]]</f>
        <v>13750</v>
      </c>
    </row>
    <row r="200" spans="1:9" x14ac:dyDescent="0.25">
      <c r="A200" s="2">
        <v>45792</v>
      </c>
      <c r="B200" t="s">
        <v>37</v>
      </c>
      <c r="C200" t="s">
        <v>30</v>
      </c>
      <c r="D200">
        <v>157</v>
      </c>
      <c r="E200" s="3">
        <v>64</v>
      </c>
      <c r="F200" t="s">
        <v>32</v>
      </c>
      <c r="G200" t="s">
        <v>11</v>
      </c>
      <c r="H200" t="s">
        <v>20</v>
      </c>
      <c r="I200">
        <f>Table1[[#This Row],[Per unit]]*Table1[[#This Row],[Boxes Shipped]]</f>
        <v>10048</v>
      </c>
    </row>
    <row r="201" spans="1:9" x14ac:dyDescent="0.25">
      <c r="A201" s="2">
        <v>45842</v>
      </c>
      <c r="B201" t="s">
        <v>14</v>
      </c>
      <c r="C201" t="s">
        <v>30</v>
      </c>
      <c r="D201">
        <v>157</v>
      </c>
      <c r="E201" s="3">
        <v>61</v>
      </c>
      <c r="F201" t="s">
        <v>28</v>
      </c>
      <c r="G201" t="s">
        <v>27</v>
      </c>
      <c r="H201" t="s">
        <v>29</v>
      </c>
      <c r="I201">
        <f>Table1[[#This Row],[Per unit]]*Table1[[#This Row],[Boxes Shipped]]</f>
        <v>9577</v>
      </c>
    </row>
    <row r="202" spans="1:9" x14ac:dyDescent="0.25">
      <c r="A202" s="2">
        <v>45866</v>
      </c>
      <c r="B202" t="s">
        <v>44</v>
      </c>
      <c r="C202" t="s">
        <v>21</v>
      </c>
      <c r="D202">
        <v>145</v>
      </c>
      <c r="E202" s="3">
        <v>48</v>
      </c>
      <c r="F202" t="s">
        <v>27</v>
      </c>
      <c r="G202" t="s">
        <v>27</v>
      </c>
      <c r="H202" t="s">
        <v>29</v>
      </c>
      <c r="I202">
        <f>Table1[[#This Row],[Per unit]]*Table1[[#This Row],[Boxes Shipped]]</f>
        <v>6960</v>
      </c>
    </row>
    <row r="203" spans="1:9" x14ac:dyDescent="0.25">
      <c r="A203" s="2">
        <v>45759</v>
      </c>
      <c r="B203" t="s">
        <v>49</v>
      </c>
      <c r="C203" t="s">
        <v>21</v>
      </c>
      <c r="D203">
        <v>409</v>
      </c>
      <c r="E203" s="3">
        <v>35</v>
      </c>
      <c r="F203" t="s">
        <v>12</v>
      </c>
      <c r="G203" t="s">
        <v>26</v>
      </c>
      <c r="H203" t="s">
        <v>23</v>
      </c>
      <c r="I203">
        <f>Table1[[#This Row],[Per unit]]*Table1[[#This Row],[Boxes Shipped]]</f>
        <v>14315</v>
      </c>
    </row>
    <row r="204" spans="1:9" x14ac:dyDescent="0.25">
      <c r="A204" s="2">
        <v>45667</v>
      </c>
      <c r="B204" t="s">
        <v>48</v>
      </c>
      <c r="C204" t="s">
        <v>10</v>
      </c>
      <c r="D204">
        <v>155</v>
      </c>
      <c r="E204" s="3">
        <v>90</v>
      </c>
      <c r="F204" t="s">
        <v>32</v>
      </c>
      <c r="G204" t="s">
        <v>32</v>
      </c>
      <c r="H204" t="s">
        <v>23</v>
      </c>
      <c r="I204">
        <f>Table1[[#This Row],[Per unit]]*Table1[[#This Row],[Boxes Shipped]]</f>
        <v>13950</v>
      </c>
    </row>
    <row r="205" spans="1:9" x14ac:dyDescent="0.25">
      <c r="A205" s="2">
        <v>45851</v>
      </c>
      <c r="B205" t="s">
        <v>38</v>
      </c>
      <c r="C205" t="s">
        <v>17</v>
      </c>
      <c r="D205">
        <v>38</v>
      </c>
      <c r="E205" s="3">
        <v>68</v>
      </c>
      <c r="F205" t="s">
        <v>15</v>
      </c>
      <c r="G205" t="s">
        <v>11</v>
      </c>
      <c r="H205" t="s">
        <v>20</v>
      </c>
      <c r="I205">
        <f>Table1[[#This Row],[Per unit]]*Table1[[#This Row],[Boxes Shipped]]</f>
        <v>2584</v>
      </c>
    </row>
    <row r="206" spans="1:9" x14ac:dyDescent="0.25">
      <c r="A206" s="2">
        <v>45846</v>
      </c>
      <c r="B206" t="s">
        <v>43</v>
      </c>
      <c r="C206" t="s">
        <v>17</v>
      </c>
      <c r="D206">
        <v>117</v>
      </c>
      <c r="E206" s="3">
        <v>94</v>
      </c>
      <c r="F206" t="s">
        <v>26</v>
      </c>
      <c r="G206" t="s">
        <v>12</v>
      </c>
      <c r="H206" t="s">
        <v>13</v>
      </c>
      <c r="I206">
        <f>Table1[[#This Row],[Per unit]]*Table1[[#This Row],[Boxes Shipped]]</f>
        <v>10998</v>
      </c>
    </row>
    <row r="207" spans="1:9" x14ac:dyDescent="0.25">
      <c r="A207" s="2">
        <v>45746</v>
      </c>
      <c r="B207" t="s">
        <v>9</v>
      </c>
      <c r="C207" t="s">
        <v>10</v>
      </c>
      <c r="D207">
        <v>417</v>
      </c>
      <c r="E207" s="3">
        <v>41</v>
      </c>
      <c r="F207" t="s">
        <v>32</v>
      </c>
      <c r="G207" t="s">
        <v>11</v>
      </c>
      <c r="H207" t="s">
        <v>29</v>
      </c>
      <c r="I207">
        <f>Table1[[#This Row],[Per unit]]*Table1[[#This Row],[Boxes Shipped]]</f>
        <v>17097</v>
      </c>
    </row>
    <row r="208" spans="1:9" x14ac:dyDescent="0.25">
      <c r="A208" s="2">
        <v>46017</v>
      </c>
      <c r="B208" t="s">
        <v>31</v>
      </c>
      <c r="C208" t="s">
        <v>30</v>
      </c>
      <c r="D208">
        <v>57</v>
      </c>
      <c r="E208" s="3">
        <v>83</v>
      </c>
      <c r="F208" t="s">
        <v>34</v>
      </c>
      <c r="G208" t="s">
        <v>27</v>
      </c>
      <c r="H208" t="s">
        <v>13</v>
      </c>
      <c r="I208">
        <f>Table1[[#This Row],[Per unit]]*Table1[[#This Row],[Boxes Shipped]]</f>
        <v>4731</v>
      </c>
    </row>
    <row r="209" spans="1:9" x14ac:dyDescent="0.25">
      <c r="A209" s="2">
        <v>46018</v>
      </c>
      <c r="B209" t="s">
        <v>45</v>
      </c>
      <c r="C209" t="s">
        <v>21</v>
      </c>
      <c r="D209">
        <v>269</v>
      </c>
      <c r="E209" s="3">
        <v>51</v>
      </c>
      <c r="F209" t="s">
        <v>27</v>
      </c>
      <c r="G209" t="s">
        <v>11</v>
      </c>
      <c r="H209" t="s">
        <v>23</v>
      </c>
      <c r="I209">
        <f>Table1[[#This Row],[Per unit]]*Table1[[#This Row],[Boxes Shipped]]</f>
        <v>13719</v>
      </c>
    </row>
    <row r="210" spans="1:9" x14ac:dyDescent="0.25">
      <c r="A210" s="2">
        <v>45994</v>
      </c>
      <c r="B210" t="s">
        <v>46</v>
      </c>
      <c r="C210" t="s">
        <v>30</v>
      </c>
      <c r="D210">
        <v>166</v>
      </c>
      <c r="E210" s="3">
        <v>74</v>
      </c>
      <c r="F210" t="s">
        <v>15</v>
      </c>
      <c r="G210" t="s">
        <v>27</v>
      </c>
      <c r="H210" t="s">
        <v>20</v>
      </c>
      <c r="I210">
        <f>Table1[[#This Row],[Per unit]]*Table1[[#This Row],[Boxes Shipped]]</f>
        <v>12284</v>
      </c>
    </row>
    <row r="211" spans="1:9" x14ac:dyDescent="0.25">
      <c r="A211" s="2">
        <v>45756</v>
      </c>
      <c r="B211" t="s">
        <v>48</v>
      </c>
      <c r="C211" t="s">
        <v>10</v>
      </c>
      <c r="D211">
        <v>3</v>
      </c>
      <c r="E211" s="3">
        <v>90</v>
      </c>
      <c r="F211" t="s">
        <v>11</v>
      </c>
      <c r="G211" t="s">
        <v>19</v>
      </c>
      <c r="H211" t="s">
        <v>20</v>
      </c>
      <c r="I211">
        <f>Table1[[#This Row],[Per unit]]*Table1[[#This Row],[Boxes Shipped]]</f>
        <v>270</v>
      </c>
    </row>
    <row r="212" spans="1:9" x14ac:dyDescent="0.25">
      <c r="A212" s="2">
        <v>45811</v>
      </c>
      <c r="B212" t="s">
        <v>46</v>
      </c>
      <c r="C212" t="s">
        <v>21</v>
      </c>
      <c r="D212">
        <v>72</v>
      </c>
      <c r="E212" s="3">
        <v>79</v>
      </c>
      <c r="F212" t="s">
        <v>28</v>
      </c>
      <c r="G212" t="s">
        <v>22</v>
      </c>
      <c r="H212" t="s">
        <v>16</v>
      </c>
      <c r="I212">
        <f>Table1[[#This Row],[Per unit]]*Table1[[#This Row],[Boxes Shipped]]</f>
        <v>5688</v>
      </c>
    </row>
    <row r="213" spans="1:9" x14ac:dyDescent="0.25">
      <c r="A213" s="2">
        <v>46020</v>
      </c>
      <c r="B213" t="s">
        <v>49</v>
      </c>
      <c r="C213" t="s">
        <v>30</v>
      </c>
      <c r="D213">
        <v>95</v>
      </c>
      <c r="E213" s="3">
        <v>28</v>
      </c>
      <c r="F213" t="s">
        <v>22</v>
      </c>
      <c r="G213" t="s">
        <v>22</v>
      </c>
      <c r="H213" t="s">
        <v>13</v>
      </c>
      <c r="I213">
        <f>Table1[[#This Row],[Per unit]]*Table1[[#This Row],[Boxes Shipped]]</f>
        <v>2660</v>
      </c>
    </row>
    <row r="214" spans="1:9" x14ac:dyDescent="0.25">
      <c r="A214" s="2">
        <v>46013</v>
      </c>
      <c r="B214" t="s">
        <v>44</v>
      </c>
      <c r="C214" t="s">
        <v>30</v>
      </c>
      <c r="D214">
        <v>276</v>
      </c>
      <c r="E214" s="3">
        <v>46</v>
      </c>
      <c r="F214" t="s">
        <v>19</v>
      </c>
      <c r="G214" t="s">
        <v>11</v>
      </c>
      <c r="H214" t="s">
        <v>23</v>
      </c>
      <c r="I214">
        <f>Table1[[#This Row],[Per unit]]*Table1[[#This Row],[Boxes Shipped]]</f>
        <v>12696</v>
      </c>
    </row>
    <row r="215" spans="1:9" x14ac:dyDescent="0.25">
      <c r="A215" s="2">
        <v>45862</v>
      </c>
      <c r="B215" t="s">
        <v>43</v>
      </c>
      <c r="C215" t="s">
        <v>24</v>
      </c>
      <c r="D215">
        <v>100</v>
      </c>
      <c r="E215" s="3">
        <v>26</v>
      </c>
      <c r="F215" t="s">
        <v>26</v>
      </c>
      <c r="G215" t="s">
        <v>11</v>
      </c>
      <c r="H215" t="s">
        <v>16</v>
      </c>
      <c r="I215">
        <f>Table1[[#This Row],[Per unit]]*Table1[[#This Row],[Boxes Shipped]]</f>
        <v>2600</v>
      </c>
    </row>
    <row r="216" spans="1:9" x14ac:dyDescent="0.25">
      <c r="A216" s="2">
        <v>45688</v>
      </c>
      <c r="B216" t="s">
        <v>35</v>
      </c>
      <c r="C216" t="s">
        <v>24</v>
      </c>
      <c r="D216">
        <v>288</v>
      </c>
      <c r="E216" s="3">
        <v>44</v>
      </c>
      <c r="F216" t="s">
        <v>26</v>
      </c>
      <c r="G216" t="s">
        <v>28</v>
      </c>
      <c r="H216" t="s">
        <v>23</v>
      </c>
      <c r="I216">
        <f>Table1[[#This Row],[Per unit]]*Table1[[#This Row],[Boxes Shipped]]</f>
        <v>12672</v>
      </c>
    </row>
    <row r="217" spans="1:9" x14ac:dyDescent="0.25">
      <c r="A217" s="2">
        <v>45704</v>
      </c>
      <c r="B217" t="s">
        <v>36</v>
      </c>
      <c r="C217" t="s">
        <v>24</v>
      </c>
      <c r="D217">
        <v>188</v>
      </c>
      <c r="E217" s="3">
        <v>67</v>
      </c>
      <c r="F217" t="s">
        <v>27</v>
      </c>
      <c r="G217" t="s">
        <v>34</v>
      </c>
      <c r="H217" t="s">
        <v>23</v>
      </c>
      <c r="I217">
        <f>Table1[[#This Row],[Per unit]]*Table1[[#This Row],[Boxes Shipped]]</f>
        <v>12596</v>
      </c>
    </row>
    <row r="218" spans="1:9" x14ac:dyDescent="0.25">
      <c r="A218" s="2">
        <v>45880</v>
      </c>
      <c r="B218" t="s">
        <v>47</v>
      </c>
      <c r="C218" t="s">
        <v>10</v>
      </c>
      <c r="D218">
        <v>7</v>
      </c>
      <c r="E218" s="3">
        <v>39</v>
      </c>
      <c r="F218" t="s">
        <v>28</v>
      </c>
      <c r="G218" t="s">
        <v>27</v>
      </c>
      <c r="H218" t="s">
        <v>16</v>
      </c>
      <c r="I218">
        <f>Table1[[#This Row],[Per unit]]*Table1[[#This Row],[Boxes Shipped]]</f>
        <v>273</v>
      </c>
    </row>
    <row r="219" spans="1:9" x14ac:dyDescent="0.25">
      <c r="A219" s="2">
        <v>45772</v>
      </c>
      <c r="B219" t="s">
        <v>36</v>
      </c>
      <c r="C219" t="s">
        <v>30</v>
      </c>
      <c r="D219">
        <v>149</v>
      </c>
      <c r="E219" s="3">
        <v>89</v>
      </c>
      <c r="F219" t="s">
        <v>34</v>
      </c>
      <c r="G219" t="s">
        <v>34</v>
      </c>
      <c r="H219" t="s">
        <v>13</v>
      </c>
      <c r="I219">
        <f>Table1[[#This Row],[Per unit]]*Table1[[#This Row],[Boxes Shipped]]</f>
        <v>13261</v>
      </c>
    </row>
    <row r="220" spans="1:9" x14ac:dyDescent="0.25">
      <c r="A220" s="2">
        <v>45912</v>
      </c>
      <c r="B220" t="s">
        <v>18</v>
      </c>
      <c r="C220" t="s">
        <v>21</v>
      </c>
      <c r="D220">
        <v>286</v>
      </c>
      <c r="E220" s="3">
        <v>43</v>
      </c>
      <c r="F220" t="s">
        <v>19</v>
      </c>
      <c r="G220" t="s">
        <v>32</v>
      </c>
      <c r="H220" t="s">
        <v>23</v>
      </c>
      <c r="I220">
        <f>Table1[[#This Row],[Per unit]]*Table1[[#This Row],[Boxes Shipped]]</f>
        <v>12298</v>
      </c>
    </row>
    <row r="221" spans="1:9" x14ac:dyDescent="0.25">
      <c r="A221" s="2">
        <v>45935</v>
      </c>
      <c r="B221" t="s">
        <v>9</v>
      </c>
      <c r="C221" t="s">
        <v>21</v>
      </c>
      <c r="D221">
        <v>242</v>
      </c>
      <c r="E221" s="3">
        <v>90</v>
      </c>
      <c r="F221" t="s">
        <v>34</v>
      </c>
      <c r="G221" t="s">
        <v>15</v>
      </c>
      <c r="H221" t="s">
        <v>16</v>
      </c>
      <c r="I221">
        <f>Table1[[#This Row],[Per unit]]*Table1[[#This Row],[Boxes Shipped]]</f>
        <v>21780</v>
      </c>
    </row>
    <row r="222" spans="1:9" x14ac:dyDescent="0.25">
      <c r="A222" s="2">
        <v>45804</v>
      </c>
      <c r="B222" t="s">
        <v>39</v>
      </c>
      <c r="C222" t="s">
        <v>24</v>
      </c>
      <c r="D222">
        <v>102</v>
      </c>
      <c r="E222" s="3">
        <v>34</v>
      </c>
      <c r="F222" t="s">
        <v>12</v>
      </c>
      <c r="G222" t="s">
        <v>26</v>
      </c>
      <c r="H222" t="s">
        <v>16</v>
      </c>
      <c r="I222">
        <f>Table1[[#This Row],[Per unit]]*Table1[[#This Row],[Boxes Shipped]]</f>
        <v>3468</v>
      </c>
    </row>
    <row r="223" spans="1:9" x14ac:dyDescent="0.25">
      <c r="A223" s="2">
        <v>45689</v>
      </c>
      <c r="B223" t="s">
        <v>18</v>
      </c>
      <c r="C223" t="s">
        <v>30</v>
      </c>
      <c r="D223">
        <v>158</v>
      </c>
      <c r="E223" s="3">
        <v>51</v>
      </c>
      <c r="F223" t="s">
        <v>11</v>
      </c>
      <c r="G223" t="s">
        <v>22</v>
      </c>
      <c r="H223" t="s">
        <v>29</v>
      </c>
      <c r="I223">
        <f>Table1[[#This Row],[Per unit]]*Table1[[#This Row],[Boxes Shipped]]</f>
        <v>8058</v>
      </c>
    </row>
    <row r="224" spans="1:9" x14ac:dyDescent="0.25">
      <c r="A224" s="2">
        <v>45853</v>
      </c>
      <c r="B224" t="s">
        <v>40</v>
      </c>
      <c r="C224" t="s">
        <v>21</v>
      </c>
      <c r="D224">
        <v>128</v>
      </c>
      <c r="E224" s="3">
        <v>45</v>
      </c>
      <c r="F224" t="s">
        <v>34</v>
      </c>
      <c r="G224" t="s">
        <v>27</v>
      </c>
      <c r="H224" t="s">
        <v>13</v>
      </c>
      <c r="I224">
        <f>Table1[[#This Row],[Per unit]]*Table1[[#This Row],[Boxes Shipped]]</f>
        <v>5760</v>
      </c>
    </row>
    <row r="225" spans="1:9" x14ac:dyDescent="0.25">
      <c r="A225" s="2">
        <v>45892</v>
      </c>
      <c r="B225" t="s">
        <v>41</v>
      </c>
      <c r="C225" t="s">
        <v>10</v>
      </c>
      <c r="D225">
        <v>156</v>
      </c>
      <c r="E225" s="3">
        <v>78</v>
      </c>
      <c r="F225" t="s">
        <v>34</v>
      </c>
      <c r="G225" t="s">
        <v>26</v>
      </c>
      <c r="H225" t="s">
        <v>23</v>
      </c>
      <c r="I225">
        <f>Table1[[#This Row],[Per unit]]*Table1[[#This Row],[Boxes Shipped]]</f>
        <v>12168</v>
      </c>
    </row>
    <row r="226" spans="1:9" x14ac:dyDescent="0.25">
      <c r="A226" s="2">
        <v>45790</v>
      </c>
      <c r="B226" t="s">
        <v>9</v>
      </c>
      <c r="C226" t="s">
        <v>30</v>
      </c>
      <c r="D226">
        <v>209</v>
      </c>
      <c r="E226" s="3">
        <v>85</v>
      </c>
      <c r="F226" t="s">
        <v>34</v>
      </c>
      <c r="G226" t="s">
        <v>19</v>
      </c>
      <c r="H226" t="s">
        <v>20</v>
      </c>
      <c r="I226">
        <f>Table1[[#This Row],[Per unit]]*Table1[[#This Row],[Boxes Shipped]]</f>
        <v>17765</v>
      </c>
    </row>
    <row r="227" spans="1:9" x14ac:dyDescent="0.25">
      <c r="A227" s="2">
        <v>45716</v>
      </c>
      <c r="B227" t="s">
        <v>43</v>
      </c>
      <c r="C227" t="s">
        <v>24</v>
      </c>
      <c r="D227">
        <v>52</v>
      </c>
      <c r="E227" s="3">
        <v>100</v>
      </c>
      <c r="F227" t="s">
        <v>22</v>
      </c>
      <c r="G227" t="s">
        <v>11</v>
      </c>
      <c r="H227" t="s">
        <v>16</v>
      </c>
      <c r="I227">
        <f>Table1[[#This Row],[Per unit]]*Table1[[#This Row],[Boxes Shipped]]</f>
        <v>5200</v>
      </c>
    </row>
    <row r="228" spans="1:9" x14ac:dyDescent="0.25">
      <c r="A228" s="2">
        <v>45723</v>
      </c>
      <c r="B228" t="s">
        <v>48</v>
      </c>
      <c r="C228" t="s">
        <v>17</v>
      </c>
      <c r="D228">
        <v>128</v>
      </c>
      <c r="E228" s="3">
        <v>95</v>
      </c>
      <c r="F228" t="s">
        <v>15</v>
      </c>
      <c r="G228" t="s">
        <v>26</v>
      </c>
      <c r="H228" t="s">
        <v>23</v>
      </c>
      <c r="I228">
        <f>Table1[[#This Row],[Per unit]]*Table1[[#This Row],[Boxes Shipped]]</f>
        <v>12160</v>
      </c>
    </row>
    <row r="229" spans="1:9" x14ac:dyDescent="0.25">
      <c r="A229" s="2">
        <v>45909</v>
      </c>
      <c r="B229" t="s">
        <v>41</v>
      </c>
      <c r="C229" t="s">
        <v>10</v>
      </c>
      <c r="D229">
        <v>138</v>
      </c>
      <c r="E229" s="3">
        <v>88</v>
      </c>
      <c r="F229" t="s">
        <v>32</v>
      </c>
      <c r="G229" t="s">
        <v>15</v>
      </c>
      <c r="H229" t="s">
        <v>23</v>
      </c>
      <c r="I229">
        <f>Table1[[#This Row],[Per unit]]*Table1[[#This Row],[Boxes Shipped]]</f>
        <v>12144</v>
      </c>
    </row>
    <row r="230" spans="1:9" x14ac:dyDescent="0.25">
      <c r="A230" s="2">
        <v>45895</v>
      </c>
      <c r="B230" t="s">
        <v>48</v>
      </c>
      <c r="C230" t="s">
        <v>21</v>
      </c>
      <c r="D230">
        <v>51</v>
      </c>
      <c r="E230" s="3">
        <v>86</v>
      </c>
      <c r="F230" t="s">
        <v>15</v>
      </c>
      <c r="G230" t="s">
        <v>12</v>
      </c>
      <c r="H230" t="s">
        <v>16</v>
      </c>
      <c r="I230">
        <f>Table1[[#This Row],[Per unit]]*Table1[[#This Row],[Boxes Shipped]]</f>
        <v>4386</v>
      </c>
    </row>
    <row r="231" spans="1:9" x14ac:dyDescent="0.25">
      <c r="A231" s="2">
        <v>45913</v>
      </c>
      <c r="B231" t="s">
        <v>25</v>
      </c>
      <c r="C231" t="s">
        <v>24</v>
      </c>
      <c r="D231">
        <v>216</v>
      </c>
      <c r="E231" s="3">
        <v>66</v>
      </c>
      <c r="F231" t="s">
        <v>22</v>
      </c>
      <c r="G231" t="s">
        <v>15</v>
      </c>
      <c r="H231" t="s">
        <v>13</v>
      </c>
      <c r="I231">
        <f>Table1[[#This Row],[Per unit]]*Table1[[#This Row],[Boxes Shipped]]</f>
        <v>14256</v>
      </c>
    </row>
    <row r="232" spans="1:9" x14ac:dyDescent="0.25">
      <c r="A232" s="2">
        <v>45941</v>
      </c>
      <c r="B232" t="s">
        <v>39</v>
      </c>
      <c r="C232" t="s">
        <v>24</v>
      </c>
      <c r="D232">
        <v>318</v>
      </c>
      <c r="E232" s="3">
        <v>100</v>
      </c>
      <c r="F232" t="s">
        <v>15</v>
      </c>
      <c r="G232" t="s">
        <v>22</v>
      </c>
      <c r="H232" t="s">
        <v>16</v>
      </c>
      <c r="I232">
        <f>Table1[[#This Row],[Per unit]]*Table1[[#This Row],[Boxes Shipped]]</f>
        <v>31800</v>
      </c>
    </row>
    <row r="233" spans="1:9" x14ac:dyDescent="0.25">
      <c r="A233" s="2">
        <v>45900</v>
      </c>
      <c r="B233" t="s">
        <v>33</v>
      </c>
      <c r="C233" t="s">
        <v>17</v>
      </c>
      <c r="D233">
        <v>238</v>
      </c>
      <c r="E233" s="3">
        <v>47</v>
      </c>
      <c r="F233" t="s">
        <v>32</v>
      </c>
      <c r="G233" t="s">
        <v>15</v>
      </c>
      <c r="H233" t="s">
        <v>13</v>
      </c>
      <c r="I233">
        <f>Table1[[#This Row],[Per unit]]*Table1[[#This Row],[Boxes Shipped]]</f>
        <v>11186</v>
      </c>
    </row>
    <row r="234" spans="1:9" x14ac:dyDescent="0.25">
      <c r="A234" s="2">
        <v>45755</v>
      </c>
      <c r="B234" t="s">
        <v>42</v>
      </c>
      <c r="C234" t="s">
        <v>21</v>
      </c>
      <c r="D234">
        <v>238</v>
      </c>
      <c r="E234" s="3">
        <v>25</v>
      </c>
      <c r="F234" t="s">
        <v>11</v>
      </c>
      <c r="G234" t="s">
        <v>12</v>
      </c>
      <c r="H234" t="s">
        <v>20</v>
      </c>
      <c r="I234">
        <f>Table1[[#This Row],[Per unit]]*Table1[[#This Row],[Boxes Shipped]]</f>
        <v>5950</v>
      </c>
    </row>
    <row r="235" spans="1:9" x14ac:dyDescent="0.25">
      <c r="A235" s="2">
        <v>45765</v>
      </c>
      <c r="B235" t="s">
        <v>47</v>
      </c>
      <c r="C235" t="s">
        <v>17</v>
      </c>
      <c r="D235">
        <v>315</v>
      </c>
      <c r="E235" s="3">
        <v>51</v>
      </c>
      <c r="F235" t="s">
        <v>28</v>
      </c>
      <c r="G235" t="s">
        <v>28</v>
      </c>
      <c r="H235" t="s">
        <v>13</v>
      </c>
      <c r="I235">
        <f>Table1[[#This Row],[Per unit]]*Table1[[#This Row],[Boxes Shipped]]</f>
        <v>16065</v>
      </c>
    </row>
    <row r="236" spans="1:9" x14ac:dyDescent="0.25">
      <c r="A236" s="2">
        <v>45754</v>
      </c>
      <c r="B236" t="s">
        <v>36</v>
      </c>
      <c r="C236" t="s">
        <v>24</v>
      </c>
      <c r="D236">
        <v>3</v>
      </c>
      <c r="E236" s="3">
        <v>73</v>
      </c>
      <c r="F236" t="s">
        <v>32</v>
      </c>
      <c r="G236" t="s">
        <v>22</v>
      </c>
      <c r="H236" t="s">
        <v>20</v>
      </c>
      <c r="I236">
        <f>Table1[[#This Row],[Per unit]]*Table1[[#This Row],[Boxes Shipped]]</f>
        <v>219</v>
      </c>
    </row>
    <row r="237" spans="1:9" x14ac:dyDescent="0.25">
      <c r="A237" s="2">
        <v>45931</v>
      </c>
      <c r="B237" t="s">
        <v>48</v>
      </c>
      <c r="C237" t="s">
        <v>17</v>
      </c>
      <c r="D237">
        <v>45</v>
      </c>
      <c r="E237" s="3">
        <v>42</v>
      </c>
      <c r="F237" t="s">
        <v>22</v>
      </c>
      <c r="G237" t="s">
        <v>27</v>
      </c>
      <c r="H237" t="s">
        <v>16</v>
      </c>
      <c r="I237">
        <f>Table1[[#This Row],[Per unit]]*Table1[[#This Row],[Boxes Shipped]]</f>
        <v>1890</v>
      </c>
    </row>
    <row r="238" spans="1:9" x14ac:dyDescent="0.25">
      <c r="A238" s="2">
        <v>45805</v>
      </c>
      <c r="B238" t="s">
        <v>14</v>
      </c>
      <c r="C238" t="s">
        <v>24</v>
      </c>
      <c r="D238">
        <v>53</v>
      </c>
      <c r="E238" s="3">
        <v>53</v>
      </c>
      <c r="F238" t="s">
        <v>22</v>
      </c>
      <c r="G238" t="s">
        <v>34</v>
      </c>
      <c r="H238" t="s">
        <v>20</v>
      </c>
      <c r="I238">
        <f>Table1[[#This Row],[Per unit]]*Table1[[#This Row],[Boxes Shipped]]</f>
        <v>2809</v>
      </c>
    </row>
    <row r="239" spans="1:9" x14ac:dyDescent="0.25">
      <c r="A239" s="2">
        <v>45850</v>
      </c>
      <c r="B239" t="s">
        <v>48</v>
      </c>
      <c r="C239" t="s">
        <v>17</v>
      </c>
      <c r="D239">
        <v>172</v>
      </c>
      <c r="E239" s="3">
        <v>74</v>
      </c>
      <c r="F239" t="s">
        <v>11</v>
      </c>
      <c r="G239" t="s">
        <v>22</v>
      </c>
      <c r="H239" t="s">
        <v>16</v>
      </c>
      <c r="I239">
        <f>Table1[[#This Row],[Per unit]]*Table1[[#This Row],[Boxes Shipped]]</f>
        <v>12728</v>
      </c>
    </row>
    <row r="240" spans="1:9" x14ac:dyDescent="0.25">
      <c r="A240" s="2">
        <v>45672</v>
      </c>
      <c r="B240" t="s">
        <v>46</v>
      </c>
      <c r="C240" t="s">
        <v>21</v>
      </c>
      <c r="D240">
        <v>87</v>
      </c>
      <c r="E240" s="3">
        <v>57</v>
      </c>
      <c r="F240" t="s">
        <v>15</v>
      </c>
      <c r="G240" t="s">
        <v>27</v>
      </c>
      <c r="H240" t="s">
        <v>16</v>
      </c>
      <c r="I240">
        <f>Table1[[#This Row],[Per unit]]*Table1[[#This Row],[Boxes Shipped]]</f>
        <v>4959</v>
      </c>
    </row>
    <row r="241" spans="1:9" x14ac:dyDescent="0.25">
      <c r="A241" s="2">
        <v>45942</v>
      </c>
      <c r="B241" t="s">
        <v>14</v>
      </c>
      <c r="C241" t="s">
        <v>30</v>
      </c>
      <c r="D241">
        <v>22</v>
      </c>
      <c r="E241" s="3">
        <v>57</v>
      </c>
      <c r="F241" t="s">
        <v>15</v>
      </c>
      <c r="G241" t="s">
        <v>19</v>
      </c>
      <c r="H241" t="s">
        <v>13</v>
      </c>
      <c r="I241">
        <f>Table1[[#This Row],[Per unit]]*Table1[[#This Row],[Boxes Shipped]]</f>
        <v>1254</v>
      </c>
    </row>
    <row r="242" spans="1:9" x14ac:dyDescent="0.25">
      <c r="A242" s="2">
        <v>45680</v>
      </c>
      <c r="B242" t="s">
        <v>44</v>
      </c>
      <c r="C242" t="s">
        <v>30</v>
      </c>
      <c r="D242">
        <v>122</v>
      </c>
      <c r="E242" s="3">
        <v>77</v>
      </c>
      <c r="F242" t="s">
        <v>34</v>
      </c>
      <c r="G242" t="s">
        <v>15</v>
      </c>
      <c r="H242" t="s">
        <v>20</v>
      </c>
      <c r="I242">
        <f>Table1[[#This Row],[Per unit]]*Table1[[#This Row],[Boxes Shipped]]</f>
        <v>9394</v>
      </c>
    </row>
    <row r="243" spans="1:9" x14ac:dyDescent="0.25">
      <c r="A243" s="2">
        <v>45799</v>
      </c>
      <c r="B243" t="s">
        <v>40</v>
      </c>
      <c r="C243" t="s">
        <v>17</v>
      </c>
      <c r="D243">
        <v>125</v>
      </c>
      <c r="E243" s="3">
        <v>40</v>
      </c>
      <c r="F243" t="s">
        <v>32</v>
      </c>
      <c r="G243" t="s">
        <v>12</v>
      </c>
      <c r="H243" t="s">
        <v>13</v>
      </c>
      <c r="I243">
        <f>Table1[[#This Row],[Per unit]]*Table1[[#This Row],[Boxes Shipped]]</f>
        <v>5000</v>
      </c>
    </row>
    <row r="244" spans="1:9" x14ac:dyDescent="0.25">
      <c r="A244" s="2">
        <v>46000</v>
      </c>
      <c r="B244" t="s">
        <v>14</v>
      </c>
      <c r="C244" t="s">
        <v>21</v>
      </c>
      <c r="D244">
        <v>259</v>
      </c>
      <c r="E244" s="3">
        <v>46</v>
      </c>
      <c r="F244" t="s">
        <v>22</v>
      </c>
      <c r="G244" t="s">
        <v>11</v>
      </c>
      <c r="H244" t="s">
        <v>20</v>
      </c>
      <c r="I244">
        <f>Table1[[#This Row],[Per unit]]*Table1[[#This Row],[Boxes Shipped]]</f>
        <v>11914</v>
      </c>
    </row>
    <row r="245" spans="1:9" x14ac:dyDescent="0.25">
      <c r="A245" s="2">
        <v>45687</v>
      </c>
      <c r="B245" t="s">
        <v>36</v>
      </c>
      <c r="C245" t="s">
        <v>24</v>
      </c>
      <c r="D245">
        <v>107</v>
      </c>
      <c r="E245" s="3">
        <v>59</v>
      </c>
      <c r="F245" t="s">
        <v>28</v>
      </c>
      <c r="G245" t="s">
        <v>12</v>
      </c>
      <c r="H245" t="s">
        <v>16</v>
      </c>
      <c r="I245">
        <f>Table1[[#This Row],[Per unit]]*Table1[[#This Row],[Boxes Shipped]]</f>
        <v>6313</v>
      </c>
    </row>
    <row r="246" spans="1:9" x14ac:dyDescent="0.25">
      <c r="A246" s="2">
        <v>45818</v>
      </c>
      <c r="B246" t="s">
        <v>43</v>
      </c>
      <c r="C246" t="s">
        <v>17</v>
      </c>
      <c r="D246">
        <v>40</v>
      </c>
      <c r="E246" s="3">
        <v>75</v>
      </c>
      <c r="F246" t="s">
        <v>12</v>
      </c>
      <c r="G246" t="s">
        <v>15</v>
      </c>
      <c r="H246" t="s">
        <v>29</v>
      </c>
      <c r="I246">
        <f>Table1[[#This Row],[Per unit]]*Table1[[#This Row],[Boxes Shipped]]</f>
        <v>3000</v>
      </c>
    </row>
    <row r="247" spans="1:9" x14ac:dyDescent="0.25">
      <c r="A247" s="2">
        <v>45688</v>
      </c>
      <c r="B247" t="s">
        <v>33</v>
      </c>
      <c r="C247" t="s">
        <v>17</v>
      </c>
      <c r="D247">
        <v>311</v>
      </c>
      <c r="E247" s="3">
        <v>54</v>
      </c>
      <c r="F247" t="s">
        <v>22</v>
      </c>
      <c r="G247" t="s">
        <v>28</v>
      </c>
      <c r="H247" t="s">
        <v>20</v>
      </c>
      <c r="I247">
        <f>Table1[[#This Row],[Per unit]]*Table1[[#This Row],[Boxes Shipped]]</f>
        <v>16794</v>
      </c>
    </row>
    <row r="248" spans="1:9" x14ac:dyDescent="0.25">
      <c r="A248" s="2">
        <v>45922</v>
      </c>
      <c r="B248" t="s">
        <v>39</v>
      </c>
      <c r="C248" t="s">
        <v>17</v>
      </c>
      <c r="D248">
        <v>86</v>
      </c>
      <c r="E248" s="3">
        <v>52</v>
      </c>
      <c r="F248" t="s">
        <v>19</v>
      </c>
      <c r="G248" t="s">
        <v>11</v>
      </c>
      <c r="H248" t="s">
        <v>20</v>
      </c>
      <c r="I248">
        <f>Table1[[#This Row],[Per unit]]*Table1[[#This Row],[Boxes Shipped]]</f>
        <v>4472</v>
      </c>
    </row>
    <row r="249" spans="1:9" x14ac:dyDescent="0.25">
      <c r="A249" s="2">
        <v>45685</v>
      </c>
      <c r="B249" t="s">
        <v>42</v>
      </c>
      <c r="C249" t="s">
        <v>10</v>
      </c>
      <c r="D249">
        <v>72</v>
      </c>
      <c r="E249" s="3">
        <v>69</v>
      </c>
      <c r="F249" t="s">
        <v>15</v>
      </c>
      <c r="G249" t="s">
        <v>28</v>
      </c>
      <c r="H249" t="s">
        <v>29</v>
      </c>
      <c r="I249">
        <f>Table1[[#This Row],[Per unit]]*Table1[[#This Row],[Boxes Shipped]]</f>
        <v>4968</v>
      </c>
    </row>
    <row r="250" spans="1:9" x14ac:dyDescent="0.25">
      <c r="A250" s="2">
        <v>45944</v>
      </c>
      <c r="B250" t="s">
        <v>43</v>
      </c>
      <c r="C250" t="s">
        <v>21</v>
      </c>
      <c r="D250">
        <v>303</v>
      </c>
      <c r="E250" s="3">
        <v>33</v>
      </c>
      <c r="F250" t="s">
        <v>19</v>
      </c>
      <c r="G250" t="s">
        <v>15</v>
      </c>
      <c r="H250" t="s">
        <v>20</v>
      </c>
      <c r="I250">
        <f>Table1[[#This Row],[Per unit]]*Table1[[#This Row],[Boxes Shipped]]</f>
        <v>9999</v>
      </c>
    </row>
    <row r="251" spans="1:9" x14ac:dyDescent="0.25">
      <c r="A251" s="2">
        <v>45990</v>
      </c>
      <c r="B251" t="s">
        <v>25</v>
      </c>
      <c r="C251" t="s">
        <v>30</v>
      </c>
      <c r="D251">
        <v>264</v>
      </c>
      <c r="E251" s="3">
        <v>32</v>
      </c>
      <c r="F251" t="s">
        <v>12</v>
      </c>
      <c r="G251" t="s">
        <v>32</v>
      </c>
      <c r="H251" t="s">
        <v>13</v>
      </c>
      <c r="I251">
        <f>Table1[[#This Row],[Per unit]]*Table1[[#This Row],[Boxes Shipped]]</f>
        <v>8448</v>
      </c>
    </row>
    <row r="252" spans="1:9" x14ac:dyDescent="0.25">
      <c r="A252" s="2">
        <v>45832</v>
      </c>
      <c r="B252" t="s">
        <v>40</v>
      </c>
      <c r="C252" t="s">
        <v>17</v>
      </c>
      <c r="D252">
        <v>218</v>
      </c>
      <c r="E252" s="3">
        <v>85</v>
      </c>
      <c r="F252" t="s">
        <v>28</v>
      </c>
      <c r="G252" t="s">
        <v>27</v>
      </c>
      <c r="H252" t="s">
        <v>16</v>
      </c>
      <c r="I252">
        <f>Table1[[#This Row],[Per unit]]*Table1[[#This Row],[Boxes Shipped]]</f>
        <v>18530</v>
      </c>
    </row>
    <row r="253" spans="1:9" x14ac:dyDescent="0.25">
      <c r="A253" s="2">
        <v>45910</v>
      </c>
      <c r="B253" t="s">
        <v>31</v>
      </c>
      <c r="C253" t="s">
        <v>17</v>
      </c>
      <c r="D253">
        <v>60</v>
      </c>
      <c r="E253" s="3">
        <v>30</v>
      </c>
      <c r="F253" t="s">
        <v>27</v>
      </c>
      <c r="G253" t="s">
        <v>26</v>
      </c>
      <c r="H253" t="s">
        <v>20</v>
      </c>
      <c r="I253">
        <f>Table1[[#This Row],[Per unit]]*Table1[[#This Row],[Boxes Shipped]]</f>
        <v>1800</v>
      </c>
    </row>
    <row r="254" spans="1:9" x14ac:dyDescent="0.25">
      <c r="A254" s="2">
        <v>45961</v>
      </c>
      <c r="B254" t="s">
        <v>14</v>
      </c>
      <c r="C254" t="s">
        <v>30</v>
      </c>
      <c r="D254">
        <v>418</v>
      </c>
      <c r="E254" s="3">
        <v>29</v>
      </c>
      <c r="F254" t="s">
        <v>34</v>
      </c>
      <c r="G254" t="s">
        <v>15</v>
      </c>
      <c r="H254" t="s">
        <v>29</v>
      </c>
      <c r="I254">
        <f>Table1[[#This Row],[Per unit]]*Table1[[#This Row],[Boxes Shipped]]</f>
        <v>12122</v>
      </c>
    </row>
    <row r="255" spans="1:9" x14ac:dyDescent="0.25">
      <c r="A255" s="2">
        <v>45817</v>
      </c>
      <c r="B255" t="s">
        <v>39</v>
      </c>
      <c r="C255" t="s">
        <v>30</v>
      </c>
      <c r="D255">
        <v>151</v>
      </c>
      <c r="E255" s="3">
        <v>95</v>
      </c>
      <c r="F255" t="s">
        <v>11</v>
      </c>
      <c r="G255" t="s">
        <v>32</v>
      </c>
      <c r="H255" t="s">
        <v>29</v>
      </c>
      <c r="I255">
        <f>Table1[[#This Row],[Per unit]]*Table1[[#This Row],[Boxes Shipped]]</f>
        <v>14345</v>
      </c>
    </row>
    <row r="256" spans="1:9" x14ac:dyDescent="0.25">
      <c r="A256" s="2">
        <v>45993</v>
      </c>
      <c r="B256" t="s">
        <v>43</v>
      </c>
      <c r="C256" t="s">
        <v>24</v>
      </c>
      <c r="D256">
        <v>202</v>
      </c>
      <c r="E256" s="3">
        <v>69</v>
      </c>
      <c r="F256" t="s">
        <v>28</v>
      </c>
      <c r="G256" t="s">
        <v>34</v>
      </c>
      <c r="H256" t="s">
        <v>13</v>
      </c>
      <c r="I256">
        <f>Table1[[#This Row],[Per unit]]*Table1[[#This Row],[Boxes Shipped]]</f>
        <v>13938</v>
      </c>
    </row>
    <row r="257" spans="1:9" x14ac:dyDescent="0.25">
      <c r="A257" s="2">
        <v>45680</v>
      </c>
      <c r="B257" t="s">
        <v>41</v>
      </c>
      <c r="C257" t="s">
        <v>24</v>
      </c>
      <c r="D257">
        <v>160</v>
      </c>
      <c r="E257" s="3">
        <v>61</v>
      </c>
      <c r="F257" t="s">
        <v>27</v>
      </c>
      <c r="G257" t="s">
        <v>22</v>
      </c>
      <c r="H257" t="s">
        <v>20</v>
      </c>
      <c r="I257">
        <f>Table1[[#This Row],[Per unit]]*Table1[[#This Row],[Boxes Shipped]]</f>
        <v>9760</v>
      </c>
    </row>
    <row r="258" spans="1:9" x14ac:dyDescent="0.25">
      <c r="A258" s="2">
        <v>45939</v>
      </c>
      <c r="B258" t="s">
        <v>49</v>
      </c>
      <c r="C258" t="s">
        <v>17</v>
      </c>
      <c r="D258">
        <v>58</v>
      </c>
      <c r="E258" s="3">
        <v>30</v>
      </c>
      <c r="F258" t="s">
        <v>11</v>
      </c>
      <c r="G258" t="s">
        <v>32</v>
      </c>
      <c r="H258" t="s">
        <v>16</v>
      </c>
      <c r="I258">
        <f>Table1[[#This Row],[Per unit]]*Table1[[#This Row],[Boxes Shipped]]</f>
        <v>1740</v>
      </c>
    </row>
    <row r="259" spans="1:9" x14ac:dyDescent="0.25">
      <c r="A259" s="2">
        <v>45994</v>
      </c>
      <c r="B259" t="s">
        <v>44</v>
      </c>
      <c r="C259" t="s">
        <v>24</v>
      </c>
      <c r="D259">
        <v>59</v>
      </c>
      <c r="E259" s="3">
        <v>45</v>
      </c>
      <c r="F259" t="s">
        <v>12</v>
      </c>
      <c r="G259" t="s">
        <v>11</v>
      </c>
      <c r="H259" t="s">
        <v>20</v>
      </c>
      <c r="I259">
        <f>Table1[[#This Row],[Per unit]]*Table1[[#This Row],[Boxes Shipped]]</f>
        <v>2655</v>
      </c>
    </row>
    <row r="260" spans="1:9" x14ac:dyDescent="0.25">
      <c r="A260" s="2">
        <v>45830</v>
      </c>
      <c r="B260" t="s">
        <v>18</v>
      </c>
      <c r="C260" t="s">
        <v>24</v>
      </c>
      <c r="D260">
        <v>273</v>
      </c>
      <c r="E260" s="3">
        <v>39</v>
      </c>
      <c r="F260" t="s">
        <v>28</v>
      </c>
      <c r="G260" t="s">
        <v>32</v>
      </c>
      <c r="H260" t="s">
        <v>20</v>
      </c>
      <c r="I260">
        <f>Table1[[#This Row],[Per unit]]*Table1[[#This Row],[Boxes Shipped]]</f>
        <v>10647</v>
      </c>
    </row>
    <row r="261" spans="1:9" x14ac:dyDescent="0.25">
      <c r="A261" s="2">
        <v>45731</v>
      </c>
      <c r="B261" t="s">
        <v>47</v>
      </c>
      <c r="C261" t="s">
        <v>10</v>
      </c>
      <c r="D261">
        <v>28</v>
      </c>
      <c r="E261" s="3">
        <v>51</v>
      </c>
      <c r="F261" t="s">
        <v>11</v>
      </c>
      <c r="G261" t="s">
        <v>28</v>
      </c>
      <c r="H261" t="s">
        <v>13</v>
      </c>
      <c r="I261">
        <f>Table1[[#This Row],[Per unit]]*Table1[[#This Row],[Boxes Shipped]]</f>
        <v>1428</v>
      </c>
    </row>
    <row r="262" spans="1:9" x14ac:dyDescent="0.25">
      <c r="A262" s="2">
        <v>45794</v>
      </c>
      <c r="B262" t="s">
        <v>40</v>
      </c>
      <c r="C262" t="s">
        <v>30</v>
      </c>
      <c r="D262">
        <v>75</v>
      </c>
      <c r="E262" s="3">
        <v>62</v>
      </c>
      <c r="F262" t="s">
        <v>19</v>
      </c>
      <c r="G262" t="s">
        <v>19</v>
      </c>
      <c r="H262" t="s">
        <v>20</v>
      </c>
      <c r="I262">
        <f>Table1[[#This Row],[Per unit]]*Table1[[#This Row],[Boxes Shipped]]</f>
        <v>4650</v>
      </c>
    </row>
    <row r="263" spans="1:9" x14ac:dyDescent="0.25">
      <c r="A263" s="2">
        <v>45979</v>
      </c>
      <c r="B263" t="s">
        <v>14</v>
      </c>
      <c r="C263" t="s">
        <v>24</v>
      </c>
      <c r="D263">
        <v>329</v>
      </c>
      <c r="E263" s="3">
        <v>85</v>
      </c>
      <c r="F263" t="s">
        <v>27</v>
      </c>
      <c r="G263" t="s">
        <v>27</v>
      </c>
      <c r="H263" t="s">
        <v>29</v>
      </c>
      <c r="I263">
        <f>Table1[[#This Row],[Per unit]]*Table1[[#This Row],[Boxes Shipped]]</f>
        <v>27965</v>
      </c>
    </row>
    <row r="264" spans="1:9" x14ac:dyDescent="0.25">
      <c r="A264" s="2">
        <v>45805</v>
      </c>
      <c r="B264" t="s">
        <v>37</v>
      </c>
      <c r="C264" t="s">
        <v>21</v>
      </c>
      <c r="D264">
        <v>81</v>
      </c>
      <c r="E264" s="3">
        <v>99</v>
      </c>
      <c r="F264" t="s">
        <v>34</v>
      </c>
      <c r="G264" t="s">
        <v>15</v>
      </c>
      <c r="H264" t="s">
        <v>16</v>
      </c>
      <c r="I264">
        <f>Table1[[#This Row],[Per unit]]*Table1[[#This Row],[Boxes Shipped]]</f>
        <v>8019</v>
      </c>
    </row>
    <row r="265" spans="1:9" x14ac:dyDescent="0.25">
      <c r="A265" s="2">
        <v>45794</v>
      </c>
      <c r="B265" t="s">
        <v>18</v>
      </c>
      <c r="C265" t="s">
        <v>10</v>
      </c>
      <c r="D265">
        <v>38</v>
      </c>
      <c r="E265" s="3">
        <v>39</v>
      </c>
      <c r="F265" t="s">
        <v>15</v>
      </c>
      <c r="G265" t="s">
        <v>22</v>
      </c>
      <c r="H265" t="s">
        <v>16</v>
      </c>
      <c r="I265">
        <f>Table1[[#This Row],[Per unit]]*Table1[[#This Row],[Boxes Shipped]]</f>
        <v>1482</v>
      </c>
    </row>
    <row r="266" spans="1:9" x14ac:dyDescent="0.25">
      <c r="A266" s="2">
        <v>45876</v>
      </c>
      <c r="B266" t="s">
        <v>48</v>
      </c>
      <c r="C266" t="s">
        <v>17</v>
      </c>
      <c r="D266">
        <v>96</v>
      </c>
      <c r="E266" s="3">
        <v>20</v>
      </c>
      <c r="F266" t="s">
        <v>12</v>
      </c>
      <c r="G266" t="s">
        <v>22</v>
      </c>
      <c r="H266" t="s">
        <v>16</v>
      </c>
      <c r="I266">
        <f>Table1[[#This Row],[Per unit]]*Table1[[#This Row],[Boxes Shipped]]</f>
        <v>1920</v>
      </c>
    </row>
    <row r="267" spans="1:9" x14ac:dyDescent="0.25">
      <c r="A267" s="2">
        <v>45923</v>
      </c>
      <c r="B267" t="s">
        <v>39</v>
      </c>
      <c r="C267" t="s">
        <v>30</v>
      </c>
      <c r="D267">
        <v>195</v>
      </c>
      <c r="E267" s="3">
        <v>42</v>
      </c>
      <c r="F267" t="s">
        <v>26</v>
      </c>
      <c r="G267" t="s">
        <v>26</v>
      </c>
      <c r="H267" t="s">
        <v>13</v>
      </c>
      <c r="I267">
        <f>Table1[[#This Row],[Per unit]]*Table1[[#This Row],[Boxes Shipped]]</f>
        <v>8190</v>
      </c>
    </row>
    <row r="268" spans="1:9" x14ac:dyDescent="0.25">
      <c r="A268" s="2">
        <v>45955</v>
      </c>
      <c r="B268" t="s">
        <v>31</v>
      </c>
      <c r="C268" t="s">
        <v>24</v>
      </c>
      <c r="D268">
        <v>554</v>
      </c>
      <c r="E268" s="3">
        <v>74</v>
      </c>
      <c r="F268" t="s">
        <v>26</v>
      </c>
      <c r="G268" t="s">
        <v>26</v>
      </c>
      <c r="H268" t="s">
        <v>16</v>
      </c>
      <c r="I268">
        <f>Table1[[#This Row],[Per unit]]*Table1[[#This Row],[Boxes Shipped]]</f>
        <v>40996</v>
      </c>
    </row>
    <row r="269" spans="1:9" x14ac:dyDescent="0.25">
      <c r="A269" s="2">
        <v>45726</v>
      </c>
      <c r="B269" t="s">
        <v>25</v>
      </c>
      <c r="C269" t="s">
        <v>17</v>
      </c>
      <c r="D269">
        <v>47</v>
      </c>
      <c r="E269" s="3">
        <v>26</v>
      </c>
      <c r="F269" t="s">
        <v>15</v>
      </c>
      <c r="G269" t="s">
        <v>34</v>
      </c>
      <c r="H269" t="s">
        <v>16</v>
      </c>
      <c r="I269">
        <f>Table1[[#This Row],[Per unit]]*Table1[[#This Row],[Boxes Shipped]]</f>
        <v>1222</v>
      </c>
    </row>
    <row r="270" spans="1:9" x14ac:dyDescent="0.25">
      <c r="A270" s="2">
        <v>45903</v>
      </c>
      <c r="B270" t="s">
        <v>38</v>
      </c>
      <c r="C270" t="s">
        <v>30</v>
      </c>
      <c r="D270">
        <v>152</v>
      </c>
      <c r="E270" s="3">
        <v>53</v>
      </c>
      <c r="F270" t="s">
        <v>34</v>
      </c>
      <c r="G270" t="s">
        <v>11</v>
      </c>
      <c r="H270" t="s">
        <v>20</v>
      </c>
      <c r="I270">
        <f>Table1[[#This Row],[Per unit]]*Table1[[#This Row],[Boxes Shipped]]</f>
        <v>8056</v>
      </c>
    </row>
    <row r="271" spans="1:9" x14ac:dyDescent="0.25">
      <c r="A271" s="2">
        <v>45757</v>
      </c>
      <c r="B271" t="s">
        <v>25</v>
      </c>
      <c r="C271" t="s">
        <v>17</v>
      </c>
      <c r="D271">
        <v>134</v>
      </c>
      <c r="E271" s="3">
        <v>80</v>
      </c>
      <c r="F271" t="s">
        <v>34</v>
      </c>
      <c r="G271" t="s">
        <v>22</v>
      </c>
      <c r="H271" t="s">
        <v>29</v>
      </c>
      <c r="I271">
        <f>Table1[[#This Row],[Per unit]]*Table1[[#This Row],[Boxes Shipped]]</f>
        <v>10720</v>
      </c>
    </row>
    <row r="272" spans="1:9" x14ac:dyDescent="0.25">
      <c r="A272" s="2">
        <v>45984</v>
      </c>
      <c r="B272" t="s">
        <v>35</v>
      </c>
      <c r="C272" t="s">
        <v>10</v>
      </c>
      <c r="D272">
        <v>112</v>
      </c>
      <c r="E272" s="3">
        <v>98</v>
      </c>
      <c r="F272" t="s">
        <v>34</v>
      </c>
      <c r="G272" t="s">
        <v>15</v>
      </c>
      <c r="H272" t="s">
        <v>16</v>
      </c>
      <c r="I272">
        <f>Table1[[#This Row],[Per unit]]*Table1[[#This Row],[Boxes Shipped]]</f>
        <v>10976</v>
      </c>
    </row>
    <row r="273" spans="1:9" x14ac:dyDescent="0.25">
      <c r="A273" s="2">
        <v>45993</v>
      </c>
      <c r="B273" t="s">
        <v>44</v>
      </c>
      <c r="C273" t="s">
        <v>21</v>
      </c>
      <c r="D273">
        <v>16</v>
      </c>
      <c r="E273" s="3">
        <v>95</v>
      </c>
      <c r="F273" t="s">
        <v>22</v>
      </c>
      <c r="G273" t="s">
        <v>15</v>
      </c>
      <c r="H273" t="s">
        <v>13</v>
      </c>
      <c r="I273">
        <f>Table1[[#This Row],[Per unit]]*Table1[[#This Row],[Boxes Shipped]]</f>
        <v>1520</v>
      </c>
    </row>
    <row r="274" spans="1:9" x14ac:dyDescent="0.25">
      <c r="A274" s="2">
        <v>45927</v>
      </c>
      <c r="B274" t="s">
        <v>33</v>
      </c>
      <c r="C274" t="s">
        <v>24</v>
      </c>
      <c r="D274">
        <v>84</v>
      </c>
      <c r="E274" s="3">
        <v>44</v>
      </c>
      <c r="F274" t="s">
        <v>15</v>
      </c>
      <c r="G274" t="s">
        <v>26</v>
      </c>
      <c r="H274" t="s">
        <v>13</v>
      </c>
      <c r="I274">
        <f>Table1[[#This Row],[Per unit]]*Table1[[#This Row],[Boxes Shipped]]</f>
        <v>3696</v>
      </c>
    </row>
    <row r="275" spans="1:9" x14ac:dyDescent="0.25">
      <c r="A275" s="2">
        <v>45905</v>
      </c>
      <c r="B275" t="s">
        <v>43</v>
      </c>
      <c r="C275" t="s">
        <v>30</v>
      </c>
      <c r="D275">
        <v>99</v>
      </c>
      <c r="E275" s="3">
        <v>60</v>
      </c>
      <c r="F275" t="s">
        <v>15</v>
      </c>
      <c r="G275" t="s">
        <v>26</v>
      </c>
      <c r="H275" t="s">
        <v>13</v>
      </c>
      <c r="I275">
        <f>Table1[[#This Row],[Per unit]]*Table1[[#This Row],[Boxes Shipped]]</f>
        <v>5940</v>
      </c>
    </row>
    <row r="276" spans="1:9" x14ac:dyDescent="0.25">
      <c r="A276" s="2">
        <v>45700</v>
      </c>
      <c r="B276" t="s">
        <v>40</v>
      </c>
      <c r="C276" t="s">
        <v>21</v>
      </c>
      <c r="D276">
        <v>350</v>
      </c>
      <c r="E276" s="3">
        <v>30</v>
      </c>
      <c r="F276" t="s">
        <v>32</v>
      </c>
      <c r="G276" t="s">
        <v>22</v>
      </c>
      <c r="H276" t="s">
        <v>23</v>
      </c>
      <c r="I276">
        <f>Table1[[#This Row],[Per unit]]*Table1[[#This Row],[Boxes Shipped]]</f>
        <v>10500</v>
      </c>
    </row>
    <row r="277" spans="1:9" x14ac:dyDescent="0.25">
      <c r="A277" s="2">
        <v>45921</v>
      </c>
      <c r="B277" t="s">
        <v>45</v>
      </c>
      <c r="C277" t="s">
        <v>17</v>
      </c>
      <c r="D277">
        <v>261</v>
      </c>
      <c r="E277" s="3">
        <v>40</v>
      </c>
      <c r="F277" t="s">
        <v>19</v>
      </c>
      <c r="G277" t="s">
        <v>12</v>
      </c>
      <c r="H277" t="s">
        <v>23</v>
      </c>
      <c r="I277">
        <f>Table1[[#This Row],[Per unit]]*Table1[[#This Row],[Boxes Shipped]]</f>
        <v>10440</v>
      </c>
    </row>
    <row r="278" spans="1:9" x14ac:dyDescent="0.25">
      <c r="A278" s="2">
        <v>45971</v>
      </c>
      <c r="B278" t="s">
        <v>39</v>
      </c>
      <c r="C278" t="s">
        <v>10</v>
      </c>
      <c r="D278">
        <v>203</v>
      </c>
      <c r="E278" s="3">
        <v>49</v>
      </c>
      <c r="F278" t="s">
        <v>12</v>
      </c>
      <c r="G278" t="s">
        <v>19</v>
      </c>
      <c r="H278" t="s">
        <v>13</v>
      </c>
      <c r="I278">
        <f>Table1[[#This Row],[Per unit]]*Table1[[#This Row],[Boxes Shipped]]</f>
        <v>9947</v>
      </c>
    </row>
    <row r="279" spans="1:9" x14ac:dyDescent="0.25">
      <c r="A279" s="2">
        <v>45745</v>
      </c>
      <c r="B279" t="s">
        <v>25</v>
      </c>
      <c r="C279" t="s">
        <v>21</v>
      </c>
      <c r="D279">
        <v>183</v>
      </c>
      <c r="E279" s="3">
        <v>32</v>
      </c>
      <c r="F279" t="s">
        <v>12</v>
      </c>
      <c r="G279" t="s">
        <v>28</v>
      </c>
      <c r="H279" t="s">
        <v>29</v>
      </c>
      <c r="I279">
        <f>Table1[[#This Row],[Per unit]]*Table1[[#This Row],[Boxes Shipped]]</f>
        <v>5856</v>
      </c>
    </row>
    <row r="280" spans="1:9" x14ac:dyDescent="0.25">
      <c r="A280" s="2">
        <v>45694</v>
      </c>
      <c r="B280" t="s">
        <v>41</v>
      </c>
      <c r="C280" t="s">
        <v>10</v>
      </c>
      <c r="D280">
        <v>195</v>
      </c>
      <c r="E280" s="3">
        <v>29</v>
      </c>
      <c r="F280" t="s">
        <v>32</v>
      </c>
      <c r="G280" t="s">
        <v>15</v>
      </c>
      <c r="H280" t="s">
        <v>20</v>
      </c>
      <c r="I280">
        <f>Table1[[#This Row],[Per unit]]*Table1[[#This Row],[Boxes Shipped]]</f>
        <v>5655</v>
      </c>
    </row>
    <row r="281" spans="1:9" x14ac:dyDescent="0.25">
      <c r="A281" s="2">
        <v>45895</v>
      </c>
      <c r="B281" t="s">
        <v>39</v>
      </c>
      <c r="C281" t="s">
        <v>10</v>
      </c>
      <c r="D281">
        <v>135</v>
      </c>
      <c r="E281" s="3">
        <v>22</v>
      </c>
      <c r="F281" t="s">
        <v>32</v>
      </c>
      <c r="G281" t="s">
        <v>26</v>
      </c>
      <c r="H281" t="s">
        <v>16</v>
      </c>
      <c r="I281">
        <f>Table1[[#This Row],[Per unit]]*Table1[[#This Row],[Boxes Shipped]]</f>
        <v>2970</v>
      </c>
    </row>
    <row r="282" spans="1:9" x14ac:dyDescent="0.25">
      <c r="A282" s="2">
        <v>45715</v>
      </c>
      <c r="B282" t="s">
        <v>41</v>
      </c>
      <c r="C282" t="s">
        <v>24</v>
      </c>
      <c r="D282">
        <v>197</v>
      </c>
      <c r="E282" s="3">
        <v>85</v>
      </c>
      <c r="F282" t="s">
        <v>26</v>
      </c>
      <c r="G282" t="s">
        <v>15</v>
      </c>
      <c r="H282" t="s">
        <v>13</v>
      </c>
      <c r="I282">
        <f>Table1[[#This Row],[Per unit]]*Table1[[#This Row],[Boxes Shipped]]</f>
        <v>16745</v>
      </c>
    </row>
    <row r="283" spans="1:9" x14ac:dyDescent="0.25">
      <c r="A283" s="2">
        <v>45671</v>
      </c>
      <c r="B283" t="s">
        <v>33</v>
      </c>
      <c r="C283" t="s">
        <v>10</v>
      </c>
      <c r="D283">
        <v>242</v>
      </c>
      <c r="E283" s="3">
        <v>52</v>
      </c>
      <c r="F283" t="s">
        <v>22</v>
      </c>
      <c r="G283" t="s">
        <v>27</v>
      </c>
      <c r="H283" t="s">
        <v>13</v>
      </c>
      <c r="I283">
        <f>Table1[[#This Row],[Per unit]]*Table1[[#This Row],[Boxes Shipped]]</f>
        <v>12584</v>
      </c>
    </row>
    <row r="284" spans="1:9" x14ac:dyDescent="0.25">
      <c r="A284" s="2">
        <v>45758</v>
      </c>
      <c r="B284" t="s">
        <v>9</v>
      </c>
      <c r="C284" t="s">
        <v>10</v>
      </c>
      <c r="D284">
        <v>25</v>
      </c>
      <c r="E284" s="3">
        <v>89</v>
      </c>
      <c r="F284" t="s">
        <v>12</v>
      </c>
      <c r="G284" t="s">
        <v>34</v>
      </c>
      <c r="H284" t="s">
        <v>29</v>
      </c>
      <c r="I284">
        <f>Table1[[#This Row],[Per unit]]*Table1[[#This Row],[Boxes Shipped]]</f>
        <v>2225</v>
      </c>
    </row>
    <row r="285" spans="1:9" x14ac:dyDescent="0.25">
      <c r="A285" s="2">
        <v>45812</v>
      </c>
      <c r="B285" t="s">
        <v>9</v>
      </c>
      <c r="C285" t="s">
        <v>10</v>
      </c>
      <c r="D285">
        <v>211</v>
      </c>
      <c r="E285" s="3">
        <v>49</v>
      </c>
      <c r="F285" t="s">
        <v>15</v>
      </c>
      <c r="G285" t="s">
        <v>19</v>
      </c>
      <c r="H285" t="s">
        <v>23</v>
      </c>
      <c r="I285">
        <f>Table1[[#This Row],[Per unit]]*Table1[[#This Row],[Boxes Shipped]]</f>
        <v>10339</v>
      </c>
    </row>
    <row r="286" spans="1:9" x14ac:dyDescent="0.25">
      <c r="A286" s="2">
        <v>45716</v>
      </c>
      <c r="B286" t="s">
        <v>42</v>
      </c>
      <c r="C286" t="s">
        <v>30</v>
      </c>
      <c r="D286">
        <v>415</v>
      </c>
      <c r="E286" s="3">
        <v>24</v>
      </c>
      <c r="F286" t="s">
        <v>26</v>
      </c>
      <c r="G286" t="s">
        <v>26</v>
      </c>
      <c r="H286" t="s">
        <v>29</v>
      </c>
      <c r="I286">
        <f>Table1[[#This Row],[Per unit]]*Table1[[#This Row],[Boxes Shipped]]</f>
        <v>9960</v>
      </c>
    </row>
    <row r="287" spans="1:9" x14ac:dyDescent="0.25">
      <c r="A287" s="2">
        <v>45677</v>
      </c>
      <c r="B287" t="s">
        <v>45</v>
      </c>
      <c r="C287" t="s">
        <v>24</v>
      </c>
      <c r="D287">
        <v>348</v>
      </c>
      <c r="E287" s="3">
        <v>24</v>
      </c>
      <c r="F287" t="s">
        <v>28</v>
      </c>
      <c r="G287" t="s">
        <v>12</v>
      </c>
      <c r="H287" t="s">
        <v>13</v>
      </c>
      <c r="I287">
        <f>Table1[[#This Row],[Per unit]]*Table1[[#This Row],[Boxes Shipped]]</f>
        <v>8352</v>
      </c>
    </row>
    <row r="288" spans="1:9" x14ac:dyDescent="0.25">
      <c r="A288" s="2">
        <v>45972</v>
      </c>
      <c r="B288" t="s">
        <v>43</v>
      </c>
      <c r="C288" t="s">
        <v>10</v>
      </c>
      <c r="D288">
        <v>211</v>
      </c>
      <c r="E288" s="3">
        <v>22</v>
      </c>
      <c r="F288" t="s">
        <v>28</v>
      </c>
      <c r="G288" t="s">
        <v>34</v>
      </c>
      <c r="H288" t="s">
        <v>13</v>
      </c>
      <c r="I288">
        <f>Table1[[#This Row],[Per unit]]*Table1[[#This Row],[Boxes Shipped]]</f>
        <v>4642</v>
      </c>
    </row>
    <row r="289" spans="1:9" x14ac:dyDescent="0.25">
      <c r="A289" s="2">
        <v>45984</v>
      </c>
      <c r="B289" t="s">
        <v>9</v>
      </c>
      <c r="C289" t="s">
        <v>21</v>
      </c>
      <c r="D289">
        <v>229</v>
      </c>
      <c r="E289" s="3">
        <v>45</v>
      </c>
      <c r="F289" t="s">
        <v>15</v>
      </c>
      <c r="G289" t="s">
        <v>12</v>
      </c>
      <c r="H289" t="s">
        <v>23</v>
      </c>
      <c r="I289">
        <f>Table1[[#This Row],[Per unit]]*Table1[[#This Row],[Boxes Shipped]]</f>
        <v>10305</v>
      </c>
    </row>
    <row r="290" spans="1:9" x14ac:dyDescent="0.25">
      <c r="A290" s="2">
        <v>45794</v>
      </c>
      <c r="B290" t="s">
        <v>46</v>
      </c>
      <c r="C290" t="s">
        <v>24</v>
      </c>
      <c r="D290">
        <v>145</v>
      </c>
      <c r="E290" s="3">
        <v>67</v>
      </c>
      <c r="F290" t="s">
        <v>19</v>
      </c>
      <c r="G290" t="s">
        <v>19</v>
      </c>
      <c r="H290" t="s">
        <v>13</v>
      </c>
      <c r="I290">
        <f>Table1[[#This Row],[Per unit]]*Table1[[#This Row],[Boxes Shipped]]</f>
        <v>9715</v>
      </c>
    </row>
    <row r="291" spans="1:9" x14ac:dyDescent="0.25">
      <c r="A291" s="2">
        <v>45878</v>
      </c>
      <c r="B291" t="s">
        <v>40</v>
      </c>
      <c r="C291" t="s">
        <v>17</v>
      </c>
      <c r="D291">
        <v>74</v>
      </c>
      <c r="E291" s="3">
        <v>74</v>
      </c>
      <c r="F291" t="s">
        <v>12</v>
      </c>
      <c r="G291" t="s">
        <v>11</v>
      </c>
      <c r="H291" t="s">
        <v>13</v>
      </c>
      <c r="I291">
        <f>Table1[[#This Row],[Per unit]]*Table1[[#This Row],[Boxes Shipped]]</f>
        <v>5476</v>
      </c>
    </row>
    <row r="292" spans="1:9" x14ac:dyDescent="0.25">
      <c r="A292" s="2">
        <v>45750</v>
      </c>
      <c r="B292" t="s">
        <v>44</v>
      </c>
      <c r="C292" t="s">
        <v>21</v>
      </c>
      <c r="D292">
        <v>21</v>
      </c>
      <c r="E292" s="3">
        <v>72</v>
      </c>
      <c r="F292" t="s">
        <v>34</v>
      </c>
      <c r="G292" t="s">
        <v>11</v>
      </c>
      <c r="H292" t="s">
        <v>16</v>
      </c>
      <c r="I292">
        <f>Table1[[#This Row],[Per unit]]*Table1[[#This Row],[Boxes Shipped]]</f>
        <v>1512</v>
      </c>
    </row>
    <row r="293" spans="1:9" x14ac:dyDescent="0.25">
      <c r="A293" s="2">
        <v>45994</v>
      </c>
      <c r="B293" t="s">
        <v>33</v>
      </c>
      <c r="C293" t="s">
        <v>17</v>
      </c>
      <c r="D293">
        <v>101</v>
      </c>
      <c r="E293" s="3">
        <v>36</v>
      </c>
      <c r="F293" t="s">
        <v>19</v>
      </c>
      <c r="G293" t="s">
        <v>26</v>
      </c>
      <c r="H293" t="s">
        <v>16</v>
      </c>
      <c r="I293">
        <f>Table1[[#This Row],[Per unit]]*Table1[[#This Row],[Boxes Shipped]]</f>
        <v>3636</v>
      </c>
    </row>
    <row r="294" spans="1:9" x14ac:dyDescent="0.25">
      <c r="A294" s="2">
        <v>45955</v>
      </c>
      <c r="B294" t="s">
        <v>47</v>
      </c>
      <c r="C294" t="s">
        <v>10</v>
      </c>
      <c r="D294">
        <v>91</v>
      </c>
      <c r="E294" s="3">
        <v>95</v>
      </c>
      <c r="F294" t="s">
        <v>34</v>
      </c>
      <c r="G294" t="s">
        <v>11</v>
      </c>
      <c r="H294" t="s">
        <v>20</v>
      </c>
      <c r="I294">
        <f>Table1[[#This Row],[Per unit]]*Table1[[#This Row],[Boxes Shipped]]</f>
        <v>8645</v>
      </c>
    </row>
    <row r="295" spans="1:9" x14ac:dyDescent="0.25">
      <c r="A295" s="2">
        <v>45805</v>
      </c>
      <c r="B295" t="s">
        <v>31</v>
      </c>
      <c r="C295" t="s">
        <v>10</v>
      </c>
      <c r="D295">
        <v>54</v>
      </c>
      <c r="E295" s="3">
        <v>78</v>
      </c>
      <c r="F295" t="s">
        <v>34</v>
      </c>
      <c r="G295" t="s">
        <v>34</v>
      </c>
      <c r="H295" t="s">
        <v>29</v>
      </c>
      <c r="I295">
        <f>Table1[[#This Row],[Per unit]]*Table1[[#This Row],[Boxes Shipped]]</f>
        <v>4212</v>
      </c>
    </row>
    <row r="296" spans="1:9" x14ac:dyDescent="0.25">
      <c r="A296" s="2">
        <v>45665</v>
      </c>
      <c r="B296" t="s">
        <v>40</v>
      </c>
      <c r="C296" t="s">
        <v>10</v>
      </c>
      <c r="D296">
        <v>368</v>
      </c>
      <c r="E296" s="3">
        <v>82</v>
      </c>
      <c r="F296" t="s">
        <v>19</v>
      </c>
      <c r="G296" t="s">
        <v>28</v>
      </c>
      <c r="H296" t="s">
        <v>16</v>
      </c>
      <c r="I296">
        <f>Table1[[#This Row],[Per unit]]*Table1[[#This Row],[Boxes Shipped]]</f>
        <v>30176</v>
      </c>
    </row>
    <row r="297" spans="1:9" x14ac:dyDescent="0.25">
      <c r="A297" s="2">
        <v>45905</v>
      </c>
      <c r="B297" t="s">
        <v>33</v>
      </c>
      <c r="C297" t="s">
        <v>30</v>
      </c>
      <c r="D297">
        <v>409</v>
      </c>
      <c r="E297" s="3">
        <v>70</v>
      </c>
      <c r="F297" t="s">
        <v>19</v>
      </c>
      <c r="G297" t="s">
        <v>32</v>
      </c>
      <c r="H297" t="s">
        <v>13</v>
      </c>
      <c r="I297">
        <f>Table1[[#This Row],[Per unit]]*Table1[[#This Row],[Boxes Shipped]]</f>
        <v>28630</v>
      </c>
    </row>
    <row r="298" spans="1:9" x14ac:dyDescent="0.25">
      <c r="A298" s="2">
        <v>45908</v>
      </c>
      <c r="B298" t="s">
        <v>35</v>
      </c>
      <c r="C298" t="s">
        <v>10</v>
      </c>
      <c r="D298">
        <v>104</v>
      </c>
      <c r="E298" s="3">
        <v>41</v>
      </c>
      <c r="F298" t="s">
        <v>32</v>
      </c>
      <c r="G298" t="s">
        <v>15</v>
      </c>
      <c r="H298" t="s">
        <v>13</v>
      </c>
      <c r="I298">
        <f>Table1[[#This Row],[Per unit]]*Table1[[#This Row],[Boxes Shipped]]</f>
        <v>4264</v>
      </c>
    </row>
    <row r="299" spans="1:9" x14ac:dyDescent="0.25">
      <c r="A299" s="2">
        <v>45798</v>
      </c>
      <c r="B299" t="s">
        <v>48</v>
      </c>
      <c r="C299" t="s">
        <v>21</v>
      </c>
      <c r="D299">
        <v>164</v>
      </c>
      <c r="E299" s="3">
        <v>42</v>
      </c>
      <c r="F299" t="s">
        <v>19</v>
      </c>
      <c r="G299" t="s">
        <v>34</v>
      </c>
      <c r="H299" t="s">
        <v>16</v>
      </c>
      <c r="I299">
        <f>Table1[[#This Row],[Per unit]]*Table1[[#This Row],[Boxes Shipped]]</f>
        <v>6888</v>
      </c>
    </row>
    <row r="300" spans="1:9" x14ac:dyDescent="0.25">
      <c r="A300" s="2">
        <v>46014</v>
      </c>
      <c r="B300" t="s">
        <v>44</v>
      </c>
      <c r="C300" t="s">
        <v>24</v>
      </c>
      <c r="D300">
        <v>76</v>
      </c>
      <c r="E300" s="3">
        <v>50</v>
      </c>
      <c r="F300" t="s">
        <v>15</v>
      </c>
      <c r="G300" t="s">
        <v>28</v>
      </c>
      <c r="H300" t="s">
        <v>13</v>
      </c>
      <c r="I300">
        <f>Table1[[#This Row],[Per unit]]*Table1[[#This Row],[Boxes Shipped]]</f>
        <v>3800</v>
      </c>
    </row>
    <row r="301" spans="1:9" x14ac:dyDescent="0.25">
      <c r="A301" s="2">
        <v>46012</v>
      </c>
      <c r="B301" t="s">
        <v>18</v>
      </c>
      <c r="C301" t="s">
        <v>24</v>
      </c>
      <c r="D301">
        <v>178</v>
      </c>
      <c r="E301" s="3">
        <v>31</v>
      </c>
      <c r="F301" t="s">
        <v>27</v>
      </c>
      <c r="G301" t="s">
        <v>26</v>
      </c>
      <c r="H301" t="s">
        <v>16</v>
      </c>
      <c r="I301">
        <f>Table1[[#This Row],[Per unit]]*Table1[[#This Row],[Boxes Shipped]]</f>
        <v>5518</v>
      </c>
    </row>
    <row r="302" spans="1:9" x14ac:dyDescent="0.25">
      <c r="A302" s="2">
        <v>45747</v>
      </c>
      <c r="B302" t="s">
        <v>48</v>
      </c>
      <c r="C302" t="s">
        <v>24</v>
      </c>
      <c r="D302">
        <v>31</v>
      </c>
      <c r="E302" s="3">
        <v>51</v>
      </c>
      <c r="F302" t="s">
        <v>27</v>
      </c>
      <c r="G302" t="s">
        <v>19</v>
      </c>
      <c r="H302" t="s">
        <v>16</v>
      </c>
      <c r="I302">
        <f>Table1[[#This Row],[Per unit]]*Table1[[#This Row],[Boxes Shipped]]</f>
        <v>1581</v>
      </c>
    </row>
    <row r="303" spans="1:9" x14ac:dyDescent="0.25">
      <c r="A303" s="2">
        <v>45737</v>
      </c>
      <c r="B303" t="s">
        <v>50</v>
      </c>
      <c r="C303" t="s">
        <v>10</v>
      </c>
      <c r="D303">
        <v>395</v>
      </c>
      <c r="E303" s="3">
        <v>26</v>
      </c>
      <c r="F303" t="s">
        <v>11</v>
      </c>
      <c r="G303" t="s">
        <v>28</v>
      </c>
      <c r="H303" t="s">
        <v>23</v>
      </c>
      <c r="I303">
        <f>Table1[[#This Row],[Per unit]]*Table1[[#This Row],[Boxes Shipped]]</f>
        <v>10270</v>
      </c>
    </row>
    <row r="304" spans="1:9" x14ac:dyDescent="0.25">
      <c r="A304" s="2">
        <v>45871</v>
      </c>
      <c r="B304" t="s">
        <v>50</v>
      </c>
      <c r="C304" t="s">
        <v>17</v>
      </c>
      <c r="D304">
        <v>169</v>
      </c>
      <c r="E304" s="3">
        <v>86</v>
      </c>
      <c r="F304" t="s">
        <v>26</v>
      </c>
      <c r="G304" t="s">
        <v>26</v>
      </c>
      <c r="H304" t="s">
        <v>29</v>
      </c>
      <c r="I304">
        <f>Table1[[#This Row],[Per unit]]*Table1[[#This Row],[Boxes Shipped]]</f>
        <v>14534</v>
      </c>
    </row>
    <row r="305" spans="1:9" x14ac:dyDescent="0.25">
      <c r="A305" s="2">
        <v>45755</v>
      </c>
      <c r="B305" t="s">
        <v>40</v>
      </c>
      <c r="C305" t="s">
        <v>21</v>
      </c>
      <c r="D305">
        <v>223</v>
      </c>
      <c r="E305" s="3">
        <v>64</v>
      </c>
      <c r="F305" t="s">
        <v>19</v>
      </c>
      <c r="G305" t="s">
        <v>12</v>
      </c>
      <c r="H305" t="s">
        <v>20</v>
      </c>
      <c r="I305">
        <f>Table1[[#This Row],[Per unit]]*Table1[[#This Row],[Boxes Shipped]]</f>
        <v>14272</v>
      </c>
    </row>
    <row r="306" spans="1:9" x14ac:dyDescent="0.25">
      <c r="A306" s="2">
        <v>45682</v>
      </c>
      <c r="B306" t="s">
        <v>36</v>
      </c>
      <c r="C306" t="s">
        <v>17</v>
      </c>
      <c r="D306">
        <v>146</v>
      </c>
      <c r="E306" s="3">
        <v>46</v>
      </c>
      <c r="F306" t="s">
        <v>27</v>
      </c>
      <c r="G306" t="s">
        <v>19</v>
      </c>
      <c r="H306" t="s">
        <v>29</v>
      </c>
      <c r="I306">
        <f>Table1[[#This Row],[Per unit]]*Table1[[#This Row],[Boxes Shipped]]</f>
        <v>6716</v>
      </c>
    </row>
    <row r="307" spans="1:9" x14ac:dyDescent="0.25">
      <c r="A307" s="2">
        <v>45851</v>
      </c>
      <c r="B307" t="s">
        <v>39</v>
      </c>
      <c r="C307" t="s">
        <v>17</v>
      </c>
      <c r="D307">
        <v>112</v>
      </c>
      <c r="E307" s="3">
        <v>85</v>
      </c>
      <c r="F307" t="s">
        <v>22</v>
      </c>
      <c r="G307" t="s">
        <v>11</v>
      </c>
      <c r="H307" t="s">
        <v>16</v>
      </c>
      <c r="I307">
        <f>Table1[[#This Row],[Per unit]]*Table1[[#This Row],[Boxes Shipped]]</f>
        <v>9520</v>
      </c>
    </row>
    <row r="308" spans="1:9" x14ac:dyDescent="0.25">
      <c r="A308" s="2">
        <v>45712</v>
      </c>
      <c r="B308" t="s">
        <v>47</v>
      </c>
      <c r="C308" t="s">
        <v>17</v>
      </c>
      <c r="D308">
        <v>284</v>
      </c>
      <c r="E308" s="3">
        <v>81</v>
      </c>
      <c r="F308" t="s">
        <v>15</v>
      </c>
      <c r="G308" t="s">
        <v>28</v>
      </c>
      <c r="H308" t="s">
        <v>20</v>
      </c>
      <c r="I308">
        <f>Table1[[#This Row],[Per unit]]*Table1[[#This Row],[Boxes Shipped]]</f>
        <v>23004</v>
      </c>
    </row>
    <row r="309" spans="1:9" x14ac:dyDescent="0.25">
      <c r="A309" s="2">
        <v>45782</v>
      </c>
      <c r="B309" t="s">
        <v>42</v>
      </c>
      <c r="C309" t="s">
        <v>10</v>
      </c>
      <c r="D309">
        <v>139</v>
      </c>
      <c r="E309" s="3">
        <v>59</v>
      </c>
      <c r="F309" t="s">
        <v>28</v>
      </c>
      <c r="G309" t="s">
        <v>28</v>
      </c>
      <c r="H309" t="s">
        <v>13</v>
      </c>
      <c r="I309">
        <f>Table1[[#This Row],[Per unit]]*Table1[[#This Row],[Boxes Shipped]]</f>
        <v>8201</v>
      </c>
    </row>
    <row r="310" spans="1:9" x14ac:dyDescent="0.25">
      <c r="A310" s="2">
        <v>45708</v>
      </c>
      <c r="B310" t="s">
        <v>47</v>
      </c>
      <c r="C310" t="s">
        <v>24</v>
      </c>
      <c r="D310">
        <v>309</v>
      </c>
      <c r="E310" s="3">
        <v>79</v>
      </c>
      <c r="F310" t="s">
        <v>22</v>
      </c>
      <c r="G310" t="s">
        <v>27</v>
      </c>
      <c r="H310" t="s">
        <v>29</v>
      </c>
      <c r="I310">
        <f>Table1[[#This Row],[Per unit]]*Table1[[#This Row],[Boxes Shipped]]</f>
        <v>24411</v>
      </c>
    </row>
    <row r="311" spans="1:9" x14ac:dyDescent="0.25">
      <c r="A311" s="2">
        <v>45852</v>
      </c>
      <c r="B311" t="s">
        <v>25</v>
      </c>
      <c r="C311" t="s">
        <v>24</v>
      </c>
      <c r="D311">
        <v>118</v>
      </c>
      <c r="E311" s="3">
        <v>87</v>
      </c>
      <c r="F311" t="s">
        <v>15</v>
      </c>
      <c r="G311" t="s">
        <v>15</v>
      </c>
      <c r="H311" t="s">
        <v>23</v>
      </c>
      <c r="I311">
        <f>Table1[[#This Row],[Per unit]]*Table1[[#This Row],[Boxes Shipped]]</f>
        <v>10266</v>
      </c>
    </row>
    <row r="312" spans="1:9" x14ac:dyDescent="0.25">
      <c r="A312" s="2">
        <v>45729</v>
      </c>
      <c r="B312" t="s">
        <v>48</v>
      </c>
      <c r="C312" t="s">
        <v>10</v>
      </c>
      <c r="D312">
        <v>42</v>
      </c>
      <c r="E312" s="3">
        <v>47</v>
      </c>
      <c r="F312" t="s">
        <v>32</v>
      </c>
      <c r="G312" t="s">
        <v>19</v>
      </c>
      <c r="H312" t="s">
        <v>13</v>
      </c>
      <c r="I312">
        <f>Table1[[#This Row],[Per unit]]*Table1[[#This Row],[Boxes Shipped]]</f>
        <v>1974</v>
      </c>
    </row>
    <row r="313" spans="1:9" x14ac:dyDescent="0.25">
      <c r="A313" s="2">
        <v>45990</v>
      </c>
      <c r="B313" t="s">
        <v>39</v>
      </c>
      <c r="C313" t="s">
        <v>24</v>
      </c>
      <c r="D313">
        <v>24</v>
      </c>
      <c r="E313" s="3">
        <v>20</v>
      </c>
      <c r="F313" t="s">
        <v>27</v>
      </c>
      <c r="G313" t="s">
        <v>15</v>
      </c>
      <c r="H313" t="s">
        <v>20</v>
      </c>
      <c r="I313">
        <f>Table1[[#This Row],[Per unit]]*Table1[[#This Row],[Boxes Shipped]]</f>
        <v>480</v>
      </c>
    </row>
    <row r="314" spans="1:9" x14ac:dyDescent="0.25">
      <c r="A314" s="2">
        <v>45870</v>
      </c>
      <c r="B314" t="s">
        <v>43</v>
      </c>
      <c r="C314" t="s">
        <v>24</v>
      </c>
      <c r="D314">
        <v>83</v>
      </c>
      <c r="E314" s="3">
        <v>36</v>
      </c>
      <c r="F314" t="s">
        <v>27</v>
      </c>
      <c r="G314" t="s">
        <v>28</v>
      </c>
      <c r="H314" t="s">
        <v>29</v>
      </c>
      <c r="I314">
        <f>Table1[[#This Row],[Per unit]]*Table1[[#This Row],[Boxes Shipped]]</f>
        <v>2988</v>
      </c>
    </row>
    <row r="315" spans="1:9" x14ac:dyDescent="0.25">
      <c r="A315" s="2">
        <v>45695</v>
      </c>
      <c r="B315" t="s">
        <v>38</v>
      </c>
      <c r="C315" t="s">
        <v>10</v>
      </c>
      <c r="D315">
        <v>277</v>
      </c>
      <c r="E315" s="3">
        <v>36</v>
      </c>
      <c r="F315" t="s">
        <v>11</v>
      </c>
      <c r="G315" t="s">
        <v>28</v>
      </c>
      <c r="H315" t="s">
        <v>23</v>
      </c>
      <c r="I315">
        <f>Table1[[#This Row],[Per unit]]*Table1[[#This Row],[Boxes Shipped]]</f>
        <v>9972</v>
      </c>
    </row>
    <row r="316" spans="1:9" x14ac:dyDescent="0.25">
      <c r="A316" s="2">
        <v>45808</v>
      </c>
      <c r="B316" t="s">
        <v>50</v>
      </c>
      <c r="C316" t="s">
        <v>10</v>
      </c>
      <c r="D316">
        <v>118</v>
      </c>
      <c r="E316" s="3">
        <v>71</v>
      </c>
      <c r="F316" t="s">
        <v>28</v>
      </c>
      <c r="G316" t="s">
        <v>12</v>
      </c>
      <c r="H316" t="s">
        <v>29</v>
      </c>
      <c r="I316">
        <f>Table1[[#This Row],[Per unit]]*Table1[[#This Row],[Boxes Shipped]]</f>
        <v>8378</v>
      </c>
    </row>
    <row r="317" spans="1:9" x14ac:dyDescent="0.25">
      <c r="A317" s="2">
        <v>45939</v>
      </c>
      <c r="B317" t="s">
        <v>50</v>
      </c>
      <c r="C317" t="s">
        <v>30</v>
      </c>
      <c r="D317">
        <v>46</v>
      </c>
      <c r="E317" s="3">
        <v>59</v>
      </c>
      <c r="F317" t="s">
        <v>19</v>
      </c>
      <c r="G317" t="s">
        <v>32</v>
      </c>
      <c r="H317" t="s">
        <v>16</v>
      </c>
      <c r="I317">
        <f>Table1[[#This Row],[Per unit]]*Table1[[#This Row],[Boxes Shipped]]</f>
        <v>2714</v>
      </c>
    </row>
    <row r="318" spans="1:9" x14ac:dyDescent="0.25">
      <c r="A318" s="2">
        <v>45916</v>
      </c>
      <c r="B318" t="s">
        <v>40</v>
      </c>
      <c r="C318" t="s">
        <v>17</v>
      </c>
      <c r="D318">
        <v>144</v>
      </c>
      <c r="E318" s="3">
        <v>50</v>
      </c>
      <c r="F318" t="s">
        <v>15</v>
      </c>
      <c r="G318" t="s">
        <v>27</v>
      </c>
      <c r="H318" t="s">
        <v>20</v>
      </c>
      <c r="I318">
        <f>Table1[[#This Row],[Per unit]]*Table1[[#This Row],[Boxes Shipped]]</f>
        <v>7200</v>
      </c>
    </row>
    <row r="319" spans="1:9" x14ac:dyDescent="0.25">
      <c r="A319" s="2">
        <v>45751</v>
      </c>
      <c r="B319" t="s">
        <v>49</v>
      </c>
      <c r="C319" t="s">
        <v>21</v>
      </c>
      <c r="D319">
        <v>47</v>
      </c>
      <c r="E319" s="3">
        <v>41</v>
      </c>
      <c r="F319" t="s">
        <v>32</v>
      </c>
      <c r="G319" t="s">
        <v>11</v>
      </c>
      <c r="H319" t="s">
        <v>20</v>
      </c>
      <c r="I319">
        <f>Table1[[#This Row],[Per unit]]*Table1[[#This Row],[Boxes Shipped]]</f>
        <v>1927</v>
      </c>
    </row>
    <row r="320" spans="1:9" x14ac:dyDescent="0.25">
      <c r="A320" s="2">
        <v>45697</v>
      </c>
      <c r="B320" t="s">
        <v>44</v>
      </c>
      <c r="C320" t="s">
        <v>24</v>
      </c>
      <c r="D320">
        <v>140</v>
      </c>
      <c r="E320" s="3">
        <v>68</v>
      </c>
      <c r="F320" t="s">
        <v>27</v>
      </c>
      <c r="G320" t="s">
        <v>19</v>
      </c>
      <c r="H320" t="s">
        <v>23</v>
      </c>
      <c r="I320">
        <f>Table1[[#This Row],[Per unit]]*Table1[[#This Row],[Boxes Shipped]]</f>
        <v>9520</v>
      </c>
    </row>
    <row r="321" spans="1:9" x14ac:dyDescent="0.25">
      <c r="A321" s="2">
        <v>45734</v>
      </c>
      <c r="B321" t="s">
        <v>25</v>
      </c>
      <c r="C321" t="s">
        <v>17</v>
      </c>
      <c r="D321">
        <v>275</v>
      </c>
      <c r="E321" s="3">
        <v>87</v>
      </c>
      <c r="F321" t="s">
        <v>15</v>
      </c>
      <c r="G321" t="s">
        <v>22</v>
      </c>
      <c r="H321" t="s">
        <v>29</v>
      </c>
      <c r="I321">
        <f>Table1[[#This Row],[Per unit]]*Table1[[#This Row],[Boxes Shipped]]</f>
        <v>23925</v>
      </c>
    </row>
    <row r="322" spans="1:9" x14ac:dyDescent="0.25">
      <c r="A322" s="2">
        <v>45817</v>
      </c>
      <c r="B322" t="s">
        <v>31</v>
      </c>
      <c r="C322" t="s">
        <v>17</v>
      </c>
      <c r="D322">
        <v>370</v>
      </c>
      <c r="E322" s="3">
        <v>68</v>
      </c>
      <c r="F322" t="s">
        <v>22</v>
      </c>
      <c r="G322" t="s">
        <v>27</v>
      </c>
      <c r="H322" t="s">
        <v>13</v>
      </c>
      <c r="I322">
        <f>Table1[[#This Row],[Per unit]]*Table1[[#This Row],[Boxes Shipped]]</f>
        <v>25160</v>
      </c>
    </row>
    <row r="323" spans="1:9" x14ac:dyDescent="0.25">
      <c r="A323" s="2">
        <v>45757</v>
      </c>
      <c r="B323" t="s">
        <v>38</v>
      </c>
      <c r="C323" t="s">
        <v>30</v>
      </c>
      <c r="D323">
        <v>138</v>
      </c>
      <c r="E323" s="3">
        <v>90</v>
      </c>
      <c r="F323" t="s">
        <v>28</v>
      </c>
      <c r="G323" t="s">
        <v>32</v>
      </c>
      <c r="H323" t="s">
        <v>20</v>
      </c>
      <c r="I323">
        <f>Table1[[#This Row],[Per unit]]*Table1[[#This Row],[Boxes Shipped]]</f>
        <v>12420</v>
      </c>
    </row>
    <row r="324" spans="1:9" x14ac:dyDescent="0.25">
      <c r="A324" s="2">
        <v>45774</v>
      </c>
      <c r="B324" t="s">
        <v>41</v>
      </c>
      <c r="C324" t="s">
        <v>17</v>
      </c>
      <c r="D324">
        <v>130</v>
      </c>
      <c r="E324" s="3">
        <v>72</v>
      </c>
      <c r="F324" t="s">
        <v>19</v>
      </c>
      <c r="G324" t="s">
        <v>19</v>
      </c>
      <c r="H324" t="s">
        <v>23</v>
      </c>
      <c r="I324">
        <f>Table1[[#This Row],[Per unit]]*Table1[[#This Row],[Boxes Shipped]]</f>
        <v>9360</v>
      </c>
    </row>
    <row r="325" spans="1:9" x14ac:dyDescent="0.25">
      <c r="A325" s="2">
        <v>45945</v>
      </c>
      <c r="B325" t="s">
        <v>14</v>
      </c>
      <c r="C325" t="s">
        <v>10</v>
      </c>
      <c r="D325">
        <v>134</v>
      </c>
      <c r="E325" s="3">
        <v>64</v>
      </c>
      <c r="F325" t="s">
        <v>26</v>
      </c>
      <c r="G325" t="s">
        <v>22</v>
      </c>
      <c r="H325" t="s">
        <v>13</v>
      </c>
      <c r="I325">
        <f>Table1[[#This Row],[Per unit]]*Table1[[#This Row],[Boxes Shipped]]</f>
        <v>8576</v>
      </c>
    </row>
    <row r="326" spans="1:9" x14ac:dyDescent="0.25">
      <c r="A326" s="2">
        <v>45738</v>
      </c>
      <c r="B326" t="s">
        <v>49</v>
      </c>
      <c r="C326" t="s">
        <v>17</v>
      </c>
      <c r="D326">
        <v>109</v>
      </c>
      <c r="E326" s="3">
        <v>85</v>
      </c>
      <c r="F326" t="s">
        <v>19</v>
      </c>
      <c r="G326" t="s">
        <v>27</v>
      </c>
      <c r="H326" t="s">
        <v>23</v>
      </c>
      <c r="I326">
        <f>Table1[[#This Row],[Per unit]]*Table1[[#This Row],[Boxes Shipped]]</f>
        <v>9265</v>
      </c>
    </row>
    <row r="327" spans="1:9" x14ac:dyDescent="0.25">
      <c r="A327" s="2">
        <v>45847</v>
      </c>
      <c r="B327" t="s">
        <v>37</v>
      </c>
      <c r="C327" t="s">
        <v>30</v>
      </c>
      <c r="D327">
        <v>280</v>
      </c>
      <c r="E327" s="3">
        <v>42</v>
      </c>
      <c r="F327" t="s">
        <v>15</v>
      </c>
      <c r="G327" t="s">
        <v>11</v>
      </c>
      <c r="H327" t="s">
        <v>20</v>
      </c>
      <c r="I327">
        <f>Table1[[#This Row],[Per unit]]*Table1[[#This Row],[Boxes Shipped]]</f>
        <v>11760</v>
      </c>
    </row>
    <row r="328" spans="1:9" x14ac:dyDescent="0.25">
      <c r="A328" s="2">
        <v>45744</v>
      </c>
      <c r="B328" t="s">
        <v>43</v>
      </c>
      <c r="C328" t="s">
        <v>17</v>
      </c>
      <c r="D328">
        <v>352</v>
      </c>
      <c r="E328" s="3">
        <v>80</v>
      </c>
      <c r="F328" t="s">
        <v>34</v>
      </c>
      <c r="G328" t="s">
        <v>15</v>
      </c>
      <c r="H328" t="s">
        <v>16</v>
      </c>
      <c r="I328">
        <f>Table1[[#This Row],[Per unit]]*Table1[[#This Row],[Boxes Shipped]]</f>
        <v>28160</v>
      </c>
    </row>
    <row r="329" spans="1:9" x14ac:dyDescent="0.25">
      <c r="A329" s="2">
        <v>45825</v>
      </c>
      <c r="B329" t="s">
        <v>50</v>
      </c>
      <c r="C329" t="s">
        <v>30</v>
      </c>
      <c r="D329">
        <v>234</v>
      </c>
      <c r="E329" s="3">
        <v>39</v>
      </c>
      <c r="F329" t="s">
        <v>11</v>
      </c>
      <c r="G329" t="s">
        <v>12</v>
      </c>
      <c r="H329" t="s">
        <v>23</v>
      </c>
      <c r="I329">
        <f>Table1[[#This Row],[Per unit]]*Table1[[#This Row],[Boxes Shipped]]</f>
        <v>9126</v>
      </c>
    </row>
    <row r="330" spans="1:9" x14ac:dyDescent="0.25">
      <c r="A330" s="2">
        <v>45858</v>
      </c>
      <c r="B330" t="s">
        <v>48</v>
      </c>
      <c r="C330" t="s">
        <v>30</v>
      </c>
      <c r="D330">
        <v>177</v>
      </c>
      <c r="E330" s="3">
        <v>25</v>
      </c>
      <c r="F330" t="s">
        <v>27</v>
      </c>
      <c r="G330" t="s">
        <v>12</v>
      </c>
      <c r="H330" t="s">
        <v>20</v>
      </c>
      <c r="I330">
        <f>Table1[[#This Row],[Per unit]]*Table1[[#This Row],[Boxes Shipped]]</f>
        <v>4425</v>
      </c>
    </row>
    <row r="331" spans="1:9" x14ac:dyDescent="0.25">
      <c r="A331" s="2">
        <v>45853</v>
      </c>
      <c r="B331" t="s">
        <v>41</v>
      </c>
      <c r="C331" t="s">
        <v>21</v>
      </c>
      <c r="D331">
        <v>142</v>
      </c>
      <c r="E331" s="3">
        <v>74</v>
      </c>
      <c r="F331" t="s">
        <v>27</v>
      </c>
      <c r="G331" t="s">
        <v>22</v>
      </c>
      <c r="H331" t="s">
        <v>16</v>
      </c>
      <c r="I331">
        <f>Table1[[#This Row],[Per unit]]*Table1[[#This Row],[Boxes Shipped]]</f>
        <v>10508</v>
      </c>
    </row>
    <row r="332" spans="1:9" x14ac:dyDescent="0.25">
      <c r="A332" s="2">
        <v>45753</v>
      </c>
      <c r="B332" t="s">
        <v>36</v>
      </c>
      <c r="C332" t="s">
        <v>30</v>
      </c>
      <c r="D332">
        <v>12</v>
      </c>
      <c r="E332" s="3">
        <v>30</v>
      </c>
      <c r="F332" t="s">
        <v>26</v>
      </c>
      <c r="G332" t="s">
        <v>28</v>
      </c>
      <c r="H332" t="s">
        <v>16</v>
      </c>
      <c r="I332">
        <f>Table1[[#This Row],[Per unit]]*Table1[[#This Row],[Boxes Shipped]]</f>
        <v>360</v>
      </c>
    </row>
    <row r="333" spans="1:9" x14ac:dyDescent="0.25">
      <c r="A333" s="2">
        <v>45774</v>
      </c>
      <c r="B333" t="s">
        <v>42</v>
      </c>
      <c r="C333" t="s">
        <v>30</v>
      </c>
      <c r="D333">
        <v>151</v>
      </c>
      <c r="E333" s="3">
        <v>60</v>
      </c>
      <c r="F333" t="s">
        <v>26</v>
      </c>
      <c r="G333" t="s">
        <v>27</v>
      </c>
      <c r="H333" t="s">
        <v>23</v>
      </c>
      <c r="I333">
        <f>Table1[[#This Row],[Per unit]]*Table1[[#This Row],[Boxes Shipped]]</f>
        <v>9060</v>
      </c>
    </row>
    <row r="334" spans="1:9" x14ac:dyDescent="0.25">
      <c r="A334" s="2">
        <v>45753</v>
      </c>
      <c r="B334" t="s">
        <v>18</v>
      </c>
      <c r="C334" t="s">
        <v>24</v>
      </c>
      <c r="D334">
        <v>184</v>
      </c>
      <c r="E334" s="3">
        <v>49</v>
      </c>
      <c r="F334" t="s">
        <v>15</v>
      </c>
      <c r="G334" t="s">
        <v>28</v>
      </c>
      <c r="H334" t="s">
        <v>23</v>
      </c>
      <c r="I334">
        <f>Table1[[#This Row],[Per unit]]*Table1[[#This Row],[Boxes Shipped]]</f>
        <v>9016</v>
      </c>
    </row>
    <row r="335" spans="1:9" x14ac:dyDescent="0.25">
      <c r="A335" s="2">
        <v>45745</v>
      </c>
      <c r="B335" t="s">
        <v>36</v>
      </c>
      <c r="C335" t="s">
        <v>17</v>
      </c>
      <c r="D335">
        <v>147</v>
      </c>
      <c r="E335" s="3">
        <v>88</v>
      </c>
      <c r="F335" t="s">
        <v>32</v>
      </c>
      <c r="G335" t="s">
        <v>27</v>
      </c>
      <c r="H335" t="s">
        <v>29</v>
      </c>
      <c r="I335">
        <f>Table1[[#This Row],[Per unit]]*Table1[[#This Row],[Boxes Shipped]]</f>
        <v>12936</v>
      </c>
    </row>
    <row r="336" spans="1:9" x14ac:dyDescent="0.25">
      <c r="A336" s="2">
        <v>45820</v>
      </c>
      <c r="B336" t="s">
        <v>25</v>
      </c>
      <c r="C336" t="s">
        <v>30</v>
      </c>
      <c r="D336">
        <v>137</v>
      </c>
      <c r="E336" s="3">
        <v>88</v>
      </c>
      <c r="F336" t="s">
        <v>34</v>
      </c>
      <c r="G336" t="s">
        <v>32</v>
      </c>
      <c r="H336" t="s">
        <v>13</v>
      </c>
      <c r="I336">
        <f>Table1[[#This Row],[Per unit]]*Table1[[#This Row],[Boxes Shipped]]</f>
        <v>12056</v>
      </c>
    </row>
    <row r="337" spans="1:9" x14ac:dyDescent="0.25">
      <c r="A337" s="2">
        <v>45819</v>
      </c>
      <c r="B337" t="s">
        <v>43</v>
      </c>
      <c r="C337" t="s">
        <v>10</v>
      </c>
      <c r="D337">
        <v>13</v>
      </c>
      <c r="E337" s="3">
        <v>88</v>
      </c>
      <c r="F337" t="s">
        <v>32</v>
      </c>
      <c r="G337" t="s">
        <v>12</v>
      </c>
      <c r="H337" t="s">
        <v>29</v>
      </c>
      <c r="I337">
        <f>Table1[[#This Row],[Per unit]]*Table1[[#This Row],[Boxes Shipped]]</f>
        <v>1144</v>
      </c>
    </row>
    <row r="338" spans="1:9" x14ac:dyDescent="0.25">
      <c r="A338" s="2">
        <v>45670</v>
      </c>
      <c r="B338" t="s">
        <v>43</v>
      </c>
      <c r="C338" t="s">
        <v>17</v>
      </c>
      <c r="D338">
        <v>139</v>
      </c>
      <c r="E338" s="3">
        <v>64</v>
      </c>
      <c r="F338" t="s">
        <v>32</v>
      </c>
      <c r="G338" t="s">
        <v>26</v>
      </c>
      <c r="H338" t="s">
        <v>23</v>
      </c>
      <c r="I338">
        <f>Table1[[#This Row],[Per unit]]*Table1[[#This Row],[Boxes Shipped]]</f>
        <v>8896</v>
      </c>
    </row>
    <row r="339" spans="1:9" x14ac:dyDescent="0.25">
      <c r="A339" s="2">
        <v>45876</v>
      </c>
      <c r="B339" t="s">
        <v>47</v>
      </c>
      <c r="C339" t="s">
        <v>10</v>
      </c>
      <c r="D339">
        <v>157</v>
      </c>
      <c r="E339" s="3">
        <v>56</v>
      </c>
      <c r="F339" t="s">
        <v>32</v>
      </c>
      <c r="G339" t="s">
        <v>32</v>
      </c>
      <c r="H339" t="s">
        <v>23</v>
      </c>
      <c r="I339">
        <f>Table1[[#This Row],[Per unit]]*Table1[[#This Row],[Boxes Shipped]]</f>
        <v>8792</v>
      </c>
    </row>
    <row r="340" spans="1:9" x14ac:dyDescent="0.25">
      <c r="A340" s="2">
        <v>45691</v>
      </c>
      <c r="B340" t="s">
        <v>42</v>
      </c>
      <c r="C340" t="s">
        <v>24</v>
      </c>
      <c r="D340">
        <v>126</v>
      </c>
      <c r="E340" s="3">
        <v>69</v>
      </c>
      <c r="F340" t="s">
        <v>12</v>
      </c>
      <c r="G340" t="s">
        <v>11</v>
      </c>
      <c r="H340" t="s">
        <v>23</v>
      </c>
      <c r="I340">
        <f>Table1[[#This Row],[Per unit]]*Table1[[#This Row],[Boxes Shipped]]</f>
        <v>8694</v>
      </c>
    </row>
    <row r="341" spans="1:9" x14ac:dyDescent="0.25">
      <c r="A341" s="2">
        <v>45836</v>
      </c>
      <c r="B341" t="s">
        <v>48</v>
      </c>
      <c r="C341" t="s">
        <v>17</v>
      </c>
      <c r="D341">
        <v>68</v>
      </c>
      <c r="E341" s="3">
        <v>40</v>
      </c>
      <c r="F341" t="s">
        <v>27</v>
      </c>
      <c r="G341" t="s">
        <v>15</v>
      </c>
      <c r="H341" t="s">
        <v>29</v>
      </c>
      <c r="I341">
        <f>Table1[[#This Row],[Per unit]]*Table1[[#This Row],[Boxes Shipped]]</f>
        <v>2720</v>
      </c>
    </row>
    <row r="342" spans="1:9" x14ac:dyDescent="0.25">
      <c r="A342" s="2">
        <v>45932</v>
      </c>
      <c r="B342" t="s">
        <v>38</v>
      </c>
      <c r="C342" t="s">
        <v>21</v>
      </c>
      <c r="D342">
        <v>105</v>
      </c>
      <c r="E342" s="3">
        <v>34</v>
      </c>
      <c r="F342" t="s">
        <v>15</v>
      </c>
      <c r="G342" t="s">
        <v>26</v>
      </c>
      <c r="H342" t="s">
        <v>13</v>
      </c>
      <c r="I342">
        <f>Table1[[#This Row],[Per unit]]*Table1[[#This Row],[Boxes Shipped]]</f>
        <v>3570</v>
      </c>
    </row>
    <row r="343" spans="1:9" x14ac:dyDescent="0.25">
      <c r="A343" s="2">
        <v>45693</v>
      </c>
      <c r="B343" t="s">
        <v>46</v>
      </c>
      <c r="C343" t="s">
        <v>10</v>
      </c>
      <c r="D343">
        <v>40</v>
      </c>
      <c r="E343" s="3">
        <v>83</v>
      </c>
      <c r="F343" t="s">
        <v>26</v>
      </c>
      <c r="G343" t="s">
        <v>34</v>
      </c>
      <c r="H343" t="s">
        <v>13</v>
      </c>
      <c r="I343">
        <f>Table1[[#This Row],[Per unit]]*Table1[[#This Row],[Boxes Shipped]]</f>
        <v>3320</v>
      </c>
    </row>
    <row r="344" spans="1:9" x14ac:dyDescent="0.25">
      <c r="A344" s="2">
        <v>45691</v>
      </c>
      <c r="B344" t="s">
        <v>41</v>
      </c>
      <c r="C344" t="s">
        <v>24</v>
      </c>
      <c r="D344">
        <v>65</v>
      </c>
      <c r="E344" s="3">
        <v>85</v>
      </c>
      <c r="F344" t="s">
        <v>27</v>
      </c>
      <c r="G344" t="s">
        <v>26</v>
      </c>
      <c r="H344" t="s">
        <v>29</v>
      </c>
      <c r="I344">
        <f>Table1[[#This Row],[Per unit]]*Table1[[#This Row],[Boxes Shipped]]</f>
        <v>5525</v>
      </c>
    </row>
    <row r="345" spans="1:9" x14ac:dyDescent="0.25">
      <c r="A345" s="2">
        <v>45912</v>
      </c>
      <c r="B345" t="s">
        <v>47</v>
      </c>
      <c r="C345" t="s">
        <v>17</v>
      </c>
      <c r="D345">
        <v>107</v>
      </c>
      <c r="E345" s="3">
        <v>27</v>
      </c>
      <c r="F345" t="s">
        <v>26</v>
      </c>
      <c r="G345" t="s">
        <v>19</v>
      </c>
      <c r="H345" t="s">
        <v>20</v>
      </c>
      <c r="I345">
        <f>Table1[[#This Row],[Per unit]]*Table1[[#This Row],[Boxes Shipped]]</f>
        <v>2889</v>
      </c>
    </row>
    <row r="346" spans="1:9" x14ac:dyDescent="0.25">
      <c r="A346" s="2">
        <v>45796</v>
      </c>
      <c r="B346" t="s">
        <v>44</v>
      </c>
      <c r="C346" t="s">
        <v>30</v>
      </c>
      <c r="D346">
        <v>227</v>
      </c>
      <c r="E346" s="3">
        <v>78</v>
      </c>
      <c r="F346" t="s">
        <v>19</v>
      </c>
      <c r="G346" t="s">
        <v>11</v>
      </c>
      <c r="H346" t="s">
        <v>13</v>
      </c>
      <c r="I346">
        <f>Table1[[#This Row],[Per unit]]*Table1[[#This Row],[Boxes Shipped]]</f>
        <v>17706</v>
      </c>
    </row>
    <row r="347" spans="1:9" x14ac:dyDescent="0.25">
      <c r="A347" s="2">
        <v>45967</v>
      </c>
      <c r="B347" t="s">
        <v>38</v>
      </c>
      <c r="C347" t="s">
        <v>10</v>
      </c>
      <c r="D347">
        <v>39</v>
      </c>
      <c r="E347" s="3">
        <v>32</v>
      </c>
      <c r="F347" t="s">
        <v>26</v>
      </c>
      <c r="G347" t="s">
        <v>32</v>
      </c>
      <c r="H347" t="s">
        <v>29</v>
      </c>
      <c r="I347">
        <f>Table1[[#This Row],[Per unit]]*Table1[[#This Row],[Boxes Shipped]]</f>
        <v>1248</v>
      </c>
    </row>
    <row r="348" spans="1:9" x14ac:dyDescent="0.25">
      <c r="A348" s="2">
        <v>46006</v>
      </c>
      <c r="B348" t="s">
        <v>35</v>
      </c>
      <c r="C348" t="s">
        <v>24</v>
      </c>
      <c r="D348">
        <v>84</v>
      </c>
      <c r="E348" s="3">
        <v>51</v>
      </c>
      <c r="F348" t="s">
        <v>26</v>
      </c>
      <c r="G348" t="s">
        <v>22</v>
      </c>
      <c r="H348" t="s">
        <v>13</v>
      </c>
      <c r="I348">
        <f>Table1[[#This Row],[Per unit]]*Table1[[#This Row],[Boxes Shipped]]</f>
        <v>4284</v>
      </c>
    </row>
    <row r="349" spans="1:9" x14ac:dyDescent="0.25">
      <c r="A349" s="2">
        <v>45671</v>
      </c>
      <c r="B349" t="s">
        <v>40</v>
      </c>
      <c r="C349" t="s">
        <v>10</v>
      </c>
      <c r="D349">
        <v>100</v>
      </c>
      <c r="E349" s="3">
        <v>32</v>
      </c>
      <c r="F349" t="s">
        <v>32</v>
      </c>
      <c r="G349" t="s">
        <v>27</v>
      </c>
      <c r="H349" t="s">
        <v>13</v>
      </c>
      <c r="I349">
        <f>Table1[[#This Row],[Per unit]]*Table1[[#This Row],[Boxes Shipped]]</f>
        <v>3200</v>
      </c>
    </row>
    <row r="350" spans="1:9" x14ac:dyDescent="0.25">
      <c r="A350" s="2">
        <v>45963</v>
      </c>
      <c r="B350" t="s">
        <v>42</v>
      </c>
      <c r="C350" t="s">
        <v>17</v>
      </c>
      <c r="D350">
        <v>120</v>
      </c>
      <c r="E350" s="3">
        <v>62</v>
      </c>
      <c r="F350" t="s">
        <v>26</v>
      </c>
      <c r="G350" t="s">
        <v>27</v>
      </c>
      <c r="H350" t="s">
        <v>13</v>
      </c>
      <c r="I350">
        <f>Table1[[#This Row],[Per unit]]*Table1[[#This Row],[Boxes Shipped]]</f>
        <v>7440</v>
      </c>
    </row>
    <row r="351" spans="1:9" x14ac:dyDescent="0.25">
      <c r="A351" s="2">
        <v>45979</v>
      </c>
      <c r="B351" t="s">
        <v>42</v>
      </c>
      <c r="C351" t="s">
        <v>21</v>
      </c>
      <c r="D351">
        <v>257</v>
      </c>
      <c r="E351" s="3">
        <v>29</v>
      </c>
      <c r="F351" t="s">
        <v>15</v>
      </c>
      <c r="G351" t="s">
        <v>26</v>
      </c>
      <c r="H351" t="s">
        <v>29</v>
      </c>
      <c r="I351">
        <f>Table1[[#This Row],[Per unit]]*Table1[[#This Row],[Boxes Shipped]]</f>
        <v>7453</v>
      </c>
    </row>
    <row r="352" spans="1:9" x14ac:dyDescent="0.25">
      <c r="A352" s="2">
        <v>45879</v>
      </c>
      <c r="B352" t="s">
        <v>36</v>
      </c>
      <c r="C352" t="s">
        <v>24</v>
      </c>
      <c r="D352">
        <v>85</v>
      </c>
      <c r="E352" s="3">
        <v>69</v>
      </c>
      <c r="F352" t="s">
        <v>11</v>
      </c>
      <c r="G352" t="s">
        <v>26</v>
      </c>
      <c r="H352" t="s">
        <v>29</v>
      </c>
      <c r="I352">
        <f>Table1[[#This Row],[Per unit]]*Table1[[#This Row],[Boxes Shipped]]</f>
        <v>5865</v>
      </c>
    </row>
    <row r="353" spans="1:9" x14ac:dyDescent="0.25">
      <c r="A353" s="2">
        <v>45751</v>
      </c>
      <c r="B353" t="s">
        <v>36</v>
      </c>
      <c r="C353" t="s">
        <v>17</v>
      </c>
      <c r="D353">
        <v>178</v>
      </c>
      <c r="E353" s="3">
        <v>25</v>
      </c>
      <c r="F353" t="s">
        <v>28</v>
      </c>
      <c r="G353" t="s">
        <v>11</v>
      </c>
      <c r="H353" t="s">
        <v>13</v>
      </c>
      <c r="I353">
        <f>Table1[[#This Row],[Per unit]]*Table1[[#This Row],[Boxes Shipped]]</f>
        <v>4450</v>
      </c>
    </row>
    <row r="354" spans="1:9" x14ac:dyDescent="0.25">
      <c r="A354" s="2">
        <v>45690</v>
      </c>
      <c r="B354" t="s">
        <v>44</v>
      </c>
      <c r="C354" t="s">
        <v>24</v>
      </c>
      <c r="D354">
        <v>151</v>
      </c>
      <c r="E354" s="3">
        <v>76</v>
      </c>
      <c r="F354" t="s">
        <v>34</v>
      </c>
      <c r="G354" t="s">
        <v>11</v>
      </c>
      <c r="H354" t="s">
        <v>29</v>
      </c>
      <c r="I354">
        <f>Table1[[#This Row],[Per unit]]*Table1[[#This Row],[Boxes Shipped]]</f>
        <v>11476</v>
      </c>
    </row>
    <row r="355" spans="1:9" x14ac:dyDescent="0.25">
      <c r="A355" s="2">
        <v>45739</v>
      </c>
      <c r="B355" t="s">
        <v>41</v>
      </c>
      <c r="C355" t="s">
        <v>24</v>
      </c>
      <c r="D355">
        <v>142</v>
      </c>
      <c r="E355" s="3">
        <v>77</v>
      </c>
      <c r="F355" t="s">
        <v>22</v>
      </c>
      <c r="G355" t="s">
        <v>11</v>
      </c>
      <c r="H355" t="s">
        <v>16</v>
      </c>
      <c r="I355">
        <f>Table1[[#This Row],[Per unit]]*Table1[[#This Row],[Boxes Shipped]]</f>
        <v>10934</v>
      </c>
    </row>
    <row r="356" spans="1:9" x14ac:dyDescent="0.25">
      <c r="A356" s="2">
        <v>45667</v>
      </c>
      <c r="B356" t="s">
        <v>46</v>
      </c>
      <c r="C356" t="s">
        <v>24</v>
      </c>
      <c r="D356">
        <v>226</v>
      </c>
      <c r="E356" s="3">
        <v>33</v>
      </c>
      <c r="F356" t="s">
        <v>26</v>
      </c>
      <c r="G356" t="s">
        <v>22</v>
      </c>
      <c r="H356" t="s">
        <v>20</v>
      </c>
      <c r="I356">
        <f>Table1[[#This Row],[Per unit]]*Table1[[#This Row],[Boxes Shipped]]</f>
        <v>7458</v>
      </c>
    </row>
    <row r="357" spans="1:9" x14ac:dyDescent="0.25">
      <c r="A357" s="2">
        <v>45765</v>
      </c>
      <c r="B357" t="s">
        <v>46</v>
      </c>
      <c r="C357" t="s">
        <v>17</v>
      </c>
      <c r="D357">
        <v>341</v>
      </c>
      <c r="E357" s="3">
        <v>93</v>
      </c>
      <c r="F357" t="s">
        <v>32</v>
      </c>
      <c r="G357" t="s">
        <v>11</v>
      </c>
      <c r="H357" t="s">
        <v>16</v>
      </c>
      <c r="I357">
        <f>Table1[[#This Row],[Per unit]]*Table1[[#This Row],[Boxes Shipped]]</f>
        <v>31713</v>
      </c>
    </row>
    <row r="358" spans="1:9" x14ac:dyDescent="0.25">
      <c r="A358" s="2">
        <v>45749</v>
      </c>
      <c r="B358" t="s">
        <v>36</v>
      </c>
      <c r="C358" t="s">
        <v>17</v>
      </c>
      <c r="D358">
        <v>140</v>
      </c>
      <c r="E358" s="3">
        <v>39</v>
      </c>
      <c r="F358" t="s">
        <v>28</v>
      </c>
      <c r="G358" t="s">
        <v>12</v>
      </c>
      <c r="H358" t="s">
        <v>13</v>
      </c>
      <c r="I358">
        <f>Table1[[#This Row],[Per unit]]*Table1[[#This Row],[Boxes Shipped]]</f>
        <v>5460</v>
      </c>
    </row>
    <row r="359" spans="1:9" x14ac:dyDescent="0.25">
      <c r="A359" s="2">
        <v>45918</v>
      </c>
      <c r="B359" t="s">
        <v>46</v>
      </c>
      <c r="C359" t="s">
        <v>21</v>
      </c>
      <c r="D359">
        <v>330</v>
      </c>
      <c r="E359" s="3">
        <v>93</v>
      </c>
      <c r="F359" t="s">
        <v>26</v>
      </c>
      <c r="G359" t="s">
        <v>15</v>
      </c>
      <c r="H359" t="s">
        <v>20</v>
      </c>
      <c r="I359">
        <f>Table1[[#This Row],[Per unit]]*Table1[[#This Row],[Boxes Shipped]]</f>
        <v>30690</v>
      </c>
    </row>
    <row r="360" spans="1:9" x14ac:dyDescent="0.25">
      <c r="A360" s="2">
        <v>45838</v>
      </c>
      <c r="B360" t="s">
        <v>50</v>
      </c>
      <c r="C360" t="s">
        <v>17</v>
      </c>
      <c r="D360">
        <v>73</v>
      </c>
      <c r="E360" s="3">
        <v>82</v>
      </c>
      <c r="F360" t="s">
        <v>32</v>
      </c>
      <c r="G360" t="s">
        <v>32</v>
      </c>
      <c r="H360" t="s">
        <v>16</v>
      </c>
      <c r="I360">
        <f>Table1[[#This Row],[Per unit]]*Table1[[#This Row],[Boxes Shipped]]</f>
        <v>5986</v>
      </c>
    </row>
    <row r="361" spans="1:9" x14ac:dyDescent="0.25">
      <c r="A361" s="2">
        <v>45743</v>
      </c>
      <c r="B361" t="s">
        <v>25</v>
      </c>
      <c r="C361" t="s">
        <v>24</v>
      </c>
      <c r="D361">
        <v>4</v>
      </c>
      <c r="E361" s="3">
        <v>42</v>
      </c>
      <c r="F361" t="s">
        <v>27</v>
      </c>
      <c r="G361" t="s">
        <v>27</v>
      </c>
      <c r="H361" t="s">
        <v>13</v>
      </c>
      <c r="I361">
        <f>Table1[[#This Row],[Per unit]]*Table1[[#This Row],[Boxes Shipped]]</f>
        <v>168</v>
      </c>
    </row>
    <row r="362" spans="1:9" x14ac:dyDescent="0.25">
      <c r="A362" s="2">
        <v>46021</v>
      </c>
      <c r="B362" t="s">
        <v>9</v>
      </c>
      <c r="C362" t="s">
        <v>30</v>
      </c>
      <c r="D362">
        <v>285</v>
      </c>
      <c r="E362" s="3">
        <v>71</v>
      </c>
      <c r="F362" t="s">
        <v>12</v>
      </c>
      <c r="G362" t="s">
        <v>19</v>
      </c>
      <c r="H362" t="s">
        <v>13</v>
      </c>
      <c r="I362">
        <f>Table1[[#This Row],[Per unit]]*Table1[[#This Row],[Boxes Shipped]]</f>
        <v>20235</v>
      </c>
    </row>
    <row r="363" spans="1:9" x14ac:dyDescent="0.25">
      <c r="A363" s="2">
        <v>45736</v>
      </c>
      <c r="B363" t="s">
        <v>35</v>
      </c>
      <c r="C363" t="s">
        <v>10</v>
      </c>
      <c r="D363">
        <v>164</v>
      </c>
      <c r="E363" s="3">
        <v>53</v>
      </c>
      <c r="F363" t="s">
        <v>32</v>
      </c>
      <c r="G363" t="s">
        <v>19</v>
      </c>
      <c r="H363" t="s">
        <v>23</v>
      </c>
      <c r="I363">
        <f>Table1[[#This Row],[Per unit]]*Table1[[#This Row],[Boxes Shipped]]</f>
        <v>8692</v>
      </c>
    </row>
    <row r="364" spans="1:9" x14ac:dyDescent="0.25">
      <c r="A364" s="2">
        <v>45949</v>
      </c>
      <c r="B364" t="s">
        <v>44</v>
      </c>
      <c r="C364" t="s">
        <v>10</v>
      </c>
      <c r="D364">
        <v>101</v>
      </c>
      <c r="E364" s="3">
        <v>82</v>
      </c>
      <c r="F364" t="s">
        <v>19</v>
      </c>
      <c r="G364" t="s">
        <v>12</v>
      </c>
      <c r="H364" t="s">
        <v>29</v>
      </c>
      <c r="I364">
        <f>Table1[[#This Row],[Per unit]]*Table1[[#This Row],[Boxes Shipped]]</f>
        <v>8282</v>
      </c>
    </row>
    <row r="365" spans="1:9" x14ac:dyDescent="0.25">
      <c r="A365" s="2">
        <v>45790</v>
      </c>
      <c r="B365" t="s">
        <v>43</v>
      </c>
      <c r="C365" t="s">
        <v>10</v>
      </c>
      <c r="D365">
        <v>151</v>
      </c>
      <c r="E365" s="3">
        <v>57</v>
      </c>
      <c r="F365" t="s">
        <v>19</v>
      </c>
      <c r="G365" t="s">
        <v>11</v>
      </c>
      <c r="H365" t="s">
        <v>23</v>
      </c>
      <c r="I365">
        <f>Table1[[#This Row],[Per unit]]*Table1[[#This Row],[Boxes Shipped]]</f>
        <v>8607</v>
      </c>
    </row>
    <row r="366" spans="1:9" x14ac:dyDescent="0.25">
      <c r="A366" s="2">
        <v>45958</v>
      </c>
      <c r="B366" t="s">
        <v>35</v>
      </c>
      <c r="C366" t="s">
        <v>21</v>
      </c>
      <c r="D366">
        <v>45</v>
      </c>
      <c r="E366" s="3">
        <v>29</v>
      </c>
      <c r="F366" t="s">
        <v>15</v>
      </c>
      <c r="G366" t="s">
        <v>19</v>
      </c>
      <c r="H366" t="s">
        <v>16</v>
      </c>
      <c r="I366">
        <f>Table1[[#This Row],[Per unit]]*Table1[[#This Row],[Boxes Shipped]]</f>
        <v>1305</v>
      </c>
    </row>
    <row r="367" spans="1:9" x14ac:dyDescent="0.25">
      <c r="A367" s="2">
        <v>45745</v>
      </c>
      <c r="B367" t="s">
        <v>42</v>
      </c>
      <c r="C367" t="s">
        <v>21</v>
      </c>
      <c r="D367">
        <v>281</v>
      </c>
      <c r="E367" s="3">
        <v>65</v>
      </c>
      <c r="F367" t="s">
        <v>12</v>
      </c>
      <c r="G367" t="s">
        <v>32</v>
      </c>
      <c r="H367" t="s">
        <v>16</v>
      </c>
      <c r="I367">
        <f>Table1[[#This Row],[Per unit]]*Table1[[#This Row],[Boxes Shipped]]</f>
        <v>18265</v>
      </c>
    </row>
    <row r="368" spans="1:9" x14ac:dyDescent="0.25">
      <c r="A368" s="2">
        <v>45800</v>
      </c>
      <c r="B368" t="s">
        <v>50</v>
      </c>
      <c r="C368" t="s">
        <v>30</v>
      </c>
      <c r="D368">
        <v>179</v>
      </c>
      <c r="E368" s="3">
        <v>48</v>
      </c>
      <c r="F368" t="s">
        <v>22</v>
      </c>
      <c r="G368" t="s">
        <v>32</v>
      </c>
      <c r="H368" t="s">
        <v>23</v>
      </c>
      <c r="I368">
        <f>Table1[[#This Row],[Per unit]]*Table1[[#This Row],[Boxes Shipped]]</f>
        <v>8592</v>
      </c>
    </row>
    <row r="369" spans="1:9" x14ac:dyDescent="0.25">
      <c r="A369" s="2">
        <v>45816</v>
      </c>
      <c r="B369" t="s">
        <v>48</v>
      </c>
      <c r="C369" t="s">
        <v>30</v>
      </c>
      <c r="D369">
        <v>322</v>
      </c>
      <c r="E369" s="3">
        <v>46</v>
      </c>
      <c r="F369" t="s">
        <v>28</v>
      </c>
      <c r="G369" t="s">
        <v>15</v>
      </c>
      <c r="H369" t="s">
        <v>16</v>
      </c>
      <c r="I369">
        <f>Table1[[#This Row],[Per unit]]*Table1[[#This Row],[Boxes Shipped]]</f>
        <v>14812</v>
      </c>
    </row>
    <row r="370" spans="1:9" x14ac:dyDescent="0.25">
      <c r="A370" s="2">
        <v>45782</v>
      </c>
      <c r="B370" t="s">
        <v>38</v>
      </c>
      <c r="C370" t="s">
        <v>24</v>
      </c>
      <c r="D370">
        <v>85</v>
      </c>
      <c r="E370" s="3">
        <v>67</v>
      </c>
      <c r="F370" t="s">
        <v>32</v>
      </c>
      <c r="G370" t="s">
        <v>12</v>
      </c>
      <c r="H370" t="s">
        <v>29</v>
      </c>
      <c r="I370">
        <f>Table1[[#This Row],[Per unit]]*Table1[[#This Row],[Boxes Shipped]]</f>
        <v>5695</v>
      </c>
    </row>
    <row r="371" spans="1:9" x14ac:dyDescent="0.25">
      <c r="A371" s="2">
        <v>45763</v>
      </c>
      <c r="B371" t="s">
        <v>47</v>
      </c>
      <c r="C371" t="s">
        <v>24</v>
      </c>
      <c r="D371">
        <v>96</v>
      </c>
      <c r="E371" s="3">
        <v>88</v>
      </c>
      <c r="F371" t="s">
        <v>27</v>
      </c>
      <c r="G371" t="s">
        <v>15</v>
      </c>
      <c r="H371" t="s">
        <v>23</v>
      </c>
      <c r="I371">
        <f>Table1[[#This Row],[Per unit]]*Table1[[#This Row],[Boxes Shipped]]</f>
        <v>8448</v>
      </c>
    </row>
    <row r="372" spans="1:9" x14ac:dyDescent="0.25">
      <c r="A372" s="2">
        <v>46021</v>
      </c>
      <c r="B372" t="s">
        <v>43</v>
      </c>
      <c r="C372" t="s">
        <v>30</v>
      </c>
      <c r="D372">
        <v>182</v>
      </c>
      <c r="E372" s="3">
        <v>66</v>
      </c>
      <c r="F372" t="s">
        <v>19</v>
      </c>
      <c r="G372" t="s">
        <v>15</v>
      </c>
      <c r="H372" t="s">
        <v>20</v>
      </c>
      <c r="I372">
        <f>Table1[[#This Row],[Per unit]]*Table1[[#This Row],[Boxes Shipped]]</f>
        <v>12012</v>
      </c>
    </row>
    <row r="373" spans="1:9" x14ac:dyDescent="0.25">
      <c r="A373" s="2">
        <v>46012</v>
      </c>
      <c r="B373" t="s">
        <v>31</v>
      </c>
      <c r="C373" t="s">
        <v>21</v>
      </c>
      <c r="D373">
        <v>467</v>
      </c>
      <c r="E373" s="3">
        <v>91</v>
      </c>
      <c r="F373" t="s">
        <v>28</v>
      </c>
      <c r="G373" t="s">
        <v>19</v>
      </c>
      <c r="H373" t="s">
        <v>13</v>
      </c>
      <c r="I373">
        <f>Table1[[#This Row],[Per unit]]*Table1[[#This Row],[Boxes Shipped]]</f>
        <v>42497</v>
      </c>
    </row>
    <row r="374" spans="1:9" x14ac:dyDescent="0.25">
      <c r="A374" s="2">
        <v>45814</v>
      </c>
      <c r="B374" t="s">
        <v>38</v>
      </c>
      <c r="C374" t="s">
        <v>21</v>
      </c>
      <c r="D374">
        <v>14</v>
      </c>
      <c r="E374" s="3">
        <v>78</v>
      </c>
      <c r="F374" t="s">
        <v>11</v>
      </c>
      <c r="G374" t="s">
        <v>12</v>
      </c>
      <c r="H374" t="s">
        <v>16</v>
      </c>
      <c r="I374">
        <f>Table1[[#This Row],[Per unit]]*Table1[[#This Row],[Boxes Shipped]]</f>
        <v>1092</v>
      </c>
    </row>
    <row r="375" spans="1:9" x14ac:dyDescent="0.25">
      <c r="A375" s="2">
        <v>45901</v>
      </c>
      <c r="B375" t="s">
        <v>45</v>
      </c>
      <c r="C375" t="s">
        <v>21</v>
      </c>
      <c r="D375">
        <v>134</v>
      </c>
      <c r="E375" s="3">
        <v>63</v>
      </c>
      <c r="F375" t="s">
        <v>26</v>
      </c>
      <c r="G375" t="s">
        <v>34</v>
      </c>
      <c r="H375" t="s">
        <v>23</v>
      </c>
      <c r="I375">
        <f>Table1[[#This Row],[Per unit]]*Table1[[#This Row],[Boxes Shipped]]</f>
        <v>8442</v>
      </c>
    </row>
    <row r="376" spans="1:9" x14ac:dyDescent="0.25">
      <c r="A376" s="2">
        <v>45772</v>
      </c>
      <c r="B376" t="s">
        <v>36</v>
      </c>
      <c r="C376" t="s">
        <v>10</v>
      </c>
      <c r="D376">
        <v>191</v>
      </c>
      <c r="E376" s="3">
        <v>93</v>
      </c>
      <c r="F376" t="s">
        <v>11</v>
      </c>
      <c r="G376" t="s">
        <v>15</v>
      </c>
      <c r="H376" t="s">
        <v>13</v>
      </c>
      <c r="I376">
        <f>Table1[[#This Row],[Per unit]]*Table1[[#This Row],[Boxes Shipped]]</f>
        <v>17763</v>
      </c>
    </row>
    <row r="377" spans="1:9" x14ac:dyDescent="0.25">
      <c r="A377" s="2">
        <v>45909</v>
      </c>
      <c r="B377" t="s">
        <v>38</v>
      </c>
      <c r="C377" t="s">
        <v>17</v>
      </c>
      <c r="D377">
        <v>312</v>
      </c>
      <c r="E377" s="3">
        <v>27</v>
      </c>
      <c r="F377" t="s">
        <v>28</v>
      </c>
      <c r="G377" t="s">
        <v>12</v>
      </c>
      <c r="H377" t="s">
        <v>23</v>
      </c>
      <c r="I377">
        <f>Table1[[#This Row],[Per unit]]*Table1[[#This Row],[Boxes Shipped]]</f>
        <v>8424</v>
      </c>
    </row>
    <row r="378" spans="1:9" x14ac:dyDescent="0.25">
      <c r="A378" s="2">
        <v>45702</v>
      </c>
      <c r="B378" t="s">
        <v>9</v>
      </c>
      <c r="C378" t="s">
        <v>17</v>
      </c>
      <c r="D378">
        <v>410</v>
      </c>
      <c r="E378" s="3">
        <v>55</v>
      </c>
      <c r="F378" t="s">
        <v>34</v>
      </c>
      <c r="G378" t="s">
        <v>32</v>
      </c>
      <c r="H378" t="s">
        <v>20</v>
      </c>
      <c r="I378">
        <f>Table1[[#This Row],[Per unit]]*Table1[[#This Row],[Boxes Shipped]]</f>
        <v>22550</v>
      </c>
    </row>
    <row r="379" spans="1:9" x14ac:dyDescent="0.25">
      <c r="A379" s="2">
        <v>45950</v>
      </c>
      <c r="B379" t="s">
        <v>18</v>
      </c>
      <c r="C379" t="s">
        <v>21</v>
      </c>
      <c r="D379">
        <v>137</v>
      </c>
      <c r="E379" s="3">
        <v>76</v>
      </c>
      <c r="F379" t="s">
        <v>19</v>
      </c>
      <c r="G379" t="s">
        <v>15</v>
      </c>
      <c r="H379" t="s">
        <v>20</v>
      </c>
      <c r="I379">
        <f>Table1[[#This Row],[Per unit]]*Table1[[#This Row],[Boxes Shipped]]</f>
        <v>10412</v>
      </c>
    </row>
    <row r="380" spans="1:9" x14ac:dyDescent="0.25">
      <c r="A380" s="2">
        <v>45853</v>
      </c>
      <c r="B380" t="s">
        <v>31</v>
      </c>
      <c r="C380" t="s">
        <v>10</v>
      </c>
      <c r="D380">
        <v>12</v>
      </c>
      <c r="E380" s="3">
        <v>66</v>
      </c>
      <c r="F380" t="s">
        <v>34</v>
      </c>
      <c r="G380" t="s">
        <v>11</v>
      </c>
      <c r="H380" t="s">
        <v>20</v>
      </c>
      <c r="I380">
        <f>Table1[[#This Row],[Per unit]]*Table1[[#This Row],[Boxes Shipped]]</f>
        <v>792</v>
      </c>
    </row>
    <row r="381" spans="1:9" x14ac:dyDescent="0.25">
      <c r="A381" s="2">
        <v>45873</v>
      </c>
      <c r="B381" t="s">
        <v>47</v>
      </c>
      <c r="C381" t="s">
        <v>21</v>
      </c>
      <c r="D381">
        <v>254</v>
      </c>
      <c r="E381" s="3">
        <v>51</v>
      </c>
      <c r="F381" t="s">
        <v>22</v>
      </c>
      <c r="G381" t="s">
        <v>32</v>
      </c>
      <c r="H381" t="s">
        <v>16</v>
      </c>
      <c r="I381">
        <f>Table1[[#This Row],[Per unit]]*Table1[[#This Row],[Boxes Shipped]]</f>
        <v>12954</v>
      </c>
    </row>
    <row r="382" spans="1:9" x14ac:dyDescent="0.25">
      <c r="A382" s="2">
        <v>45929</v>
      </c>
      <c r="B382" t="s">
        <v>25</v>
      </c>
      <c r="C382" t="s">
        <v>24</v>
      </c>
      <c r="D382">
        <v>24</v>
      </c>
      <c r="E382" s="3">
        <v>26</v>
      </c>
      <c r="F382" t="s">
        <v>11</v>
      </c>
      <c r="G382" t="s">
        <v>12</v>
      </c>
      <c r="H382" t="s">
        <v>13</v>
      </c>
      <c r="I382">
        <f>Table1[[#This Row],[Per unit]]*Table1[[#This Row],[Boxes Shipped]]</f>
        <v>624</v>
      </c>
    </row>
    <row r="383" spans="1:9" x14ac:dyDescent="0.25">
      <c r="A383" s="2">
        <v>45876</v>
      </c>
      <c r="B383" t="s">
        <v>47</v>
      </c>
      <c r="C383" t="s">
        <v>17</v>
      </c>
      <c r="D383">
        <v>232</v>
      </c>
      <c r="E383" s="3">
        <v>29</v>
      </c>
      <c r="F383" t="s">
        <v>15</v>
      </c>
      <c r="G383" t="s">
        <v>12</v>
      </c>
      <c r="H383" t="s">
        <v>16</v>
      </c>
      <c r="I383">
        <f>Table1[[#This Row],[Per unit]]*Table1[[#This Row],[Boxes Shipped]]</f>
        <v>6728</v>
      </c>
    </row>
    <row r="384" spans="1:9" x14ac:dyDescent="0.25">
      <c r="A384" s="2">
        <v>45787</v>
      </c>
      <c r="B384" t="s">
        <v>14</v>
      </c>
      <c r="C384" t="s">
        <v>30</v>
      </c>
      <c r="D384">
        <v>233</v>
      </c>
      <c r="E384" s="3">
        <v>74</v>
      </c>
      <c r="F384" t="s">
        <v>19</v>
      </c>
      <c r="G384" t="s">
        <v>26</v>
      </c>
      <c r="H384" t="s">
        <v>20</v>
      </c>
      <c r="I384">
        <f>Table1[[#This Row],[Per unit]]*Table1[[#This Row],[Boxes Shipped]]</f>
        <v>17242</v>
      </c>
    </row>
    <row r="385" spans="1:9" x14ac:dyDescent="0.25">
      <c r="A385" s="2">
        <v>45915</v>
      </c>
      <c r="B385" t="s">
        <v>31</v>
      </c>
      <c r="C385" t="s">
        <v>21</v>
      </c>
      <c r="D385">
        <v>118</v>
      </c>
      <c r="E385" s="3">
        <v>99</v>
      </c>
      <c r="F385" t="s">
        <v>22</v>
      </c>
      <c r="G385" t="s">
        <v>28</v>
      </c>
      <c r="H385" t="s">
        <v>20</v>
      </c>
      <c r="I385">
        <f>Table1[[#This Row],[Per unit]]*Table1[[#This Row],[Boxes Shipped]]</f>
        <v>11682</v>
      </c>
    </row>
    <row r="386" spans="1:9" x14ac:dyDescent="0.25">
      <c r="A386" s="2">
        <v>45989</v>
      </c>
      <c r="B386" t="s">
        <v>44</v>
      </c>
      <c r="C386" t="s">
        <v>30</v>
      </c>
      <c r="D386">
        <v>543</v>
      </c>
      <c r="E386" s="3">
        <v>88</v>
      </c>
      <c r="F386" t="s">
        <v>34</v>
      </c>
      <c r="G386" t="s">
        <v>27</v>
      </c>
      <c r="H386" t="s">
        <v>13</v>
      </c>
      <c r="I386">
        <f>Table1[[#This Row],[Per unit]]*Table1[[#This Row],[Boxes Shipped]]</f>
        <v>47784</v>
      </c>
    </row>
    <row r="387" spans="1:9" x14ac:dyDescent="0.25">
      <c r="A387" s="2">
        <v>45680</v>
      </c>
      <c r="B387" t="s">
        <v>41</v>
      </c>
      <c r="C387" t="s">
        <v>17</v>
      </c>
      <c r="D387">
        <v>223</v>
      </c>
      <c r="E387" s="3">
        <v>31</v>
      </c>
      <c r="F387" t="s">
        <v>12</v>
      </c>
      <c r="G387" t="s">
        <v>22</v>
      </c>
      <c r="H387" t="s">
        <v>13</v>
      </c>
      <c r="I387">
        <f>Table1[[#This Row],[Per unit]]*Table1[[#This Row],[Boxes Shipped]]</f>
        <v>6913</v>
      </c>
    </row>
    <row r="388" spans="1:9" x14ac:dyDescent="0.25">
      <c r="A388" s="2">
        <v>45716</v>
      </c>
      <c r="B388" t="s">
        <v>38</v>
      </c>
      <c r="C388" t="s">
        <v>17</v>
      </c>
      <c r="D388">
        <v>204</v>
      </c>
      <c r="E388" s="3">
        <v>55</v>
      </c>
      <c r="F388" t="s">
        <v>22</v>
      </c>
      <c r="G388" t="s">
        <v>28</v>
      </c>
      <c r="H388" t="s">
        <v>20</v>
      </c>
      <c r="I388">
        <f>Table1[[#This Row],[Per unit]]*Table1[[#This Row],[Boxes Shipped]]</f>
        <v>11220</v>
      </c>
    </row>
    <row r="389" spans="1:9" x14ac:dyDescent="0.25">
      <c r="A389" s="2">
        <v>45912</v>
      </c>
      <c r="B389" t="s">
        <v>41</v>
      </c>
      <c r="C389" t="s">
        <v>21</v>
      </c>
      <c r="D389">
        <v>65</v>
      </c>
      <c r="E389" s="3">
        <v>81</v>
      </c>
      <c r="F389" t="s">
        <v>27</v>
      </c>
      <c r="G389" t="s">
        <v>12</v>
      </c>
      <c r="H389" t="s">
        <v>20</v>
      </c>
      <c r="I389">
        <f>Table1[[#This Row],[Per unit]]*Table1[[#This Row],[Boxes Shipped]]</f>
        <v>5265</v>
      </c>
    </row>
    <row r="390" spans="1:9" x14ac:dyDescent="0.25">
      <c r="A390" s="2">
        <v>45945</v>
      </c>
      <c r="B390" t="s">
        <v>9</v>
      </c>
      <c r="C390" t="s">
        <v>10</v>
      </c>
      <c r="D390">
        <v>53</v>
      </c>
      <c r="E390" s="3">
        <v>73</v>
      </c>
      <c r="F390" t="s">
        <v>27</v>
      </c>
      <c r="G390" t="s">
        <v>27</v>
      </c>
      <c r="H390" t="s">
        <v>13</v>
      </c>
      <c r="I390">
        <f>Table1[[#This Row],[Per unit]]*Table1[[#This Row],[Boxes Shipped]]</f>
        <v>3869</v>
      </c>
    </row>
    <row r="391" spans="1:9" x14ac:dyDescent="0.25">
      <c r="A391" s="2">
        <v>45960</v>
      </c>
      <c r="B391" t="s">
        <v>25</v>
      </c>
      <c r="C391" t="s">
        <v>24</v>
      </c>
      <c r="D391">
        <v>469</v>
      </c>
      <c r="E391" s="3">
        <v>91</v>
      </c>
      <c r="F391" t="s">
        <v>34</v>
      </c>
      <c r="G391" t="s">
        <v>27</v>
      </c>
      <c r="H391" t="s">
        <v>20</v>
      </c>
      <c r="I391">
        <f>Table1[[#This Row],[Per unit]]*Table1[[#This Row],[Boxes Shipped]]</f>
        <v>42679</v>
      </c>
    </row>
    <row r="392" spans="1:9" x14ac:dyDescent="0.25">
      <c r="A392" s="2">
        <v>45906</v>
      </c>
      <c r="B392" t="s">
        <v>9</v>
      </c>
      <c r="C392" t="s">
        <v>24</v>
      </c>
      <c r="D392">
        <v>150</v>
      </c>
      <c r="E392" s="3">
        <v>56</v>
      </c>
      <c r="F392" t="s">
        <v>26</v>
      </c>
      <c r="G392" t="s">
        <v>28</v>
      </c>
      <c r="H392" t="s">
        <v>23</v>
      </c>
      <c r="I392">
        <f>Table1[[#This Row],[Per unit]]*Table1[[#This Row],[Boxes Shipped]]</f>
        <v>8400</v>
      </c>
    </row>
    <row r="393" spans="1:9" x14ac:dyDescent="0.25">
      <c r="A393" s="2">
        <v>45922</v>
      </c>
      <c r="B393" t="s">
        <v>25</v>
      </c>
      <c r="C393" t="s">
        <v>24</v>
      </c>
      <c r="D393">
        <v>5</v>
      </c>
      <c r="E393" s="3">
        <v>40</v>
      </c>
      <c r="F393" t="s">
        <v>27</v>
      </c>
      <c r="G393" t="s">
        <v>15</v>
      </c>
      <c r="H393" t="s">
        <v>16</v>
      </c>
      <c r="I393">
        <f>Table1[[#This Row],[Per unit]]*Table1[[#This Row],[Boxes Shipped]]</f>
        <v>200</v>
      </c>
    </row>
    <row r="394" spans="1:9" x14ac:dyDescent="0.25">
      <c r="A394" s="2">
        <v>45736</v>
      </c>
      <c r="B394" t="s">
        <v>39</v>
      </c>
      <c r="C394" t="s">
        <v>10</v>
      </c>
      <c r="D394">
        <v>147</v>
      </c>
      <c r="E394" s="3">
        <v>59</v>
      </c>
      <c r="F394" t="s">
        <v>15</v>
      </c>
      <c r="G394" t="s">
        <v>12</v>
      </c>
      <c r="H394" t="s">
        <v>13</v>
      </c>
      <c r="I394">
        <f>Table1[[#This Row],[Per unit]]*Table1[[#This Row],[Boxes Shipped]]</f>
        <v>8673</v>
      </c>
    </row>
    <row r="395" spans="1:9" x14ac:dyDescent="0.25">
      <c r="A395" s="2">
        <v>45909</v>
      </c>
      <c r="B395" t="s">
        <v>38</v>
      </c>
      <c r="C395" t="s">
        <v>17</v>
      </c>
      <c r="D395">
        <v>74</v>
      </c>
      <c r="E395" s="3">
        <v>26</v>
      </c>
      <c r="F395" t="s">
        <v>22</v>
      </c>
      <c r="G395" t="s">
        <v>15</v>
      </c>
      <c r="H395" t="s">
        <v>20</v>
      </c>
      <c r="I395">
        <f>Table1[[#This Row],[Per unit]]*Table1[[#This Row],[Boxes Shipped]]</f>
        <v>1924</v>
      </c>
    </row>
    <row r="396" spans="1:9" x14ac:dyDescent="0.25">
      <c r="A396" s="2">
        <v>45870</v>
      </c>
      <c r="B396" t="s">
        <v>41</v>
      </c>
      <c r="C396" t="s">
        <v>17</v>
      </c>
      <c r="D396">
        <v>136</v>
      </c>
      <c r="E396" s="3">
        <v>59</v>
      </c>
      <c r="F396" t="s">
        <v>22</v>
      </c>
      <c r="G396" t="s">
        <v>34</v>
      </c>
      <c r="H396" t="s">
        <v>23</v>
      </c>
      <c r="I396">
        <f>Table1[[#This Row],[Per unit]]*Table1[[#This Row],[Boxes Shipped]]</f>
        <v>8024</v>
      </c>
    </row>
    <row r="397" spans="1:9" x14ac:dyDescent="0.25">
      <c r="A397" s="2">
        <v>45667</v>
      </c>
      <c r="B397" t="s">
        <v>9</v>
      </c>
      <c r="C397" t="s">
        <v>10</v>
      </c>
      <c r="D397">
        <v>248</v>
      </c>
      <c r="E397" s="3">
        <v>87</v>
      </c>
      <c r="F397" t="s">
        <v>22</v>
      </c>
      <c r="G397" t="s">
        <v>32</v>
      </c>
      <c r="H397" t="s">
        <v>20</v>
      </c>
      <c r="I397">
        <f>Table1[[#This Row],[Per unit]]*Table1[[#This Row],[Boxes Shipped]]</f>
        <v>21576</v>
      </c>
    </row>
    <row r="398" spans="1:9" x14ac:dyDescent="0.25">
      <c r="A398" s="2">
        <v>45868</v>
      </c>
      <c r="B398" t="s">
        <v>36</v>
      </c>
      <c r="C398" t="s">
        <v>24</v>
      </c>
      <c r="D398">
        <v>138</v>
      </c>
      <c r="E398" s="3">
        <v>71</v>
      </c>
      <c r="F398" t="s">
        <v>19</v>
      </c>
      <c r="G398" t="s">
        <v>34</v>
      </c>
      <c r="H398" t="s">
        <v>29</v>
      </c>
      <c r="I398">
        <f>Table1[[#This Row],[Per unit]]*Table1[[#This Row],[Boxes Shipped]]</f>
        <v>9798</v>
      </c>
    </row>
    <row r="399" spans="1:9" x14ac:dyDescent="0.25">
      <c r="A399" s="2">
        <v>45928</v>
      </c>
      <c r="B399" t="s">
        <v>44</v>
      </c>
      <c r="C399" t="s">
        <v>24</v>
      </c>
      <c r="D399">
        <v>151</v>
      </c>
      <c r="E399" s="3">
        <v>91</v>
      </c>
      <c r="F399" t="s">
        <v>28</v>
      </c>
      <c r="G399" t="s">
        <v>34</v>
      </c>
      <c r="H399" t="s">
        <v>16</v>
      </c>
      <c r="I399">
        <f>Table1[[#This Row],[Per unit]]*Table1[[#This Row],[Boxes Shipped]]</f>
        <v>13741</v>
      </c>
    </row>
    <row r="400" spans="1:9" x14ac:dyDescent="0.25">
      <c r="A400" s="2">
        <v>45776</v>
      </c>
      <c r="B400" t="s">
        <v>9</v>
      </c>
      <c r="C400" t="s">
        <v>17</v>
      </c>
      <c r="D400">
        <v>178</v>
      </c>
      <c r="E400" s="3">
        <v>45</v>
      </c>
      <c r="F400" t="s">
        <v>27</v>
      </c>
      <c r="G400" t="s">
        <v>27</v>
      </c>
      <c r="H400" t="s">
        <v>23</v>
      </c>
      <c r="I400">
        <f>Table1[[#This Row],[Per unit]]*Table1[[#This Row],[Boxes Shipped]]</f>
        <v>8010</v>
      </c>
    </row>
    <row r="401" spans="1:9" x14ac:dyDescent="0.25">
      <c r="A401" s="2">
        <v>45892</v>
      </c>
      <c r="B401" t="s">
        <v>9</v>
      </c>
      <c r="C401" t="s">
        <v>10</v>
      </c>
      <c r="D401">
        <v>103</v>
      </c>
      <c r="E401" s="3">
        <v>94</v>
      </c>
      <c r="F401" t="s">
        <v>26</v>
      </c>
      <c r="G401" t="s">
        <v>12</v>
      </c>
      <c r="H401" t="s">
        <v>20</v>
      </c>
      <c r="I401">
        <f>Table1[[#This Row],[Per unit]]*Table1[[#This Row],[Boxes Shipped]]</f>
        <v>9682</v>
      </c>
    </row>
    <row r="402" spans="1:9" x14ac:dyDescent="0.25">
      <c r="A402" s="2">
        <v>45821</v>
      </c>
      <c r="B402" t="s">
        <v>43</v>
      </c>
      <c r="C402" t="s">
        <v>24</v>
      </c>
      <c r="D402">
        <v>129</v>
      </c>
      <c r="E402" s="3">
        <v>40</v>
      </c>
      <c r="F402" t="s">
        <v>11</v>
      </c>
      <c r="G402" t="s">
        <v>15</v>
      </c>
      <c r="H402" t="s">
        <v>29</v>
      </c>
      <c r="I402">
        <f>Table1[[#This Row],[Per unit]]*Table1[[#This Row],[Boxes Shipped]]</f>
        <v>5160</v>
      </c>
    </row>
    <row r="403" spans="1:9" x14ac:dyDescent="0.25">
      <c r="A403" s="2">
        <v>45720</v>
      </c>
      <c r="B403" t="s">
        <v>50</v>
      </c>
      <c r="C403" t="s">
        <v>17</v>
      </c>
      <c r="D403">
        <v>102</v>
      </c>
      <c r="E403" s="3">
        <v>76</v>
      </c>
      <c r="F403" t="s">
        <v>26</v>
      </c>
      <c r="G403" t="s">
        <v>11</v>
      </c>
      <c r="H403" t="s">
        <v>20</v>
      </c>
      <c r="I403">
        <f>Table1[[#This Row],[Per unit]]*Table1[[#This Row],[Boxes Shipped]]</f>
        <v>7752</v>
      </c>
    </row>
    <row r="404" spans="1:9" x14ac:dyDescent="0.25">
      <c r="A404" s="2">
        <v>45981</v>
      </c>
      <c r="B404" t="s">
        <v>36</v>
      </c>
      <c r="C404" t="s">
        <v>30</v>
      </c>
      <c r="D404">
        <v>37</v>
      </c>
      <c r="E404" s="3">
        <v>86</v>
      </c>
      <c r="F404" t="s">
        <v>34</v>
      </c>
      <c r="G404" t="s">
        <v>34</v>
      </c>
      <c r="H404" t="s">
        <v>13</v>
      </c>
      <c r="I404">
        <f>Table1[[#This Row],[Per unit]]*Table1[[#This Row],[Boxes Shipped]]</f>
        <v>3182</v>
      </c>
    </row>
    <row r="405" spans="1:9" x14ac:dyDescent="0.25">
      <c r="A405" s="2">
        <v>45856</v>
      </c>
      <c r="B405" t="s">
        <v>41</v>
      </c>
      <c r="C405" t="s">
        <v>10</v>
      </c>
      <c r="D405">
        <v>156</v>
      </c>
      <c r="E405" s="3">
        <v>51</v>
      </c>
      <c r="F405" t="s">
        <v>34</v>
      </c>
      <c r="G405" t="s">
        <v>19</v>
      </c>
      <c r="H405" t="s">
        <v>23</v>
      </c>
      <c r="I405">
        <f>Table1[[#This Row],[Per unit]]*Table1[[#This Row],[Boxes Shipped]]</f>
        <v>7956</v>
      </c>
    </row>
    <row r="406" spans="1:9" x14ac:dyDescent="0.25">
      <c r="A406" s="2">
        <v>45951</v>
      </c>
      <c r="B406" t="s">
        <v>35</v>
      </c>
      <c r="C406" t="s">
        <v>10</v>
      </c>
      <c r="D406">
        <v>227</v>
      </c>
      <c r="E406" s="3">
        <v>52</v>
      </c>
      <c r="F406" t="s">
        <v>28</v>
      </c>
      <c r="G406" t="s">
        <v>11</v>
      </c>
      <c r="H406" t="s">
        <v>20</v>
      </c>
      <c r="I406">
        <f>Table1[[#This Row],[Per unit]]*Table1[[#This Row],[Boxes Shipped]]</f>
        <v>11804</v>
      </c>
    </row>
    <row r="407" spans="1:9" x14ac:dyDescent="0.25">
      <c r="A407" s="2">
        <v>45965</v>
      </c>
      <c r="B407" t="s">
        <v>9</v>
      </c>
      <c r="C407" t="s">
        <v>17</v>
      </c>
      <c r="D407">
        <v>145</v>
      </c>
      <c r="E407" s="3">
        <v>28</v>
      </c>
      <c r="F407" t="s">
        <v>15</v>
      </c>
      <c r="G407" t="s">
        <v>22</v>
      </c>
      <c r="H407" t="s">
        <v>13</v>
      </c>
      <c r="I407">
        <f>Table1[[#This Row],[Per unit]]*Table1[[#This Row],[Boxes Shipped]]</f>
        <v>4060</v>
      </c>
    </row>
    <row r="408" spans="1:9" x14ac:dyDescent="0.25">
      <c r="A408" s="2">
        <v>45662</v>
      </c>
      <c r="B408" t="s">
        <v>14</v>
      </c>
      <c r="C408" t="s">
        <v>10</v>
      </c>
      <c r="D408">
        <v>90</v>
      </c>
      <c r="E408" s="3">
        <v>46</v>
      </c>
      <c r="F408" t="s">
        <v>27</v>
      </c>
      <c r="G408" t="s">
        <v>15</v>
      </c>
      <c r="H408" t="s">
        <v>20</v>
      </c>
      <c r="I408">
        <f>Table1[[#This Row],[Per unit]]*Table1[[#This Row],[Boxes Shipped]]</f>
        <v>4140</v>
      </c>
    </row>
    <row r="409" spans="1:9" x14ac:dyDescent="0.25">
      <c r="A409" s="2">
        <v>45962</v>
      </c>
      <c r="B409" t="s">
        <v>31</v>
      </c>
      <c r="C409" t="s">
        <v>10</v>
      </c>
      <c r="D409">
        <v>108</v>
      </c>
      <c r="E409" s="3">
        <v>72</v>
      </c>
      <c r="F409" t="s">
        <v>28</v>
      </c>
      <c r="G409" t="s">
        <v>15</v>
      </c>
      <c r="H409" t="s">
        <v>23</v>
      </c>
      <c r="I409">
        <f>Table1[[#This Row],[Per unit]]*Table1[[#This Row],[Boxes Shipped]]</f>
        <v>7776</v>
      </c>
    </row>
    <row r="410" spans="1:9" x14ac:dyDescent="0.25">
      <c r="A410" s="2">
        <v>45815</v>
      </c>
      <c r="B410" t="s">
        <v>38</v>
      </c>
      <c r="C410" t="s">
        <v>10</v>
      </c>
      <c r="D410">
        <v>82</v>
      </c>
      <c r="E410" s="3">
        <v>94</v>
      </c>
      <c r="F410" t="s">
        <v>28</v>
      </c>
      <c r="G410" t="s">
        <v>26</v>
      </c>
      <c r="H410" t="s">
        <v>23</v>
      </c>
      <c r="I410">
        <f>Table1[[#This Row],[Per unit]]*Table1[[#This Row],[Boxes Shipped]]</f>
        <v>7708</v>
      </c>
    </row>
    <row r="411" spans="1:9" x14ac:dyDescent="0.25">
      <c r="A411" s="2">
        <v>45894</v>
      </c>
      <c r="B411" t="s">
        <v>18</v>
      </c>
      <c r="C411" t="s">
        <v>30</v>
      </c>
      <c r="D411">
        <v>148</v>
      </c>
      <c r="E411" s="3">
        <v>50</v>
      </c>
      <c r="F411" t="s">
        <v>32</v>
      </c>
      <c r="G411" t="s">
        <v>27</v>
      </c>
      <c r="H411" t="s">
        <v>23</v>
      </c>
      <c r="I411">
        <f>Table1[[#This Row],[Per unit]]*Table1[[#This Row],[Boxes Shipped]]</f>
        <v>7400</v>
      </c>
    </row>
    <row r="412" spans="1:9" x14ac:dyDescent="0.25">
      <c r="A412" s="2">
        <v>45856</v>
      </c>
      <c r="B412" t="s">
        <v>14</v>
      </c>
      <c r="C412" t="s">
        <v>21</v>
      </c>
      <c r="D412">
        <v>22</v>
      </c>
      <c r="E412" s="3">
        <v>89</v>
      </c>
      <c r="F412" t="s">
        <v>12</v>
      </c>
      <c r="G412" t="s">
        <v>22</v>
      </c>
      <c r="H412" t="s">
        <v>20</v>
      </c>
      <c r="I412">
        <f>Table1[[#This Row],[Per unit]]*Table1[[#This Row],[Boxes Shipped]]</f>
        <v>1958</v>
      </c>
    </row>
    <row r="413" spans="1:9" x14ac:dyDescent="0.25">
      <c r="A413" s="2">
        <v>45892</v>
      </c>
      <c r="B413" t="s">
        <v>43</v>
      </c>
      <c r="C413" t="s">
        <v>24</v>
      </c>
      <c r="D413">
        <v>142</v>
      </c>
      <c r="E413" s="3">
        <v>81</v>
      </c>
      <c r="F413" t="s">
        <v>26</v>
      </c>
      <c r="G413" t="s">
        <v>26</v>
      </c>
      <c r="H413" t="s">
        <v>20</v>
      </c>
      <c r="I413">
        <f>Table1[[#This Row],[Per unit]]*Table1[[#This Row],[Boxes Shipped]]</f>
        <v>11502</v>
      </c>
    </row>
    <row r="414" spans="1:9" x14ac:dyDescent="0.25">
      <c r="A414" s="2">
        <v>45863</v>
      </c>
      <c r="B414" t="s">
        <v>39</v>
      </c>
      <c r="C414" t="s">
        <v>30</v>
      </c>
      <c r="D414">
        <v>93</v>
      </c>
      <c r="E414" s="3">
        <v>69</v>
      </c>
      <c r="F414" t="s">
        <v>15</v>
      </c>
      <c r="G414" t="s">
        <v>22</v>
      </c>
      <c r="H414" t="s">
        <v>20</v>
      </c>
      <c r="I414">
        <f>Table1[[#This Row],[Per unit]]*Table1[[#This Row],[Boxes Shipped]]</f>
        <v>6417</v>
      </c>
    </row>
    <row r="415" spans="1:9" x14ac:dyDescent="0.25">
      <c r="A415" s="2">
        <v>45772</v>
      </c>
      <c r="B415" t="s">
        <v>42</v>
      </c>
      <c r="C415" t="s">
        <v>21</v>
      </c>
      <c r="D415">
        <v>208</v>
      </c>
      <c r="E415" s="3">
        <v>67</v>
      </c>
      <c r="F415" t="s">
        <v>19</v>
      </c>
      <c r="G415" t="s">
        <v>34</v>
      </c>
      <c r="H415" t="s">
        <v>20</v>
      </c>
      <c r="I415">
        <f>Table1[[#This Row],[Per unit]]*Table1[[#This Row],[Boxes Shipped]]</f>
        <v>13936</v>
      </c>
    </row>
    <row r="416" spans="1:9" x14ac:dyDescent="0.25">
      <c r="A416" s="2">
        <v>45725</v>
      </c>
      <c r="B416" t="s">
        <v>41</v>
      </c>
      <c r="C416" t="s">
        <v>30</v>
      </c>
      <c r="D416">
        <v>42</v>
      </c>
      <c r="E416" s="3">
        <v>20</v>
      </c>
      <c r="F416" t="s">
        <v>34</v>
      </c>
      <c r="G416" t="s">
        <v>11</v>
      </c>
      <c r="H416" t="s">
        <v>16</v>
      </c>
      <c r="I416">
        <f>Table1[[#This Row],[Per unit]]*Table1[[#This Row],[Boxes Shipped]]</f>
        <v>840</v>
      </c>
    </row>
    <row r="417" spans="1:9" x14ac:dyDescent="0.25">
      <c r="A417" s="2">
        <v>45862</v>
      </c>
      <c r="B417" t="s">
        <v>9</v>
      </c>
      <c r="C417" t="s">
        <v>24</v>
      </c>
      <c r="D417">
        <v>120</v>
      </c>
      <c r="E417" s="3">
        <v>29</v>
      </c>
      <c r="F417" t="s">
        <v>34</v>
      </c>
      <c r="G417" t="s">
        <v>22</v>
      </c>
      <c r="H417" t="s">
        <v>13</v>
      </c>
      <c r="I417">
        <f>Table1[[#This Row],[Per unit]]*Table1[[#This Row],[Boxes Shipped]]</f>
        <v>3480</v>
      </c>
    </row>
    <row r="418" spans="1:9" x14ac:dyDescent="0.25">
      <c r="A418" s="2">
        <v>45668</v>
      </c>
      <c r="B418" t="s">
        <v>18</v>
      </c>
      <c r="C418" t="s">
        <v>30</v>
      </c>
      <c r="D418">
        <v>159</v>
      </c>
      <c r="E418" s="3">
        <v>74</v>
      </c>
      <c r="F418" t="s">
        <v>27</v>
      </c>
      <c r="G418" t="s">
        <v>34</v>
      </c>
      <c r="H418" t="s">
        <v>13</v>
      </c>
      <c r="I418">
        <f>Table1[[#This Row],[Per unit]]*Table1[[#This Row],[Boxes Shipped]]</f>
        <v>11766</v>
      </c>
    </row>
    <row r="419" spans="1:9" x14ac:dyDescent="0.25">
      <c r="A419" s="2">
        <v>45859</v>
      </c>
      <c r="B419" t="s">
        <v>9</v>
      </c>
      <c r="C419" t="s">
        <v>30</v>
      </c>
      <c r="D419">
        <v>316</v>
      </c>
      <c r="E419" s="3">
        <v>82</v>
      </c>
      <c r="F419" t="s">
        <v>32</v>
      </c>
      <c r="G419" t="s">
        <v>26</v>
      </c>
      <c r="H419" t="s">
        <v>16</v>
      </c>
      <c r="I419">
        <f>Table1[[#This Row],[Per unit]]*Table1[[#This Row],[Boxes Shipped]]</f>
        <v>25912</v>
      </c>
    </row>
    <row r="420" spans="1:9" x14ac:dyDescent="0.25">
      <c r="A420" s="2">
        <v>45937</v>
      </c>
      <c r="B420" t="s">
        <v>14</v>
      </c>
      <c r="C420" t="s">
        <v>24</v>
      </c>
      <c r="D420">
        <v>47</v>
      </c>
      <c r="E420" s="3">
        <v>23</v>
      </c>
      <c r="F420" t="s">
        <v>22</v>
      </c>
      <c r="G420" t="s">
        <v>26</v>
      </c>
      <c r="H420" t="s">
        <v>16</v>
      </c>
      <c r="I420">
        <f>Table1[[#This Row],[Per unit]]*Table1[[#This Row],[Boxes Shipped]]</f>
        <v>1081</v>
      </c>
    </row>
    <row r="421" spans="1:9" x14ac:dyDescent="0.25">
      <c r="A421" s="2">
        <v>45807</v>
      </c>
      <c r="B421" t="s">
        <v>48</v>
      </c>
      <c r="C421" t="s">
        <v>30</v>
      </c>
      <c r="D421">
        <v>233</v>
      </c>
      <c r="E421" s="3">
        <v>45</v>
      </c>
      <c r="F421" t="s">
        <v>19</v>
      </c>
      <c r="G421" t="s">
        <v>26</v>
      </c>
      <c r="H421" t="s">
        <v>16</v>
      </c>
      <c r="I421">
        <f>Table1[[#This Row],[Per unit]]*Table1[[#This Row],[Boxes Shipped]]</f>
        <v>10485</v>
      </c>
    </row>
    <row r="422" spans="1:9" x14ac:dyDescent="0.25">
      <c r="A422" s="2">
        <v>45774</v>
      </c>
      <c r="B422" t="s">
        <v>37</v>
      </c>
      <c r="C422" t="s">
        <v>10</v>
      </c>
      <c r="D422">
        <v>384</v>
      </c>
      <c r="E422" s="3">
        <v>21</v>
      </c>
      <c r="F422" t="s">
        <v>27</v>
      </c>
      <c r="G422" t="s">
        <v>28</v>
      </c>
      <c r="H422" t="s">
        <v>13</v>
      </c>
      <c r="I422">
        <f>Table1[[#This Row],[Per unit]]*Table1[[#This Row],[Boxes Shipped]]</f>
        <v>8064</v>
      </c>
    </row>
    <row r="423" spans="1:9" x14ac:dyDescent="0.25">
      <c r="A423" s="2">
        <v>45835</v>
      </c>
      <c r="B423" t="s">
        <v>25</v>
      </c>
      <c r="C423" t="s">
        <v>17</v>
      </c>
      <c r="D423">
        <v>88</v>
      </c>
      <c r="E423" s="3">
        <v>83</v>
      </c>
      <c r="F423" t="s">
        <v>34</v>
      </c>
      <c r="G423" t="s">
        <v>12</v>
      </c>
      <c r="H423" t="s">
        <v>23</v>
      </c>
      <c r="I423">
        <f>Table1[[#This Row],[Per unit]]*Table1[[#This Row],[Boxes Shipped]]</f>
        <v>7304</v>
      </c>
    </row>
    <row r="424" spans="1:9" x14ac:dyDescent="0.25">
      <c r="A424" s="2">
        <v>45780</v>
      </c>
      <c r="B424" t="s">
        <v>18</v>
      </c>
      <c r="C424" t="s">
        <v>21</v>
      </c>
      <c r="D424">
        <v>260</v>
      </c>
      <c r="E424" s="3">
        <v>45</v>
      </c>
      <c r="F424" t="s">
        <v>12</v>
      </c>
      <c r="G424" t="s">
        <v>28</v>
      </c>
      <c r="H424" t="s">
        <v>20</v>
      </c>
      <c r="I424">
        <f>Table1[[#This Row],[Per unit]]*Table1[[#This Row],[Boxes Shipped]]</f>
        <v>11700</v>
      </c>
    </row>
    <row r="425" spans="1:9" x14ac:dyDescent="0.25">
      <c r="A425" s="2">
        <v>45821</v>
      </c>
      <c r="B425" t="s">
        <v>38</v>
      </c>
      <c r="C425" t="s">
        <v>30</v>
      </c>
      <c r="D425">
        <v>22</v>
      </c>
      <c r="E425" s="3">
        <v>56</v>
      </c>
      <c r="F425" t="s">
        <v>15</v>
      </c>
      <c r="G425" t="s">
        <v>19</v>
      </c>
      <c r="H425" t="s">
        <v>29</v>
      </c>
      <c r="I425">
        <f>Table1[[#This Row],[Per unit]]*Table1[[#This Row],[Boxes Shipped]]</f>
        <v>1232</v>
      </c>
    </row>
    <row r="426" spans="1:9" x14ac:dyDescent="0.25">
      <c r="A426" s="2">
        <v>45735</v>
      </c>
      <c r="B426" t="s">
        <v>42</v>
      </c>
      <c r="C426" t="s">
        <v>10</v>
      </c>
      <c r="D426">
        <v>18</v>
      </c>
      <c r="E426" s="3">
        <v>97</v>
      </c>
      <c r="F426" t="s">
        <v>12</v>
      </c>
      <c r="G426" t="s">
        <v>22</v>
      </c>
      <c r="H426" t="s">
        <v>13</v>
      </c>
      <c r="I426">
        <f>Table1[[#This Row],[Per unit]]*Table1[[#This Row],[Boxes Shipped]]</f>
        <v>1746</v>
      </c>
    </row>
    <row r="427" spans="1:9" x14ac:dyDescent="0.25">
      <c r="A427" s="2">
        <v>45891</v>
      </c>
      <c r="B427" t="s">
        <v>9</v>
      </c>
      <c r="C427" t="s">
        <v>17</v>
      </c>
      <c r="D427">
        <v>85</v>
      </c>
      <c r="E427" s="3">
        <v>84</v>
      </c>
      <c r="F427" t="s">
        <v>28</v>
      </c>
      <c r="G427" t="s">
        <v>12</v>
      </c>
      <c r="H427" t="s">
        <v>23</v>
      </c>
      <c r="I427">
        <f>Table1[[#This Row],[Per unit]]*Table1[[#This Row],[Boxes Shipped]]</f>
        <v>7140</v>
      </c>
    </row>
    <row r="428" spans="1:9" x14ac:dyDescent="0.25">
      <c r="A428" s="2">
        <v>45882</v>
      </c>
      <c r="B428" t="s">
        <v>18</v>
      </c>
      <c r="C428" t="s">
        <v>21</v>
      </c>
      <c r="D428">
        <v>86</v>
      </c>
      <c r="E428" s="3">
        <v>83</v>
      </c>
      <c r="F428" t="s">
        <v>27</v>
      </c>
      <c r="G428" t="s">
        <v>28</v>
      </c>
      <c r="H428" t="s">
        <v>23</v>
      </c>
      <c r="I428">
        <f>Table1[[#This Row],[Per unit]]*Table1[[#This Row],[Boxes Shipped]]</f>
        <v>7138</v>
      </c>
    </row>
    <row r="429" spans="1:9" x14ac:dyDescent="0.25">
      <c r="A429" s="2">
        <v>46017</v>
      </c>
      <c r="B429" t="s">
        <v>31</v>
      </c>
      <c r="C429" t="s">
        <v>17</v>
      </c>
      <c r="D429">
        <v>154</v>
      </c>
      <c r="E429" s="3">
        <v>99</v>
      </c>
      <c r="F429" t="s">
        <v>12</v>
      </c>
      <c r="G429" t="s">
        <v>32</v>
      </c>
      <c r="H429" t="s">
        <v>29</v>
      </c>
      <c r="I429">
        <f>Table1[[#This Row],[Per unit]]*Table1[[#This Row],[Boxes Shipped]]</f>
        <v>15246</v>
      </c>
    </row>
    <row r="430" spans="1:9" x14ac:dyDescent="0.25">
      <c r="A430" s="2">
        <v>45852</v>
      </c>
      <c r="B430" t="s">
        <v>9</v>
      </c>
      <c r="C430" t="s">
        <v>10</v>
      </c>
      <c r="D430">
        <v>71</v>
      </c>
      <c r="E430" s="3">
        <v>91</v>
      </c>
      <c r="F430" t="s">
        <v>27</v>
      </c>
      <c r="G430" t="s">
        <v>26</v>
      </c>
      <c r="H430" t="s">
        <v>20</v>
      </c>
      <c r="I430">
        <f>Table1[[#This Row],[Per unit]]*Table1[[#This Row],[Boxes Shipped]]</f>
        <v>6461</v>
      </c>
    </row>
    <row r="431" spans="1:9" x14ac:dyDescent="0.25">
      <c r="A431" s="2">
        <v>45759</v>
      </c>
      <c r="B431" t="s">
        <v>48</v>
      </c>
      <c r="C431" t="s">
        <v>21</v>
      </c>
      <c r="D431">
        <v>127</v>
      </c>
      <c r="E431" s="3">
        <v>30</v>
      </c>
      <c r="F431" t="s">
        <v>32</v>
      </c>
      <c r="G431" t="s">
        <v>28</v>
      </c>
      <c r="H431" t="s">
        <v>20</v>
      </c>
      <c r="I431">
        <f>Table1[[#This Row],[Per unit]]*Table1[[#This Row],[Boxes Shipped]]</f>
        <v>3810</v>
      </c>
    </row>
    <row r="432" spans="1:9" x14ac:dyDescent="0.25">
      <c r="A432" s="2">
        <v>45990</v>
      </c>
      <c r="B432" t="s">
        <v>42</v>
      </c>
      <c r="C432" t="s">
        <v>17</v>
      </c>
      <c r="D432">
        <v>224</v>
      </c>
      <c r="E432" s="3">
        <v>65</v>
      </c>
      <c r="F432" t="s">
        <v>26</v>
      </c>
      <c r="G432" t="s">
        <v>27</v>
      </c>
      <c r="H432" t="s">
        <v>29</v>
      </c>
      <c r="I432">
        <f>Table1[[#This Row],[Per unit]]*Table1[[#This Row],[Boxes Shipped]]</f>
        <v>14560</v>
      </c>
    </row>
    <row r="433" spans="1:9" x14ac:dyDescent="0.25">
      <c r="A433" s="2">
        <v>45824</v>
      </c>
      <c r="B433" t="s">
        <v>35</v>
      </c>
      <c r="C433" t="s">
        <v>17</v>
      </c>
      <c r="D433">
        <v>73</v>
      </c>
      <c r="E433" s="3">
        <v>96</v>
      </c>
      <c r="F433" t="s">
        <v>12</v>
      </c>
      <c r="G433" t="s">
        <v>15</v>
      </c>
      <c r="H433" t="s">
        <v>23</v>
      </c>
      <c r="I433">
        <f>Table1[[#This Row],[Per unit]]*Table1[[#This Row],[Boxes Shipped]]</f>
        <v>7008</v>
      </c>
    </row>
    <row r="434" spans="1:9" x14ac:dyDescent="0.25">
      <c r="A434" s="2">
        <v>45895</v>
      </c>
      <c r="B434" t="s">
        <v>37</v>
      </c>
      <c r="C434" t="s">
        <v>21</v>
      </c>
      <c r="D434">
        <v>284</v>
      </c>
      <c r="E434" s="3">
        <v>81</v>
      </c>
      <c r="F434" t="s">
        <v>11</v>
      </c>
      <c r="G434" t="s">
        <v>11</v>
      </c>
      <c r="H434" t="s">
        <v>13</v>
      </c>
      <c r="I434">
        <f>Table1[[#This Row],[Per unit]]*Table1[[#This Row],[Boxes Shipped]]</f>
        <v>23004</v>
      </c>
    </row>
    <row r="435" spans="1:9" x14ac:dyDescent="0.25">
      <c r="A435" s="2">
        <v>46012</v>
      </c>
      <c r="B435" t="s">
        <v>41</v>
      </c>
      <c r="C435" t="s">
        <v>24</v>
      </c>
      <c r="D435">
        <v>73</v>
      </c>
      <c r="E435" s="3">
        <v>81</v>
      </c>
      <c r="F435" t="s">
        <v>28</v>
      </c>
      <c r="G435" t="s">
        <v>15</v>
      </c>
      <c r="H435" t="s">
        <v>29</v>
      </c>
      <c r="I435">
        <f>Table1[[#This Row],[Per unit]]*Table1[[#This Row],[Boxes Shipped]]</f>
        <v>5913</v>
      </c>
    </row>
    <row r="436" spans="1:9" x14ac:dyDescent="0.25">
      <c r="A436" s="2">
        <v>45791</v>
      </c>
      <c r="B436" t="s">
        <v>50</v>
      </c>
      <c r="C436" t="s">
        <v>17</v>
      </c>
      <c r="D436">
        <v>112</v>
      </c>
      <c r="E436" s="3">
        <v>52</v>
      </c>
      <c r="F436" t="s">
        <v>15</v>
      </c>
      <c r="G436" t="s">
        <v>34</v>
      </c>
      <c r="H436" t="s">
        <v>29</v>
      </c>
      <c r="I436">
        <f>Table1[[#This Row],[Per unit]]*Table1[[#This Row],[Boxes Shipped]]</f>
        <v>5824</v>
      </c>
    </row>
    <row r="437" spans="1:9" x14ac:dyDescent="0.25">
      <c r="A437" s="2">
        <v>45826</v>
      </c>
      <c r="B437" t="s">
        <v>39</v>
      </c>
      <c r="C437" t="s">
        <v>21</v>
      </c>
      <c r="D437">
        <v>85</v>
      </c>
      <c r="E437" s="3">
        <v>88</v>
      </c>
      <c r="F437" t="s">
        <v>15</v>
      </c>
      <c r="G437" t="s">
        <v>34</v>
      </c>
      <c r="H437" t="s">
        <v>29</v>
      </c>
      <c r="I437">
        <f>Table1[[#This Row],[Per unit]]*Table1[[#This Row],[Boxes Shipped]]</f>
        <v>7480</v>
      </c>
    </row>
    <row r="438" spans="1:9" x14ac:dyDescent="0.25">
      <c r="A438" s="2">
        <v>45787</v>
      </c>
      <c r="B438" t="s">
        <v>38</v>
      </c>
      <c r="C438" t="s">
        <v>21</v>
      </c>
      <c r="D438">
        <v>270</v>
      </c>
      <c r="E438" s="3">
        <v>24</v>
      </c>
      <c r="F438" t="s">
        <v>27</v>
      </c>
      <c r="G438" t="s">
        <v>28</v>
      </c>
      <c r="H438" t="s">
        <v>16</v>
      </c>
      <c r="I438">
        <f>Table1[[#This Row],[Per unit]]*Table1[[#This Row],[Boxes Shipped]]</f>
        <v>6480</v>
      </c>
    </row>
    <row r="439" spans="1:9" x14ac:dyDescent="0.25">
      <c r="A439" s="2">
        <v>45819</v>
      </c>
      <c r="B439" t="s">
        <v>33</v>
      </c>
      <c r="C439" t="s">
        <v>21</v>
      </c>
      <c r="D439">
        <v>45</v>
      </c>
      <c r="E439" s="3">
        <v>51</v>
      </c>
      <c r="F439" t="s">
        <v>26</v>
      </c>
      <c r="G439" t="s">
        <v>32</v>
      </c>
      <c r="H439" t="s">
        <v>16</v>
      </c>
      <c r="I439">
        <f>Table1[[#This Row],[Per unit]]*Table1[[#This Row],[Boxes Shipped]]</f>
        <v>2295</v>
      </c>
    </row>
    <row r="440" spans="1:9" x14ac:dyDescent="0.25">
      <c r="A440" s="2">
        <v>45688</v>
      </c>
      <c r="B440" t="s">
        <v>40</v>
      </c>
      <c r="C440" t="s">
        <v>17</v>
      </c>
      <c r="D440">
        <v>100</v>
      </c>
      <c r="E440" s="3">
        <v>70</v>
      </c>
      <c r="F440" t="s">
        <v>32</v>
      </c>
      <c r="G440" t="s">
        <v>12</v>
      </c>
      <c r="H440" t="s">
        <v>23</v>
      </c>
      <c r="I440">
        <f>Table1[[#This Row],[Per unit]]*Table1[[#This Row],[Boxes Shipped]]</f>
        <v>7000</v>
      </c>
    </row>
    <row r="441" spans="1:9" x14ac:dyDescent="0.25">
      <c r="A441" s="2">
        <v>45973</v>
      </c>
      <c r="B441" t="s">
        <v>37</v>
      </c>
      <c r="C441" t="s">
        <v>17</v>
      </c>
      <c r="D441">
        <v>122</v>
      </c>
      <c r="E441" s="3">
        <v>57</v>
      </c>
      <c r="F441" t="s">
        <v>22</v>
      </c>
      <c r="G441" t="s">
        <v>15</v>
      </c>
      <c r="H441" t="s">
        <v>23</v>
      </c>
      <c r="I441">
        <f>Table1[[#This Row],[Per unit]]*Table1[[#This Row],[Boxes Shipped]]</f>
        <v>6954</v>
      </c>
    </row>
    <row r="442" spans="1:9" x14ac:dyDescent="0.25">
      <c r="A442" s="2">
        <v>45772</v>
      </c>
      <c r="B442" t="s">
        <v>49</v>
      </c>
      <c r="C442" t="s">
        <v>17</v>
      </c>
      <c r="D442">
        <v>51</v>
      </c>
      <c r="E442" s="3">
        <v>63</v>
      </c>
      <c r="F442" t="s">
        <v>26</v>
      </c>
      <c r="G442" t="s">
        <v>34</v>
      </c>
      <c r="H442" t="s">
        <v>13</v>
      </c>
      <c r="I442">
        <f>Table1[[#This Row],[Per unit]]*Table1[[#This Row],[Boxes Shipped]]</f>
        <v>3213</v>
      </c>
    </row>
    <row r="443" spans="1:9" x14ac:dyDescent="0.25">
      <c r="A443" s="2">
        <v>45957</v>
      </c>
      <c r="B443" t="s">
        <v>35</v>
      </c>
      <c r="C443" t="s">
        <v>30</v>
      </c>
      <c r="D443">
        <v>67</v>
      </c>
      <c r="E443" s="3">
        <v>72</v>
      </c>
      <c r="F443" t="s">
        <v>11</v>
      </c>
      <c r="G443" t="s">
        <v>19</v>
      </c>
      <c r="H443" t="s">
        <v>13</v>
      </c>
      <c r="I443">
        <f>Table1[[#This Row],[Per unit]]*Table1[[#This Row],[Boxes Shipped]]</f>
        <v>4824</v>
      </c>
    </row>
    <row r="444" spans="1:9" x14ac:dyDescent="0.25">
      <c r="A444" s="2">
        <v>46014</v>
      </c>
      <c r="B444" t="s">
        <v>33</v>
      </c>
      <c r="C444" t="s">
        <v>17</v>
      </c>
      <c r="D444">
        <v>194</v>
      </c>
      <c r="E444" s="3">
        <v>39</v>
      </c>
      <c r="F444" t="s">
        <v>15</v>
      </c>
      <c r="G444" t="s">
        <v>19</v>
      </c>
      <c r="H444" t="s">
        <v>20</v>
      </c>
      <c r="I444">
        <f>Table1[[#This Row],[Per unit]]*Table1[[#This Row],[Boxes Shipped]]</f>
        <v>7566</v>
      </c>
    </row>
    <row r="445" spans="1:9" x14ac:dyDescent="0.25">
      <c r="A445" s="2">
        <v>45934</v>
      </c>
      <c r="B445" t="s">
        <v>43</v>
      </c>
      <c r="C445" t="s">
        <v>24</v>
      </c>
      <c r="D445">
        <v>116</v>
      </c>
      <c r="E445" s="3">
        <v>42</v>
      </c>
      <c r="F445" t="s">
        <v>11</v>
      </c>
      <c r="G445" t="s">
        <v>27</v>
      </c>
      <c r="H445" t="s">
        <v>29</v>
      </c>
      <c r="I445">
        <f>Table1[[#This Row],[Per unit]]*Table1[[#This Row],[Boxes Shipped]]</f>
        <v>4872</v>
      </c>
    </row>
    <row r="446" spans="1:9" x14ac:dyDescent="0.25">
      <c r="A446" s="2">
        <v>45815</v>
      </c>
      <c r="B446" t="s">
        <v>45</v>
      </c>
      <c r="C446" t="s">
        <v>24</v>
      </c>
      <c r="D446">
        <v>41</v>
      </c>
      <c r="E446" s="3">
        <v>76</v>
      </c>
      <c r="F446" t="s">
        <v>15</v>
      </c>
      <c r="G446" t="s">
        <v>26</v>
      </c>
      <c r="H446" t="s">
        <v>16</v>
      </c>
      <c r="I446">
        <f>Table1[[#This Row],[Per unit]]*Table1[[#This Row],[Boxes Shipped]]</f>
        <v>3116</v>
      </c>
    </row>
    <row r="447" spans="1:9" x14ac:dyDescent="0.25">
      <c r="A447" s="2">
        <v>45723</v>
      </c>
      <c r="B447" t="s">
        <v>41</v>
      </c>
      <c r="C447" t="s">
        <v>10</v>
      </c>
      <c r="D447">
        <v>111</v>
      </c>
      <c r="E447" s="3">
        <v>66</v>
      </c>
      <c r="F447" t="s">
        <v>19</v>
      </c>
      <c r="G447" t="s">
        <v>27</v>
      </c>
      <c r="H447" t="s">
        <v>20</v>
      </c>
      <c r="I447">
        <f>Table1[[#This Row],[Per unit]]*Table1[[#This Row],[Boxes Shipped]]</f>
        <v>7326</v>
      </c>
    </row>
    <row r="448" spans="1:9" x14ac:dyDescent="0.25">
      <c r="A448" s="2">
        <v>45920</v>
      </c>
      <c r="B448" t="s">
        <v>14</v>
      </c>
      <c r="C448" t="s">
        <v>10</v>
      </c>
      <c r="D448">
        <v>334</v>
      </c>
      <c r="E448" s="3">
        <v>90</v>
      </c>
      <c r="F448" t="s">
        <v>26</v>
      </c>
      <c r="G448" t="s">
        <v>28</v>
      </c>
      <c r="H448" t="s">
        <v>16</v>
      </c>
      <c r="I448">
        <f>Table1[[#This Row],[Per unit]]*Table1[[#This Row],[Boxes Shipped]]</f>
        <v>30060</v>
      </c>
    </row>
    <row r="449" spans="1:9" x14ac:dyDescent="0.25">
      <c r="A449" s="2">
        <v>45713</v>
      </c>
      <c r="B449" t="s">
        <v>48</v>
      </c>
      <c r="C449" t="s">
        <v>24</v>
      </c>
      <c r="D449">
        <v>155</v>
      </c>
      <c r="E449" s="3">
        <v>56</v>
      </c>
      <c r="F449" t="s">
        <v>27</v>
      </c>
      <c r="G449" t="s">
        <v>15</v>
      </c>
      <c r="H449" t="s">
        <v>13</v>
      </c>
      <c r="I449">
        <f>Table1[[#This Row],[Per unit]]*Table1[[#This Row],[Boxes Shipped]]</f>
        <v>8680</v>
      </c>
    </row>
    <row r="450" spans="1:9" x14ac:dyDescent="0.25">
      <c r="A450" s="2">
        <v>45738</v>
      </c>
      <c r="B450" t="s">
        <v>47</v>
      </c>
      <c r="C450" t="s">
        <v>24</v>
      </c>
      <c r="D450">
        <v>407</v>
      </c>
      <c r="E450" s="3">
        <v>43</v>
      </c>
      <c r="F450" t="s">
        <v>34</v>
      </c>
      <c r="G450" t="s">
        <v>19</v>
      </c>
      <c r="H450" t="s">
        <v>20</v>
      </c>
      <c r="I450">
        <f>Table1[[#This Row],[Per unit]]*Table1[[#This Row],[Boxes Shipped]]</f>
        <v>17501</v>
      </c>
    </row>
    <row r="451" spans="1:9" x14ac:dyDescent="0.25">
      <c r="A451" s="2">
        <v>45665</v>
      </c>
      <c r="B451" t="s">
        <v>38</v>
      </c>
      <c r="C451" t="s">
        <v>10</v>
      </c>
      <c r="D451">
        <v>52</v>
      </c>
      <c r="E451" s="3">
        <v>84</v>
      </c>
      <c r="F451" t="s">
        <v>27</v>
      </c>
      <c r="G451" t="s">
        <v>22</v>
      </c>
      <c r="H451" t="s">
        <v>29</v>
      </c>
      <c r="I451">
        <f>Table1[[#This Row],[Per unit]]*Table1[[#This Row],[Boxes Shipped]]</f>
        <v>4368</v>
      </c>
    </row>
    <row r="452" spans="1:9" x14ac:dyDescent="0.25">
      <c r="A452" s="2">
        <v>45704</v>
      </c>
      <c r="B452" t="s">
        <v>31</v>
      </c>
      <c r="C452" t="s">
        <v>10</v>
      </c>
      <c r="D452">
        <v>277</v>
      </c>
      <c r="E452" s="3">
        <v>25</v>
      </c>
      <c r="F452" t="s">
        <v>28</v>
      </c>
      <c r="G452" t="s">
        <v>19</v>
      </c>
      <c r="H452" t="s">
        <v>23</v>
      </c>
      <c r="I452">
        <f>Table1[[#This Row],[Per unit]]*Table1[[#This Row],[Boxes Shipped]]</f>
        <v>6925</v>
      </c>
    </row>
    <row r="453" spans="1:9" x14ac:dyDescent="0.25">
      <c r="A453" s="2">
        <v>45715</v>
      </c>
      <c r="B453" t="s">
        <v>31</v>
      </c>
      <c r="C453" t="s">
        <v>21</v>
      </c>
      <c r="D453">
        <v>70</v>
      </c>
      <c r="E453" s="3">
        <v>88</v>
      </c>
      <c r="F453" t="s">
        <v>26</v>
      </c>
      <c r="G453" t="s">
        <v>15</v>
      </c>
      <c r="H453" t="s">
        <v>20</v>
      </c>
      <c r="I453">
        <f>Table1[[#This Row],[Per unit]]*Table1[[#This Row],[Boxes Shipped]]</f>
        <v>6160</v>
      </c>
    </row>
    <row r="454" spans="1:9" x14ac:dyDescent="0.25">
      <c r="A454" s="2">
        <v>45688</v>
      </c>
      <c r="B454" t="s">
        <v>14</v>
      </c>
      <c r="C454" t="s">
        <v>21</v>
      </c>
      <c r="D454">
        <v>149</v>
      </c>
      <c r="E454" s="3">
        <v>42</v>
      </c>
      <c r="F454" t="s">
        <v>11</v>
      </c>
      <c r="G454" t="s">
        <v>19</v>
      </c>
      <c r="H454" t="s">
        <v>20</v>
      </c>
      <c r="I454">
        <f>Table1[[#This Row],[Per unit]]*Table1[[#This Row],[Boxes Shipped]]</f>
        <v>6258</v>
      </c>
    </row>
    <row r="455" spans="1:9" x14ac:dyDescent="0.25">
      <c r="A455" s="2">
        <v>45980</v>
      </c>
      <c r="B455" t="s">
        <v>50</v>
      </c>
      <c r="C455" t="s">
        <v>24</v>
      </c>
      <c r="D455">
        <v>179</v>
      </c>
      <c r="E455" s="3">
        <v>73</v>
      </c>
      <c r="F455" t="s">
        <v>28</v>
      </c>
      <c r="G455" t="s">
        <v>34</v>
      </c>
      <c r="H455" t="s">
        <v>16</v>
      </c>
      <c r="I455">
        <f>Table1[[#This Row],[Per unit]]*Table1[[#This Row],[Boxes Shipped]]</f>
        <v>13067</v>
      </c>
    </row>
    <row r="456" spans="1:9" x14ac:dyDescent="0.25">
      <c r="A456" s="2">
        <v>45755</v>
      </c>
      <c r="B456" t="s">
        <v>33</v>
      </c>
      <c r="C456" t="s">
        <v>21</v>
      </c>
      <c r="D456">
        <v>353</v>
      </c>
      <c r="E456" s="3">
        <v>73</v>
      </c>
      <c r="F456" t="s">
        <v>27</v>
      </c>
      <c r="G456" t="s">
        <v>22</v>
      </c>
      <c r="H456" t="s">
        <v>20</v>
      </c>
      <c r="I456">
        <f>Table1[[#This Row],[Per unit]]*Table1[[#This Row],[Boxes Shipped]]</f>
        <v>25769</v>
      </c>
    </row>
    <row r="457" spans="1:9" x14ac:dyDescent="0.25">
      <c r="A457" s="2">
        <v>45668</v>
      </c>
      <c r="B457" t="s">
        <v>9</v>
      </c>
      <c r="C457" t="s">
        <v>17</v>
      </c>
      <c r="D457">
        <v>97</v>
      </c>
      <c r="E457" s="3">
        <v>44</v>
      </c>
      <c r="F457" t="s">
        <v>27</v>
      </c>
      <c r="G457" t="s">
        <v>26</v>
      </c>
      <c r="H457" t="s">
        <v>29</v>
      </c>
      <c r="I457">
        <f>Table1[[#This Row],[Per unit]]*Table1[[#This Row],[Boxes Shipped]]</f>
        <v>4268</v>
      </c>
    </row>
    <row r="458" spans="1:9" x14ac:dyDescent="0.25">
      <c r="A458" s="2">
        <v>45787</v>
      </c>
      <c r="B458" t="s">
        <v>47</v>
      </c>
      <c r="C458" t="s">
        <v>24</v>
      </c>
      <c r="D458">
        <v>60</v>
      </c>
      <c r="E458" s="3">
        <v>63</v>
      </c>
      <c r="F458" t="s">
        <v>26</v>
      </c>
      <c r="G458" t="s">
        <v>19</v>
      </c>
      <c r="H458" t="s">
        <v>16</v>
      </c>
      <c r="I458">
        <f>Table1[[#This Row],[Per unit]]*Table1[[#This Row],[Boxes Shipped]]</f>
        <v>3780</v>
      </c>
    </row>
    <row r="459" spans="1:9" x14ac:dyDescent="0.25">
      <c r="A459" s="2">
        <v>45689</v>
      </c>
      <c r="B459" t="s">
        <v>41</v>
      </c>
      <c r="C459" t="s">
        <v>17</v>
      </c>
      <c r="D459">
        <v>5</v>
      </c>
      <c r="E459" s="3">
        <v>68</v>
      </c>
      <c r="F459" t="s">
        <v>27</v>
      </c>
      <c r="G459" t="s">
        <v>19</v>
      </c>
      <c r="H459" t="s">
        <v>29</v>
      </c>
      <c r="I459">
        <f>Table1[[#This Row],[Per unit]]*Table1[[#This Row],[Boxes Shipped]]</f>
        <v>340</v>
      </c>
    </row>
    <row r="460" spans="1:9" x14ac:dyDescent="0.25">
      <c r="A460" s="2">
        <v>45832</v>
      </c>
      <c r="B460" t="s">
        <v>50</v>
      </c>
      <c r="C460" t="s">
        <v>30</v>
      </c>
      <c r="D460">
        <v>182</v>
      </c>
      <c r="E460" s="3">
        <v>29</v>
      </c>
      <c r="F460" t="s">
        <v>22</v>
      </c>
      <c r="G460" t="s">
        <v>26</v>
      </c>
      <c r="H460" t="s">
        <v>13</v>
      </c>
      <c r="I460">
        <f>Table1[[#This Row],[Per unit]]*Table1[[#This Row],[Boxes Shipped]]</f>
        <v>5278</v>
      </c>
    </row>
    <row r="461" spans="1:9" x14ac:dyDescent="0.25">
      <c r="A461" s="2">
        <v>45777</v>
      </c>
      <c r="B461" t="s">
        <v>45</v>
      </c>
      <c r="C461" t="s">
        <v>24</v>
      </c>
      <c r="D461">
        <v>114</v>
      </c>
      <c r="E461" s="3">
        <v>85</v>
      </c>
      <c r="F461" t="s">
        <v>28</v>
      </c>
      <c r="G461" t="s">
        <v>34</v>
      </c>
      <c r="H461" t="s">
        <v>16</v>
      </c>
      <c r="I461">
        <f>Table1[[#This Row],[Per unit]]*Table1[[#This Row],[Boxes Shipped]]</f>
        <v>9690</v>
      </c>
    </row>
    <row r="462" spans="1:9" x14ac:dyDescent="0.25">
      <c r="A462" s="2">
        <v>45800</v>
      </c>
      <c r="B462" t="s">
        <v>44</v>
      </c>
      <c r="C462" t="s">
        <v>21</v>
      </c>
      <c r="D462">
        <v>46</v>
      </c>
      <c r="E462" s="3">
        <v>42</v>
      </c>
      <c r="F462" t="s">
        <v>27</v>
      </c>
      <c r="G462" t="s">
        <v>34</v>
      </c>
      <c r="H462" t="s">
        <v>13</v>
      </c>
      <c r="I462">
        <f>Table1[[#This Row],[Per unit]]*Table1[[#This Row],[Boxes Shipped]]</f>
        <v>1932</v>
      </c>
    </row>
    <row r="463" spans="1:9" x14ac:dyDescent="0.25">
      <c r="A463" s="2">
        <v>45856</v>
      </c>
      <c r="B463" t="s">
        <v>33</v>
      </c>
      <c r="C463" t="s">
        <v>17</v>
      </c>
      <c r="D463">
        <v>320</v>
      </c>
      <c r="E463" s="3">
        <v>69</v>
      </c>
      <c r="F463" t="s">
        <v>27</v>
      </c>
      <c r="G463" t="s">
        <v>28</v>
      </c>
      <c r="H463" t="s">
        <v>16</v>
      </c>
      <c r="I463">
        <f>Table1[[#This Row],[Per unit]]*Table1[[#This Row],[Boxes Shipped]]</f>
        <v>22080</v>
      </c>
    </row>
    <row r="464" spans="1:9" x14ac:dyDescent="0.25">
      <c r="A464" s="2">
        <v>45966</v>
      </c>
      <c r="B464" t="s">
        <v>42</v>
      </c>
      <c r="C464" t="s">
        <v>10</v>
      </c>
      <c r="D464">
        <v>178</v>
      </c>
      <c r="E464" s="3">
        <v>62</v>
      </c>
      <c r="F464" t="s">
        <v>27</v>
      </c>
      <c r="G464" t="s">
        <v>19</v>
      </c>
      <c r="H464" t="s">
        <v>13</v>
      </c>
      <c r="I464">
        <f>Table1[[#This Row],[Per unit]]*Table1[[#This Row],[Boxes Shipped]]</f>
        <v>11036</v>
      </c>
    </row>
    <row r="465" spans="1:9" x14ac:dyDescent="0.25">
      <c r="A465" s="2">
        <v>45750</v>
      </c>
      <c r="B465" t="s">
        <v>25</v>
      </c>
      <c r="C465" t="s">
        <v>21</v>
      </c>
      <c r="D465">
        <v>170</v>
      </c>
      <c r="E465" s="3">
        <v>48</v>
      </c>
      <c r="F465" t="s">
        <v>34</v>
      </c>
      <c r="G465" t="s">
        <v>28</v>
      </c>
      <c r="H465" t="s">
        <v>16</v>
      </c>
      <c r="I465">
        <f>Table1[[#This Row],[Per unit]]*Table1[[#This Row],[Boxes Shipped]]</f>
        <v>8160</v>
      </c>
    </row>
    <row r="466" spans="1:9" x14ac:dyDescent="0.25">
      <c r="A466" s="2">
        <v>45715</v>
      </c>
      <c r="B466" t="s">
        <v>18</v>
      </c>
      <c r="C466" t="s">
        <v>30</v>
      </c>
      <c r="D466">
        <v>113</v>
      </c>
      <c r="E466" s="3">
        <v>61</v>
      </c>
      <c r="F466" t="s">
        <v>28</v>
      </c>
      <c r="G466" t="s">
        <v>32</v>
      </c>
      <c r="H466" t="s">
        <v>23</v>
      </c>
      <c r="I466">
        <f>Table1[[#This Row],[Per unit]]*Table1[[#This Row],[Boxes Shipped]]</f>
        <v>6893</v>
      </c>
    </row>
    <row r="467" spans="1:9" x14ac:dyDescent="0.25">
      <c r="A467" s="2">
        <v>45910</v>
      </c>
      <c r="B467" t="s">
        <v>43</v>
      </c>
      <c r="C467" t="s">
        <v>30</v>
      </c>
      <c r="D467">
        <v>301</v>
      </c>
      <c r="E467" s="3">
        <v>36</v>
      </c>
      <c r="F467" t="s">
        <v>11</v>
      </c>
      <c r="G467" t="s">
        <v>22</v>
      </c>
      <c r="H467" t="s">
        <v>29</v>
      </c>
      <c r="I467">
        <f>Table1[[#This Row],[Per unit]]*Table1[[#This Row],[Boxes Shipped]]</f>
        <v>10836</v>
      </c>
    </row>
    <row r="468" spans="1:9" x14ac:dyDescent="0.25">
      <c r="A468" s="2">
        <v>45953</v>
      </c>
      <c r="B468" t="s">
        <v>38</v>
      </c>
      <c r="C468" t="s">
        <v>10</v>
      </c>
      <c r="D468">
        <v>207</v>
      </c>
      <c r="E468" s="3">
        <v>33</v>
      </c>
      <c r="F468" t="s">
        <v>28</v>
      </c>
      <c r="G468" t="s">
        <v>34</v>
      </c>
      <c r="H468" t="s">
        <v>23</v>
      </c>
      <c r="I468">
        <f>Table1[[#This Row],[Per unit]]*Table1[[#This Row],[Boxes Shipped]]</f>
        <v>6831</v>
      </c>
    </row>
    <row r="469" spans="1:9" x14ac:dyDescent="0.25">
      <c r="A469" s="2">
        <v>45934</v>
      </c>
      <c r="B469" t="s">
        <v>9</v>
      </c>
      <c r="C469" t="s">
        <v>10</v>
      </c>
      <c r="D469">
        <v>211</v>
      </c>
      <c r="E469" s="3">
        <v>39</v>
      </c>
      <c r="F469" t="s">
        <v>11</v>
      </c>
      <c r="G469" t="s">
        <v>28</v>
      </c>
      <c r="H469" t="s">
        <v>13</v>
      </c>
      <c r="I469">
        <f>Table1[[#This Row],[Per unit]]*Table1[[#This Row],[Boxes Shipped]]</f>
        <v>8229</v>
      </c>
    </row>
    <row r="470" spans="1:9" x14ac:dyDescent="0.25">
      <c r="A470" s="2">
        <v>45958</v>
      </c>
      <c r="B470" t="s">
        <v>37</v>
      </c>
      <c r="C470" t="s">
        <v>30</v>
      </c>
      <c r="D470">
        <v>151</v>
      </c>
      <c r="E470" s="3">
        <v>78</v>
      </c>
      <c r="F470" t="s">
        <v>12</v>
      </c>
      <c r="G470" t="s">
        <v>22</v>
      </c>
      <c r="H470" t="s">
        <v>20</v>
      </c>
      <c r="I470">
        <f>Table1[[#This Row],[Per unit]]*Table1[[#This Row],[Boxes Shipped]]</f>
        <v>11778</v>
      </c>
    </row>
    <row r="471" spans="1:9" x14ac:dyDescent="0.25">
      <c r="A471" s="2">
        <v>45811</v>
      </c>
      <c r="B471" t="s">
        <v>18</v>
      </c>
      <c r="C471" t="s">
        <v>30</v>
      </c>
      <c r="D471">
        <v>208</v>
      </c>
      <c r="E471" s="3">
        <v>99</v>
      </c>
      <c r="F471" t="s">
        <v>34</v>
      </c>
      <c r="G471" t="s">
        <v>26</v>
      </c>
      <c r="H471" t="s">
        <v>20</v>
      </c>
      <c r="I471">
        <f>Table1[[#This Row],[Per unit]]*Table1[[#This Row],[Boxes Shipped]]</f>
        <v>20592</v>
      </c>
    </row>
    <row r="472" spans="1:9" x14ac:dyDescent="0.25">
      <c r="A472" s="2">
        <v>45940</v>
      </c>
      <c r="B472" t="s">
        <v>45</v>
      </c>
      <c r="C472" t="s">
        <v>17</v>
      </c>
      <c r="D472">
        <v>134</v>
      </c>
      <c r="E472" s="3">
        <v>31</v>
      </c>
      <c r="F472" t="s">
        <v>26</v>
      </c>
      <c r="G472" t="s">
        <v>19</v>
      </c>
      <c r="H472" t="s">
        <v>16</v>
      </c>
      <c r="I472">
        <f>Table1[[#This Row],[Per unit]]*Table1[[#This Row],[Boxes Shipped]]</f>
        <v>4154</v>
      </c>
    </row>
    <row r="473" spans="1:9" x14ac:dyDescent="0.25">
      <c r="A473" s="2">
        <v>45671</v>
      </c>
      <c r="B473" t="s">
        <v>40</v>
      </c>
      <c r="C473" t="s">
        <v>17</v>
      </c>
      <c r="D473">
        <v>49</v>
      </c>
      <c r="E473" s="3">
        <v>45</v>
      </c>
      <c r="F473" t="s">
        <v>27</v>
      </c>
      <c r="G473" t="s">
        <v>32</v>
      </c>
      <c r="H473" t="s">
        <v>29</v>
      </c>
      <c r="I473">
        <f>Table1[[#This Row],[Per unit]]*Table1[[#This Row],[Boxes Shipped]]</f>
        <v>2205</v>
      </c>
    </row>
    <row r="474" spans="1:9" x14ac:dyDescent="0.25">
      <c r="A474" s="2">
        <v>45677</v>
      </c>
      <c r="B474" t="s">
        <v>35</v>
      </c>
      <c r="C474" t="s">
        <v>17</v>
      </c>
      <c r="D474">
        <v>204</v>
      </c>
      <c r="E474" s="3">
        <v>30</v>
      </c>
      <c r="F474" t="s">
        <v>27</v>
      </c>
      <c r="G474" t="s">
        <v>28</v>
      </c>
      <c r="H474" t="s">
        <v>16</v>
      </c>
      <c r="I474">
        <f>Table1[[#This Row],[Per unit]]*Table1[[#This Row],[Boxes Shipped]]</f>
        <v>6120</v>
      </c>
    </row>
    <row r="475" spans="1:9" x14ac:dyDescent="0.25">
      <c r="A475" s="2">
        <v>45982</v>
      </c>
      <c r="B475" t="s">
        <v>33</v>
      </c>
      <c r="C475" t="s">
        <v>24</v>
      </c>
      <c r="D475">
        <v>34</v>
      </c>
      <c r="E475" s="3">
        <v>24</v>
      </c>
      <c r="F475" t="s">
        <v>32</v>
      </c>
      <c r="G475" t="s">
        <v>32</v>
      </c>
      <c r="H475" t="s">
        <v>29</v>
      </c>
      <c r="I475">
        <f>Table1[[#This Row],[Per unit]]*Table1[[#This Row],[Boxes Shipped]]</f>
        <v>816</v>
      </c>
    </row>
    <row r="476" spans="1:9" x14ac:dyDescent="0.25">
      <c r="A476" s="2">
        <v>45750</v>
      </c>
      <c r="B476" t="s">
        <v>25</v>
      </c>
      <c r="C476" t="s">
        <v>17</v>
      </c>
      <c r="D476">
        <v>91</v>
      </c>
      <c r="E476" s="3">
        <v>22</v>
      </c>
      <c r="F476" t="s">
        <v>19</v>
      </c>
      <c r="G476" t="s">
        <v>15</v>
      </c>
      <c r="H476" t="s">
        <v>16</v>
      </c>
      <c r="I476">
        <f>Table1[[#This Row],[Per unit]]*Table1[[#This Row],[Boxes Shipped]]</f>
        <v>2002</v>
      </c>
    </row>
    <row r="477" spans="1:9" x14ac:dyDescent="0.25">
      <c r="A477" s="2">
        <v>45746</v>
      </c>
      <c r="B477" t="s">
        <v>47</v>
      </c>
      <c r="C477" t="s">
        <v>30</v>
      </c>
      <c r="D477">
        <v>130</v>
      </c>
      <c r="E477" s="3">
        <v>63</v>
      </c>
      <c r="F477" t="s">
        <v>32</v>
      </c>
      <c r="G477" t="s">
        <v>28</v>
      </c>
      <c r="H477" t="s">
        <v>13</v>
      </c>
      <c r="I477">
        <f>Table1[[#This Row],[Per unit]]*Table1[[#This Row],[Boxes Shipped]]</f>
        <v>8190</v>
      </c>
    </row>
    <row r="478" spans="1:9" x14ac:dyDescent="0.25">
      <c r="A478" s="2">
        <v>45978</v>
      </c>
      <c r="B478" t="s">
        <v>9</v>
      </c>
      <c r="C478" t="s">
        <v>21</v>
      </c>
      <c r="D478">
        <v>92</v>
      </c>
      <c r="E478" s="3">
        <v>74</v>
      </c>
      <c r="F478" t="s">
        <v>26</v>
      </c>
      <c r="G478" t="s">
        <v>22</v>
      </c>
      <c r="H478" t="s">
        <v>23</v>
      </c>
      <c r="I478">
        <f>Table1[[#This Row],[Per unit]]*Table1[[#This Row],[Boxes Shipped]]</f>
        <v>6808</v>
      </c>
    </row>
    <row r="479" spans="1:9" x14ac:dyDescent="0.25">
      <c r="A479" s="2">
        <v>45918</v>
      </c>
      <c r="B479" t="s">
        <v>33</v>
      </c>
      <c r="C479" t="s">
        <v>17</v>
      </c>
      <c r="D479">
        <v>121</v>
      </c>
      <c r="E479" s="3">
        <v>20</v>
      </c>
      <c r="F479" t="s">
        <v>22</v>
      </c>
      <c r="G479" t="s">
        <v>26</v>
      </c>
      <c r="H479" t="s">
        <v>29</v>
      </c>
      <c r="I479">
        <f>Table1[[#This Row],[Per unit]]*Table1[[#This Row],[Boxes Shipped]]</f>
        <v>2420</v>
      </c>
    </row>
    <row r="480" spans="1:9" x14ac:dyDescent="0.25">
      <c r="A480" s="2">
        <v>45990</v>
      </c>
      <c r="B480" t="s">
        <v>18</v>
      </c>
      <c r="C480" t="s">
        <v>10</v>
      </c>
      <c r="D480">
        <v>339</v>
      </c>
      <c r="E480" s="3">
        <v>20</v>
      </c>
      <c r="F480" t="s">
        <v>22</v>
      </c>
      <c r="G480" t="s">
        <v>34</v>
      </c>
      <c r="H480" t="s">
        <v>29</v>
      </c>
      <c r="I480">
        <f>Table1[[#This Row],[Per unit]]*Table1[[#This Row],[Boxes Shipped]]</f>
        <v>6780</v>
      </c>
    </row>
    <row r="481" spans="1:9" x14ac:dyDescent="0.25">
      <c r="A481" s="2">
        <v>45765</v>
      </c>
      <c r="B481" t="s">
        <v>46</v>
      </c>
      <c r="C481" t="s">
        <v>17</v>
      </c>
      <c r="D481">
        <v>321</v>
      </c>
      <c r="E481" s="3">
        <v>80</v>
      </c>
      <c r="F481" t="s">
        <v>15</v>
      </c>
      <c r="G481" t="s">
        <v>11</v>
      </c>
      <c r="H481" t="s">
        <v>20</v>
      </c>
      <c r="I481">
        <f>Table1[[#This Row],[Per unit]]*Table1[[#This Row],[Boxes Shipped]]</f>
        <v>25680</v>
      </c>
    </row>
    <row r="482" spans="1:9" x14ac:dyDescent="0.25">
      <c r="A482" s="2">
        <v>46015</v>
      </c>
      <c r="B482" t="s">
        <v>37</v>
      </c>
      <c r="C482" t="s">
        <v>30</v>
      </c>
      <c r="D482">
        <v>305</v>
      </c>
      <c r="E482" s="3">
        <v>22</v>
      </c>
      <c r="F482" t="s">
        <v>22</v>
      </c>
      <c r="G482" t="s">
        <v>27</v>
      </c>
      <c r="H482" t="s">
        <v>23</v>
      </c>
      <c r="I482">
        <f>Table1[[#This Row],[Per unit]]*Table1[[#This Row],[Boxes Shipped]]</f>
        <v>6710</v>
      </c>
    </row>
    <row r="483" spans="1:9" x14ac:dyDescent="0.25">
      <c r="A483" s="2">
        <v>45892</v>
      </c>
      <c r="B483" t="s">
        <v>31</v>
      </c>
      <c r="C483" t="s">
        <v>17</v>
      </c>
      <c r="D483">
        <v>81</v>
      </c>
      <c r="E483" s="3">
        <v>82</v>
      </c>
      <c r="F483" t="s">
        <v>15</v>
      </c>
      <c r="G483" t="s">
        <v>32</v>
      </c>
      <c r="H483" t="s">
        <v>23</v>
      </c>
      <c r="I483">
        <f>Table1[[#This Row],[Per unit]]*Table1[[#This Row],[Boxes Shipped]]</f>
        <v>6642</v>
      </c>
    </row>
    <row r="484" spans="1:9" x14ac:dyDescent="0.25">
      <c r="A484" s="2">
        <v>45789</v>
      </c>
      <c r="B484" t="s">
        <v>46</v>
      </c>
      <c r="C484" t="s">
        <v>17</v>
      </c>
      <c r="D484">
        <v>72</v>
      </c>
      <c r="E484" s="3">
        <v>49</v>
      </c>
      <c r="F484" t="s">
        <v>12</v>
      </c>
      <c r="G484" t="s">
        <v>26</v>
      </c>
      <c r="H484" t="s">
        <v>29</v>
      </c>
      <c r="I484">
        <f>Table1[[#This Row],[Per unit]]*Table1[[#This Row],[Boxes Shipped]]</f>
        <v>3528</v>
      </c>
    </row>
    <row r="485" spans="1:9" x14ac:dyDescent="0.25">
      <c r="A485" s="2">
        <v>45822</v>
      </c>
      <c r="B485" t="s">
        <v>44</v>
      </c>
      <c r="C485" t="s">
        <v>30</v>
      </c>
      <c r="D485">
        <v>125</v>
      </c>
      <c r="E485" s="3">
        <v>53</v>
      </c>
      <c r="F485" t="s">
        <v>28</v>
      </c>
      <c r="G485" t="s">
        <v>22</v>
      </c>
      <c r="H485" t="s">
        <v>23</v>
      </c>
      <c r="I485">
        <f>Table1[[#This Row],[Per unit]]*Table1[[#This Row],[Boxes Shipped]]</f>
        <v>6625</v>
      </c>
    </row>
    <row r="486" spans="1:9" x14ac:dyDescent="0.25">
      <c r="A486" s="2">
        <v>45767</v>
      </c>
      <c r="B486" t="s">
        <v>31</v>
      </c>
      <c r="C486" t="s">
        <v>21</v>
      </c>
      <c r="D486">
        <v>158</v>
      </c>
      <c r="E486" s="3">
        <v>62</v>
      </c>
      <c r="F486" t="s">
        <v>15</v>
      </c>
      <c r="G486" t="s">
        <v>22</v>
      </c>
      <c r="H486" t="s">
        <v>20</v>
      </c>
      <c r="I486">
        <f>Table1[[#This Row],[Per unit]]*Table1[[#This Row],[Boxes Shipped]]</f>
        <v>9796</v>
      </c>
    </row>
    <row r="487" spans="1:9" x14ac:dyDescent="0.25">
      <c r="A487" s="2">
        <v>45901</v>
      </c>
      <c r="B487" t="s">
        <v>31</v>
      </c>
      <c r="C487" t="s">
        <v>21</v>
      </c>
      <c r="D487">
        <v>9</v>
      </c>
      <c r="E487" s="3">
        <v>67</v>
      </c>
      <c r="F487" t="s">
        <v>34</v>
      </c>
      <c r="G487" t="s">
        <v>32</v>
      </c>
      <c r="H487" t="s">
        <v>29</v>
      </c>
      <c r="I487">
        <f>Table1[[#This Row],[Per unit]]*Table1[[#This Row],[Boxes Shipped]]</f>
        <v>603</v>
      </c>
    </row>
    <row r="488" spans="1:9" x14ac:dyDescent="0.25">
      <c r="A488" s="2">
        <v>45851</v>
      </c>
      <c r="B488" t="s">
        <v>44</v>
      </c>
      <c r="C488" t="s">
        <v>17</v>
      </c>
      <c r="D488">
        <v>347</v>
      </c>
      <c r="E488" s="3">
        <v>41</v>
      </c>
      <c r="F488" t="s">
        <v>27</v>
      </c>
      <c r="G488" t="s">
        <v>26</v>
      </c>
      <c r="H488" t="s">
        <v>20</v>
      </c>
      <c r="I488">
        <f>Table1[[#This Row],[Per unit]]*Table1[[#This Row],[Boxes Shipped]]</f>
        <v>14227</v>
      </c>
    </row>
    <row r="489" spans="1:9" x14ac:dyDescent="0.25">
      <c r="A489" s="2">
        <v>45867</v>
      </c>
      <c r="B489" t="s">
        <v>25</v>
      </c>
      <c r="C489" t="s">
        <v>24</v>
      </c>
      <c r="D489">
        <v>204</v>
      </c>
      <c r="E489" s="3">
        <v>32</v>
      </c>
      <c r="F489" t="s">
        <v>27</v>
      </c>
      <c r="G489" t="s">
        <v>34</v>
      </c>
      <c r="H489" t="s">
        <v>23</v>
      </c>
      <c r="I489">
        <f>Table1[[#This Row],[Per unit]]*Table1[[#This Row],[Boxes Shipped]]</f>
        <v>6528</v>
      </c>
    </row>
    <row r="490" spans="1:9" x14ac:dyDescent="0.25">
      <c r="A490" s="2">
        <v>45732</v>
      </c>
      <c r="B490" t="s">
        <v>49</v>
      </c>
      <c r="C490" t="s">
        <v>17</v>
      </c>
      <c r="D490">
        <v>120</v>
      </c>
      <c r="E490" s="3">
        <v>100</v>
      </c>
      <c r="F490" t="s">
        <v>22</v>
      </c>
      <c r="G490" t="s">
        <v>27</v>
      </c>
      <c r="H490" t="s">
        <v>16</v>
      </c>
      <c r="I490">
        <f>Table1[[#This Row],[Per unit]]*Table1[[#This Row],[Boxes Shipped]]</f>
        <v>12000</v>
      </c>
    </row>
    <row r="491" spans="1:9" x14ac:dyDescent="0.25">
      <c r="A491" s="2">
        <v>45715</v>
      </c>
      <c r="B491" t="s">
        <v>36</v>
      </c>
      <c r="C491" t="s">
        <v>21</v>
      </c>
      <c r="D491">
        <v>432</v>
      </c>
      <c r="E491" s="3">
        <v>84</v>
      </c>
      <c r="F491" t="s">
        <v>19</v>
      </c>
      <c r="G491" t="s">
        <v>28</v>
      </c>
      <c r="H491" t="s">
        <v>13</v>
      </c>
      <c r="I491">
        <f>Table1[[#This Row],[Per unit]]*Table1[[#This Row],[Boxes Shipped]]</f>
        <v>36288</v>
      </c>
    </row>
    <row r="492" spans="1:9" x14ac:dyDescent="0.25">
      <c r="A492" s="2">
        <v>45852</v>
      </c>
      <c r="B492" t="s">
        <v>50</v>
      </c>
      <c r="C492" t="s">
        <v>17</v>
      </c>
      <c r="D492">
        <v>236</v>
      </c>
      <c r="E492" s="3">
        <v>41</v>
      </c>
      <c r="F492" t="s">
        <v>26</v>
      </c>
      <c r="G492" t="s">
        <v>27</v>
      </c>
      <c r="H492" t="s">
        <v>20</v>
      </c>
      <c r="I492">
        <f>Table1[[#This Row],[Per unit]]*Table1[[#This Row],[Boxes Shipped]]</f>
        <v>9676</v>
      </c>
    </row>
    <row r="493" spans="1:9" x14ac:dyDescent="0.25">
      <c r="A493" s="2">
        <v>45727</v>
      </c>
      <c r="B493" t="s">
        <v>50</v>
      </c>
      <c r="C493" t="s">
        <v>10</v>
      </c>
      <c r="D493">
        <v>135</v>
      </c>
      <c r="E493" s="3">
        <v>88</v>
      </c>
      <c r="F493" t="s">
        <v>32</v>
      </c>
      <c r="G493" t="s">
        <v>19</v>
      </c>
      <c r="H493" t="s">
        <v>29</v>
      </c>
      <c r="I493">
        <f>Table1[[#This Row],[Per unit]]*Table1[[#This Row],[Boxes Shipped]]</f>
        <v>11880</v>
      </c>
    </row>
    <row r="494" spans="1:9" x14ac:dyDescent="0.25">
      <c r="A494" s="2">
        <v>45950</v>
      </c>
      <c r="B494" t="s">
        <v>49</v>
      </c>
      <c r="C494" t="s">
        <v>10</v>
      </c>
      <c r="D494">
        <v>97</v>
      </c>
      <c r="E494" s="3">
        <v>40</v>
      </c>
      <c r="F494" t="s">
        <v>27</v>
      </c>
      <c r="G494" t="s">
        <v>28</v>
      </c>
      <c r="H494" t="s">
        <v>20</v>
      </c>
      <c r="I494">
        <f>Table1[[#This Row],[Per unit]]*Table1[[#This Row],[Boxes Shipped]]</f>
        <v>3880</v>
      </c>
    </row>
    <row r="495" spans="1:9" x14ac:dyDescent="0.25">
      <c r="A495" s="2">
        <v>45692</v>
      </c>
      <c r="B495" t="s">
        <v>46</v>
      </c>
      <c r="C495" t="s">
        <v>30</v>
      </c>
      <c r="D495">
        <v>168</v>
      </c>
      <c r="E495" s="3">
        <v>39</v>
      </c>
      <c r="F495" t="s">
        <v>34</v>
      </c>
      <c r="G495" t="s">
        <v>19</v>
      </c>
      <c r="H495" t="s">
        <v>29</v>
      </c>
      <c r="I495">
        <f>Table1[[#This Row],[Per unit]]*Table1[[#This Row],[Boxes Shipped]]</f>
        <v>6552</v>
      </c>
    </row>
    <row r="496" spans="1:9" x14ac:dyDescent="0.25">
      <c r="A496" s="2">
        <v>45821</v>
      </c>
      <c r="B496" t="s">
        <v>45</v>
      </c>
      <c r="C496" t="s">
        <v>24</v>
      </c>
      <c r="D496">
        <v>164</v>
      </c>
      <c r="E496" s="3">
        <v>39</v>
      </c>
      <c r="F496" t="s">
        <v>12</v>
      </c>
      <c r="G496" t="s">
        <v>28</v>
      </c>
      <c r="H496" t="s">
        <v>23</v>
      </c>
      <c r="I496">
        <f>Table1[[#This Row],[Per unit]]*Table1[[#This Row],[Boxes Shipped]]</f>
        <v>6396</v>
      </c>
    </row>
    <row r="497" spans="1:9" x14ac:dyDescent="0.25">
      <c r="A497" s="2">
        <v>45848</v>
      </c>
      <c r="B497" t="s">
        <v>43</v>
      </c>
      <c r="C497" t="s">
        <v>17</v>
      </c>
      <c r="D497">
        <v>64</v>
      </c>
      <c r="E497" s="3">
        <v>99</v>
      </c>
      <c r="F497" t="s">
        <v>28</v>
      </c>
      <c r="G497" t="s">
        <v>28</v>
      </c>
      <c r="H497" t="s">
        <v>23</v>
      </c>
      <c r="I497">
        <f>Table1[[#This Row],[Per unit]]*Table1[[#This Row],[Boxes Shipped]]</f>
        <v>6336</v>
      </c>
    </row>
    <row r="498" spans="1:9" x14ac:dyDescent="0.25">
      <c r="A498" s="2">
        <v>45984</v>
      </c>
      <c r="B498" t="s">
        <v>43</v>
      </c>
      <c r="C498" t="s">
        <v>17</v>
      </c>
      <c r="D498">
        <v>223</v>
      </c>
      <c r="E498" s="3">
        <v>23</v>
      </c>
      <c r="F498" t="s">
        <v>11</v>
      </c>
      <c r="G498" t="s">
        <v>12</v>
      </c>
      <c r="H498" t="s">
        <v>13</v>
      </c>
      <c r="I498">
        <f>Table1[[#This Row],[Per unit]]*Table1[[#This Row],[Boxes Shipped]]</f>
        <v>5129</v>
      </c>
    </row>
    <row r="499" spans="1:9" x14ac:dyDescent="0.25">
      <c r="A499" s="2">
        <v>45921</v>
      </c>
      <c r="B499" t="s">
        <v>14</v>
      </c>
      <c r="C499" t="s">
        <v>17</v>
      </c>
      <c r="D499">
        <v>101</v>
      </c>
      <c r="E499" s="3">
        <v>88</v>
      </c>
      <c r="F499" t="s">
        <v>27</v>
      </c>
      <c r="G499" t="s">
        <v>27</v>
      </c>
      <c r="H499" t="s">
        <v>29</v>
      </c>
      <c r="I499">
        <f>Table1[[#This Row],[Per unit]]*Table1[[#This Row],[Boxes Shipped]]</f>
        <v>8888</v>
      </c>
    </row>
    <row r="500" spans="1:9" x14ac:dyDescent="0.25">
      <c r="A500" s="2">
        <v>45908</v>
      </c>
      <c r="B500" t="s">
        <v>31</v>
      </c>
      <c r="C500" t="s">
        <v>21</v>
      </c>
      <c r="D500">
        <v>479</v>
      </c>
      <c r="E500" s="3">
        <v>84</v>
      </c>
      <c r="F500" t="s">
        <v>26</v>
      </c>
      <c r="G500" t="s">
        <v>11</v>
      </c>
      <c r="H500" t="s">
        <v>20</v>
      </c>
      <c r="I500">
        <f>Table1[[#This Row],[Per unit]]*Table1[[#This Row],[Boxes Shipped]]</f>
        <v>40236</v>
      </c>
    </row>
    <row r="501" spans="1:9" x14ac:dyDescent="0.25">
      <c r="A501" s="2">
        <v>45697</v>
      </c>
      <c r="B501" t="s">
        <v>25</v>
      </c>
      <c r="C501" t="s">
        <v>21</v>
      </c>
      <c r="D501">
        <v>287</v>
      </c>
      <c r="E501" s="3">
        <v>37</v>
      </c>
      <c r="F501" t="s">
        <v>11</v>
      </c>
      <c r="G501" t="s">
        <v>34</v>
      </c>
      <c r="H501" t="s">
        <v>29</v>
      </c>
      <c r="I501">
        <f>Table1[[#This Row],[Per unit]]*Table1[[#This Row],[Boxes Shipped]]</f>
        <v>10619</v>
      </c>
    </row>
    <row r="502" spans="1:9" x14ac:dyDescent="0.25">
      <c r="A502" s="2">
        <v>45701</v>
      </c>
      <c r="B502" t="s">
        <v>39</v>
      </c>
      <c r="C502" t="s">
        <v>24</v>
      </c>
      <c r="D502">
        <v>180</v>
      </c>
      <c r="E502" s="3">
        <v>35</v>
      </c>
      <c r="F502" t="s">
        <v>28</v>
      </c>
      <c r="G502" t="s">
        <v>12</v>
      </c>
      <c r="H502" t="s">
        <v>23</v>
      </c>
      <c r="I502">
        <f>Table1[[#This Row],[Per unit]]*Table1[[#This Row],[Boxes Shipped]]</f>
        <v>6300</v>
      </c>
    </row>
    <row r="503" spans="1:9" x14ac:dyDescent="0.25">
      <c r="A503" s="2">
        <v>45852</v>
      </c>
      <c r="B503" t="s">
        <v>25</v>
      </c>
      <c r="C503" t="s">
        <v>10</v>
      </c>
      <c r="D503">
        <v>277</v>
      </c>
      <c r="E503" s="3">
        <v>76</v>
      </c>
      <c r="F503" t="s">
        <v>34</v>
      </c>
      <c r="G503" t="s">
        <v>27</v>
      </c>
      <c r="H503" t="s">
        <v>29</v>
      </c>
      <c r="I503">
        <f>Table1[[#This Row],[Per unit]]*Table1[[#This Row],[Boxes Shipped]]</f>
        <v>21052</v>
      </c>
    </row>
    <row r="504" spans="1:9" x14ac:dyDescent="0.25">
      <c r="A504" s="2">
        <v>45940</v>
      </c>
      <c r="B504" t="s">
        <v>40</v>
      </c>
      <c r="C504" t="s">
        <v>21</v>
      </c>
      <c r="D504">
        <v>67</v>
      </c>
      <c r="E504" s="3">
        <v>60</v>
      </c>
      <c r="F504" t="s">
        <v>34</v>
      </c>
      <c r="G504" t="s">
        <v>26</v>
      </c>
      <c r="H504" t="s">
        <v>20</v>
      </c>
      <c r="I504">
        <f>Table1[[#This Row],[Per unit]]*Table1[[#This Row],[Boxes Shipped]]</f>
        <v>4020</v>
      </c>
    </row>
    <row r="505" spans="1:9" x14ac:dyDescent="0.25">
      <c r="A505" s="2">
        <v>45930</v>
      </c>
      <c r="B505" t="s">
        <v>31</v>
      </c>
      <c r="C505" t="s">
        <v>30</v>
      </c>
      <c r="D505">
        <v>135</v>
      </c>
      <c r="E505" s="3">
        <v>72</v>
      </c>
      <c r="F505" t="s">
        <v>32</v>
      </c>
      <c r="G505" t="s">
        <v>22</v>
      </c>
      <c r="H505" t="s">
        <v>20</v>
      </c>
      <c r="I505">
        <f>Table1[[#This Row],[Per unit]]*Table1[[#This Row],[Boxes Shipped]]</f>
        <v>9720</v>
      </c>
    </row>
    <row r="506" spans="1:9" x14ac:dyDescent="0.25">
      <c r="A506" s="2">
        <v>45806</v>
      </c>
      <c r="B506" t="s">
        <v>41</v>
      </c>
      <c r="C506" t="s">
        <v>30</v>
      </c>
      <c r="D506">
        <v>139</v>
      </c>
      <c r="E506" s="3">
        <v>45</v>
      </c>
      <c r="F506" t="s">
        <v>28</v>
      </c>
      <c r="G506" t="s">
        <v>27</v>
      </c>
      <c r="H506" t="s">
        <v>23</v>
      </c>
      <c r="I506">
        <f>Table1[[#This Row],[Per unit]]*Table1[[#This Row],[Boxes Shipped]]</f>
        <v>6255</v>
      </c>
    </row>
    <row r="507" spans="1:9" x14ac:dyDescent="0.25">
      <c r="A507" s="2">
        <v>45956</v>
      </c>
      <c r="B507" t="s">
        <v>39</v>
      </c>
      <c r="C507" t="s">
        <v>21</v>
      </c>
      <c r="D507">
        <v>88</v>
      </c>
      <c r="E507" s="3">
        <v>84</v>
      </c>
      <c r="F507" t="s">
        <v>22</v>
      </c>
      <c r="G507" t="s">
        <v>27</v>
      </c>
      <c r="H507" t="s">
        <v>29</v>
      </c>
      <c r="I507">
        <f>Table1[[#This Row],[Per unit]]*Table1[[#This Row],[Boxes Shipped]]</f>
        <v>7392</v>
      </c>
    </row>
    <row r="508" spans="1:9" x14ac:dyDescent="0.25">
      <c r="A508" s="2">
        <v>45931</v>
      </c>
      <c r="B508" t="s">
        <v>14</v>
      </c>
      <c r="C508" t="s">
        <v>17</v>
      </c>
      <c r="D508">
        <v>64</v>
      </c>
      <c r="E508" s="3">
        <v>94</v>
      </c>
      <c r="F508" t="s">
        <v>22</v>
      </c>
      <c r="G508" t="s">
        <v>34</v>
      </c>
      <c r="H508" t="s">
        <v>23</v>
      </c>
      <c r="I508">
        <f>Table1[[#This Row],[Per unit]]*Table1[[#This Row],[Boxes Shipped]]</f>
        <v>6016</v>
      </c>
    </row>
    <row r="509" spans="1:9" x14ac:dyDescent="0.25">
      <c r="A509" s="2">
        <v>45875</v>
      </c>
      <c r="B509" t="s">
        <v>47</v>
      </c>
      <c r="C509" t="s">
        <v>17</v>
      </c>
      <c r="D509">
        <v>293</v>
      </c>
      <c r="E509" s="3">
        <v>22</v>
      </c>
      <c r="F509" t="s">
        <v>11</v>
      </c>
      <c r="G509" t="s">
        <v>34</v>
      </c>
      <c r="H509" t="s">
        <v>29</v>
      </c>
      <c r="I509">
        <f>Table1[[#This Row],[Per unit]]*Table1[[#This Row],[Boxes Shipped]]</f>
        <v>6446</v>
      </c>
    </row>
    <row r="510" spans="1:9" x14ac:dyDescent="0.25">
      <c r="A510" s="2">
        <v>45937</v>
      </c>
      <c r="B510" t="s">
        <v>33</v>
      </c>
      <c r="C510" t="s">
        <v>17</v>
      </c>
      <c r="D510">
        <v>207</v>
      </c>
      <c r="E510" s="3">
        <v>29</v>
      </c>
      <c r="F510" t="s">
        <v>22</v>
      </c>
      <c r="G510" t="s">
        <v>26</v>
      </c>
      <c r="H510" t="s">
        <v>23</v>
      </c>
      <c r="I510">
        <f>Table1[[#This Row],[Per unit]]*Table1[[#This Row],[Boxes Shipped]]</f>
        <v>6003</v>
      </c>
    </row>
    <row r="511" spans="1:9" x14ac:dyDescent="0.25">
      <c r="A511" s="2">
        <v>45919</v>
      </c>
      <c r="B511" t="s">
        <v>40</v>
      </c>
      <c r="C511" t="s">
        <v>21</v>
      </c>
      <c r="D511">
        <v>129</v>
      </c>
      <c r="E511" s="3">
        <v>37</v>
      </c>
      <c r="F511" t="s">
        <v>26</v>
      </c>
      <c r="G511" t="s">
        <v>27</v>
      </c>
      <c r="H511" t="s">
        <v>20</v>
      </c>
      <c r="I511">
        <f>Table1[[#This Row],[Per unit]]*Table1[[#This Row],[Boxes Shipped]]</f>
        <v>4773</v>
      </c>
    </row>
    <row r="512" spans="1:9" x14ac:dyDescent="0.25">
      <c r="A512" s="2">
        <v>45833</v>
      </c>
      <c r="B512" t="s">
        <v>35</v>
      </c>
      <c r="C512" t="s">
        <v>17</v>
      </c>
      <c r="D512">
        <v>207</v>
      </c>
      <c r="E512" s="3">
        <v>29</v>
      </c>
      <c r="F512" t="s">
        <v>22</v>
      </c>
      <c r="G512" t="s">
        <v>28</v>
      </c>
      <c r="H512" t="s">
        <v>23</v>
      </c>
      <c r="I512">
        <f>Table1[[#This Row],[Per unit]]*Table1[[#This Row],[Boxes Shipped]]</f>
        <v>6003</v>
      </c>
    </row>
    <row r="513" spans="1:9" x14ac:dyDescent="0.25">
      <c r="A513" s="2">
        <v>45932</v>
      </c>
      <c r="B513" t="s">
        <v>9</v>
      </c>
      <c r="C513" t="s">
        <v>30</v>
      </c>
      <c r="D513">
        <v>153</v>
      </c>
      <c r="E513" s="3">
        <v>38</v>
      </c>
      <c r="F513" t="s">
        <v>28</v>
      </c>
      <c r="G513" t="s">
        <v>22</v>
      </c>
      <c r="H513" t="s">
        <v>23</v>
      </c>
      <c r="I513">
        <f>Table1[[#This Row],[Per unit]]*Table1[[#This Row],[Boxes Shipped]]</f>
        <v>5814</v>
      </c>
    </row>
    <row r="514" spans="1:9" x14ac:dyDescent="0.25">
      <c r="A514" s="2">
        <v>45989</v>
      </c>
      <c r="B514" t="s">
        <v>39</v>
      </c>
      <c r="C514" t="s">
        <v>30</v>
      </c>
      <c r="D514">
        <v>258</v>
      </c>
      <c r="E514" s="3">
        <v>98</v>
      </c>
      <c r="F514" t="s">
        <v>28</v>
      </c>
      <c r="G514" t="s">
        <v>11</v>
      </c>
      <c r="H514" t="s">
        <v>29</v>
      </c>
      <c r="I514">
        <f>Table1[[#This Row],[Per unit]]*Table1[[#This Row],[Boxes Shipped]]</f>
        <v>25284</v>
      </c>
    </row>
    <row r="515" spans="1:9" x14ac:dyDescent="0.25">
      <c r="A515" s="2">
        <v>45872</v>
      </c>
      <c r="B515" t="s">
        <v>47</v>
      </c>
      <c r="C515" t="s">
        <v>21</v>
      </c>
      <c r="D515">
        <v>116</v>
      </c>
      <c r="E515" s="3">
        <v>64</v>
      </c>
      <c r="F515" t="s">
        <v>34</v>
      </c>
      <c r="G515" t="s">
        <v>11</v>
      </c>
      <c r="H515" t="s">
        <v>13</v>
      </c>
      <c r="I515">
        <f>Table1[[#This Row],[Per unit]]*Table1[[#This Row],[Boxes Shipped]]</f>
        <v>7424</v>
      </c>
    </row>
    <row r="516" spans="1:9" x14ac:dyDescent="0.25">
      <c r="A516" s="2">
        <v>45832</v>
      </c>
      <c r="B516" t="s">
        <v>33</v>
      </c>
      <c r="C516" t="s">
        <v>21</v>
      </c>
      <c r="D516">
        <v>114</v>
      </c>
      <c r="E516" s="3">
        <v>51</v>
      </c>
      <c r="F516" t="s">
        <v>28</v>
      </c>
      <c r="G516" t="s">
        <v>15</v>
      </c>
      <c r="H516" t="s">
        <v>23</v>
      </c>
      <c r="I516">
        <f>Table1[[#This Row],[Per unit]]*Table1[[#This Row],[Boxes Shipped]]</f>
        <v>5814</v>
      </c>
    </row>
    <row r="517" spans="1:9" x14ac:dyDescent="0.25">
      <c r="A517" s="2">
        <v>45969</v>
      </c>
      <c r="B517" t="s">
        <v>38</v>
      </c>
      <c r="C517" t="s">
        <v>17</v>
      </c>
      <c r="D517">
        <v>321</v>
      </c>
      <c r="E517" s="3">
        <v>74</v>
      </c>
      <c r="F517" t="s">
        <v>27</v>
      </c>
      <c r="G517" t="s">
        <v>22</v>
      </c>
      <c r="H517" t="s">
        <v>13</v>
      </c>
      <c r="I517">
        <f>Table1[[#This Row],[Per unit]]*Table1[[#This Row],[Boxes Shipped]]</f>
        <v>23754</v>
      </c>
    </row>
    <row r="518" spans="1:9" x14ac:dyDescent="0.25">
      <c r="A518" s="2">
        <v>45812</v>
      </c>
      <c r="B518" t="s">
        <v>14</v>
      </c>
      <c r="C518" t="s">
        <v>24</v>
      </c>
      <c r="D518">
        <v>108</v>
      </c>
      <c r="E518" s="3">
        <v>53</v>
      </c>
      <c r="F518" t="s">
        <v>12</v>
      </c>
      <c r="G518" t="s">
        <v>11</v>
      </c>
      <c r="H518" t="s">
        <v>23</v>
      </c>
      <c r="I518">
        <f>Table1[[#This Row],[Per unit]]*Table1[[#This Row],[Boxes Shipped]]</f>
        <v>5724</v>
      </c>
    </row>
    <row r="519" spans="1:9" x14ac:dyDescent="0.25">
      <c r="A519" s="2">
        <v>45944</v>
      </c>
      <c r="B519" t="s">
        <v>49</v>
      </c>
      <c r="C519" t="s">
        <v>10</v>
      </c>
      <c r="D519">
        <v>74</v>
      </c>
      <c r="E519" s="3">
        <v>64</v>
      </c>
      <c r="F519" t="s">
        <v>12</v>
      </c>
      <c r="G519" t="s">
        <v>32</v>
      </c>
      <c r="H519" t="s">
        <v>29</v>
      </c>
      <c r="I519">
        <f>Table1[[#This Row],[Per unit]]*Table1[[#This Row],[Boxes Shipped]]</f>
        <v>4736</v>
      </c>
    </row>
    <row r="520" spans="1:9" x14ac:dyDescent="0.25">
      <c r="A520" s="2">
        <v>45927</v>
      </c>
      <c r="B520" t="s">
        <v>43</v>
      </c>
      <c r="C520" t="s">
        <v>10</v>
      </c>
      <c r="D520">
        <v>59</v>
      </c>
      <c r="E520" s="3">
        <v>97</v>
      </c>
      <c r="F520" t="s">
        <v>28</v>
      </c>
      <c r="G520" t="s">
        <v>32</v>
      </c>
      <c r="H520" t="s">
        <v>23</v>
      </c>
      <c r="I520">
        <f>Table1[[#This Row],[Per unit]]*Table1[[#This Row],[Boxes Shipped]]</f>
        <v>5723</v>
      </c>
    </row>
    <row r="521" spans="1:9" x14ac:dyDescent="0.25">
      <c r="A521" s="2">
        <v>45769</v>
      </c>
      <c r="B521" t="s">
        <v>43</v>
      </c>
      <c r="C521" t="s">
        <v>21</v>
      </c>
      <c r="D521">
        <v>131</v>
      </c>
      <c r="E521" s="3">
        <v>62</v>
      </c>
      <c r="F521" t="s">
        <v>11</v>
      </c>
      <c r="G521" t="s">
        <v>27</v>
      </c>
      <c r="H521" t="s">
        <v>13</v>
      </c>
      <c r="I521">
        <f>Table1[[#This Row],[Per unit]]*Table1[[#This Row],[Boxes Shipped]]</f>
        <v>8122</v>
      </c>
    </row>
    <row r="522" spans="1:9" x14ac:dyDescent="0.25">
      <c r="A522" s="2">
        <v>45842</v>
      </c>
      <c r="B522" t="s">
        <v>43</v>
      </c>
      <c r="C522" t="s">
        <v>24</v>
      </c>
      <c r="D522">
        <v>15</v>
      </c>
      <c r="E522" s="3">
        <v>78</v>
      </c>
      <c r="F522" t="s">
        <v>12</v>
      </c>
      <c r="G522" t="s">
        <v>11</v>
      </c>
      <c r="H522" t="s">
        <v>13</v>
      </c>
      <c r="I522">
        <f>Table1[[#This Row],[Per unit]]*Table1[[#This Row],[Boxes Shipped]]</f>
        <v>1170</v>
      </c>
    </row>
    <row r="523" spans="1:9" x14ac:dyDescent="0.25">
      <c r="A523" s="2">
        <v>45758</v>
      </c>
      <c r="B523" t="s">
        <v>49</v>
      </c>
      <c r="C523" t="s">
        <v>30</v>
      </c>
      <c r="D523">
        <v>140</v>
      </c>
      <c r="E523" s="3">
        <v>94</v>
      </c>
      <c r="F523" t="s">
        <v>22</v>
      </c>
      <c r="G523" t="s">
        <v>12</v>
      </c>
      <c r="H523" t="s">
        <v>16</v>
      </c>
      <c r="I523">
        <f>Table1[[#This Row],[Per unit]]*Table1[[#This Row],[Boxes Shipped]]</f>
        <v>13160</v>
      </c>
    </row>
    <row r="524" spans="1:9" x14ac:dyDescent="0.25">
      <c r="A524" s="2">
        <v>45776</v>
      </c>
      <c r="B524" t="s">
        <v>33</v>
      </c>
      <c r="C524" t="s">
        <v>17</v>
      </c>
      <c r="D524">
        <v>198</v>
      </c>
      <c r="E524" s="3">
        <v>59</v>
      </c>
      <c r="F524" t="s">
        <v>27</v>
      </c>
      <c r="G524" t="s">
        <v>19</v>
      </c>
      <c r="H524" t="s">
        <v>29</v>
      </c>
      <c r="I524">
        <f>Table1[[#This Row],[Per unit]]*Table1[[#This Row],[Boxes Shipped]]</f>
        <v>11682</v>
      </c>
    </row>
    <row r="525" spans="1:9" x14ac:dyDescent="0.25">
      <c r="A525" s="2">
        <v>45903</v>
      </c>
      <c r="B525" t="s">
        <v>9</v>
      </c>
      <c r="C525" t="s">
        <v>17</v>
      </c>
      <c r="D525">
        <v>103</v>
      </c>
      <c r="E525" s="3">
        <v>47</v>
      </c>
      <c r="F525" t="s">
        <v>12</v>
      </c>
      <c r="G525" t="s">
        <v>32</v>
      </c>
      <c r="H525" t="s">
        <v>13</v>
      </c>
      <c r="I525">
        <f>Table1[[#This Row],[Per unit]]*Table1[[#This Row],[Boxes Shipped]]</f>
        <v>4841</v>
      </c>
    </row>
    <row r="526" spans="1:9" x14ac:dyDescent="0.25">
      <c r="A526" s="2">
        <v>45998</v>
      </c>
      <c r="B526" t="s">
        <v>47</v>
      </c>
      <c r="C526" t="s">
        <v>21</v>
      </c>
      <c r="D526">
        <v>187</v>
      </c>
      <c r="E526" s="3">
        <v>57</v>
      </c>
      <c r="F526" t="s">
        <v>32</v>
      </c>
      <c r="G526" t="s">
        <v>28</v>
      </c>
      <c r="H526" t="s">
        <v>13</v>
      </c>
      <c r="I526">
        <f>Table1[[#This Row],[Per unit]]*Table1[[#This Row],[Boxes Shipped]]</f>
        <v>10659</v>
      </c>
    </row>
    <row r="527" spans="1:9" x14ac:dyDescent="0.25">
      <c r="A527" s="2">
        <v>45923</v>
      </c>
      <c r="B527" t="s">
        <v>40</v>
      </c>
      <c r="C527" t="s">
        <v>10</v>
      </c>
      <c r="D527">
        <v>125</v>
      </c>
      <c r="E527" s="3">
        <v>90</v>
      </c>
      <c r="F527" t="s">
        <v>19</v>
      </c>
      <c r="G527" t="s">
        <v>27</v>
      </c>
      <c r="H527" t="s">
        <v>13</v>
      </c>
      <c r="I527">
        <f>Table1[[#This Row],[Per unit]]*Table1[[#This Row],[Boxes Shipped]]</f>
        <v>11250</v>
      </c>
    </row>
    <row r="528" spans="1:9" x14ac:dyDescent="0.25">
      <c r="A528" s="2">
        <v>45856</v>
      </c>
      <c r="B528" t="s">
        <v>31</v>
      </c>
      <c r="C528" t="s">
        <v>21</v>
      </c>
      <c r="D528">
        <v>8</v>
      </c>
      <c r="E528" s="3">
        <v>60</v>
      </c>
      <c r="F528" t="s">
        <v>32</v>
      </c>
      <c r="G528" t="s">
        <v>28</v>
      </c>
      <c r="H528" t="s">
        <v>29</v>
      </c>
      <c r="I528">
        <f>Table1[[#This Row],[Per unit]]*Table1[[#This Row],[Boxes Shipped]]</f>
        <v>480</v>
      </c>
    </row>
    <row r="529" spans="1:9" x14ac:dyDescent="0.25">
      <c r="A529" s="2">
        <v>45987</v>
      </c>
      <c r="B529" t="s">
        <v>48</v>
      </c>
      <c r="C529" t="s">
        <v>24</v>
      </c>
      <c r="D529">
        <v>70</v>
      </c>
      <c r="E529" s="3">
        <v>77</v>
      </c>
      <c r="F529" t="s">
        <v>11</v>
      </c>
      <c r="G529" t="s">
        <v>19</v>
      </c>
      <c r="H529" t="s">
        <v>13</v>
      </c>
      <c r="I529">
        <f>Table1[[#This Row],[Per unit]]*Table1[[#This Row],[Boxes Shipped]]</f>
        <v>5390</v>
      </c>
    </row>
    <row r="530" spans="1:9" x14ac:dyDescent="0.25">
      <c r="A530" s="2">
        <v>45750</v>
      </c>
      <c r="B530" t="s">
        <v>9</v>
      </c>
      <c r="C530" t="s">
        <v>24</v>
      </c>
      <c r="D530">
        <v>265</v>
      </c>
      <c r="E530" s="3">
        <v>48</v>
      </c>
      <c r="F530" t="s">
        <v>27</v>
      </c>
      <c r="G530" t="s">
        <v>22</v>
      </c>
      <c r="H530" t="s">
        <v>16</v>
      </c>
      <c r="I530">
        <f>Table1[[#This Row],[Per unit]]*Table1[[#This Row],[Boxes Shipped]]</f>
        <v>12720</v>
      </c>
    </row>
    <row r="531" spans="1:9" x14ac:dyDescent="0.25">
      <c r="A531" s="2">
        <v>45704</v>
      </c>
      <c r="B531" t="s">
        <v>9</v>
      </c>
      <c r="C531" t="s">
        <v>30</v>
      </c>
      <c r="D531">
        <v>296</v>
      </c>
      <c r="E531" s="3">
        <v>65</v>
      </c>
      <c r="F531" t="s">
        <v>34</v>
      </c>
      <c r="G531" t="s">
        <v>28</v>
      </c>
      <c r="H531" t="s">
        <v>16</v>
      </c>
      <c r="I531">
        <f>Table1[[#This Row],[Per unit]]*Table1[[#This Row],[Boxes Shipped]]</f>
        <v>19240</v>
      </c>
    </row>
    <row r="532" spans="1:9" x14ac:dyDescent="0.25">
      <c r="A532" s="2">
        <v>46014</v>
      </c>
      <c r="B532" t="s">
        <v>39</v>
      </c>
      <c r="C532" t="s">
        <v>30</v>
      </c>
      <c r="D532">
        <v>21</v>
      </c>
      <c r="E532" s="3">
        <v>62</v>
      </c>
      <c r="F532" t="s">
        <v>27</v>
      </c>
      <c r="G532" t="s">
        <v>19</v>
      </c>
      <c r="H532" t="s">
        <v>13</v>
      </c>
      <c r="I532">
        <f>Table1[[#This Row],[Per unit]]*Table1[[#This Row],[Boxes Shipped]]</f>
        <v>1302</v>
      </c>
    </row>
    <row r="533" spans="1:9" x14ac:dyDescent="0.25">
      <c r="A533" s="2">
        <v>45978</v>
      </c>
      <c r="B533" t="s">
        <v>14</v>
      </c>
      <c r="C533" t="s">
        <v>30</v>
      </c>
      <c r="D533">
        <v>83</v>
      </c>
      <c r="E533" s="3">
        <v>99</v>
      </c>
      <c r="F533" t="s">
        <v>32</v>
      </c>
      <c r="G533" t="s">
        <v>32</v>
      </c>
      <c r="H533" t="s">
        <v>16</v>
      </c>
      <c r="I533">
        <f>Table1[[#This Row],[Per unit]]*Table1[[#This Row],[Boxes Shipped]]</f>
        <v>8217</v>
      </c>
    </row>
    <row r="534" spans="1:9" x14ac:dyDescent="0.25">
      <c r="A534" s="2">
        <v>45851</v>
      </c>
      <c r="B534" t="s">
        <v>44</v>
      </c>
      <c r="C534" t="s">
        <v>10</v>
      </c>
      <c r="D534">
        <v>162</v>
      </c>
      <c r="E534" s="3">
        <v>58</v>
      </c>
      <c r="F534" t="s">
        <v>19</v>
      </c>
      <c r="G534" t="s">
        <v>19</v>
      </c>
      <c r="H534" t="s">
        <v>20</v>
      </c>
      <c r="I534">
        <f>Table1[[#This Row],[Per unit]]*Table1[[#This Row],[Boxes Shipped]]</f>
        <v>9396</v>
      </c>
    </row>
    <row r="535" spans="1:9" x14ac:dyDescent="0.25">
      <c r="A535" s="2">
        <v>45953</v>
      </c>
      <c r="B535" t="s">
        <v>39</v>
      </c>
      <c r="C535" t="s">
        <v>30</v>
      </c>
      <c r="D535">
        <v>145</v>
      </c>
      <c r="E535" s="3">
        <v>43</v>
      </c>
      <c r="F535" t="s">
        <v>15</v>
      </c>
      <c r="G535" t="s">
        <v>22</v>
      </c>
      <c r="H535" t="s">
        <v>16</v>
      </c>
      <c r="I535">
        <f>Table1[[#This Row],[Per unit]]*Table1[[#This Row],[Boxes Shipped]]</f>
        <v>6235</v>
      </c>
    </row>
    <row r="536" spans="1:9" x14ac:dyDescent="0.25">
      <c r="A536" s="2">
        <v>45847</v>
      </c>
      <c r="B536" t="s">
        <v>18</v>
      </c>
      <c r="C536" t="s">
        <v>10</v>
      </c>
      <c r="D536">
        <v>44</v>
      </c>
      <c r="E536" s="3">
        <v>93</v>
      </c>
      <c r="F536" t="s">
        <v>11</v>
      </c>
      <c r="G536" t="s">
        <v>34</v>
      </c>
      <c r="H536" t="s">
        <v>29</v>
      </c>
      <c r="I536">
        <f>Table1[[#This Row],[Per unit]]*Table1[[#This Row],[Boxes Shipped]]</f>
        <v>4092</v>
      </c>
    </row>
    <row r="537" spans="1:9" x14ac:dyDescent="0.25">
      <c r="A537" s="2">
        <v>45752</v>
      </c>
      <c r="B537" t="s">
        <v>41</v>
      </c>
      <c r="C537" t="s">
        <v>10</v>
      </c>
      <c r="D537">
        <v>82</v>
      </c>
      <c r="E537" s="3">
        <v>50</v>
      </c>
      <c r="F537" t="s">
        <v>27</v>
      </c>
      <c r="G537" t="s">
        <v>22</v>
      </c>
      <c r="H537" t="s">
        <v>20</v>
      </c>
      <c r="I537">
        <f>Table1[[#This Row],[Per unit]]*Table1[[#This Row],[Boxes Shipped]]</f>
        <v>4100</v>
      </c>
    </row>
    <row r="538" spans="1:9" x14ac:dyDescent="0.25">
      <c r="A538" s="2">
        <v>46005</v>
      </c>
      <c r="B538" t="s">
        <v>39</v>
      </c>
      <c r="C538" t="s">
        <v>24</v>
      </c>
      <c r="D538">
        <v>226</v>
      </c>
      <c r="E538" s="3">
        <v>88</v>
      </c>
      <c r="F538" t="s">
        <v>26</v>
      </c>
      <c r="G538" t="s">
        <v>15</v>
      </c>
      <c r="H538" t="s">
        <v>29</v>
      </c>
      <c r="I538">
        <f>Table1[[#This Row],[Per unit]]*Table1[[#This Row],[Boxes Shipped]]</f>
        <v>19888</v>
      </c>
    </row>
    <row r="539" spans="1:9" x14ac:dyDescent="0.25">
      <c r="A539" s="2">
        <v>45662</v>
      </c>
      <c r="B539" t="s">
        <v>33</v>
      </c>
      <c r="C539" t="s">
        <v>17</v>
      </c>
      <c r="D539">
        <v>128</v>
      </c>
      <c r="E539" s="3">
        <v>44</v>
      </c>
      <c r="F539" t="s">
        <v>28</v>
      </c>
      <c r="G539" t="s">
        <v>15</v>
      </c>
      <c r="H539" t="s">
        <v>23</v>
      </c>
      <c r="I539">
        <f>Table1[[#This Row],[Per unit]]*Table1[[#This Row],[Boxes Shipped]]</f>
        <v>5632</v>
      </c>
    </row>
    <row r="540" spans="1:9" x14ac:dyDescent="0.25">
      <c r="A540" s="2">
        <v>45817</v>
      </c>
      <c r="B540" t="s">
        <v>42</v>
      </c>
      <c r="C540" t="s">
        <v>21</v>
      </c>
      <c r="D540">
        <v>176</v>
      </c>
      <c r="E540" s="3">
        <v>99</v>
      </c>
      <c r="F540" t="s">
        <v>12</v>
      </c>
      <c r="G540" t="s">
        <v>12</v>
      </c>
      <c r="H540" t="s">
        <v>16</v>
      </c>
      <c r="I540">
        <f>Table1[[#This Row],[Per unit]]*Table1[[#This Row],[Boxes Shipped]]</f>
        <v>17424</v>
      </c>
    </row>
    <row r="541" spans="1:9" x14ac:dyDescent="0.25">
      <c r="A541" s="2">
        <v>45794</v>
      </c>
      <c r="B541" t="s">
        <v>47</v>
      </c>
      <c r="C541" t="s">
        <v>24</v>
      </c>
      <c r="D541">
        <v>286</v>
      </c>
      <c r="E541" s="3">
        <v>76</v>
      </c>
      <c r="F541" t="s">
        <v>19</v>
      </c>
      <c r="G541" t="s">
        <v>26</v>
      </c>
      <c r="H541" t="s">
        <v>29</v>
      </c>
      <c r="I541">
        <f>Table1[[#This Row],[Per unit]]*Table1[[#This Row],[Boxes Shipped]]</f>
        <v>21736</v>
      </c>
    </row>
    <row r="542" spans="1:9" x14ac:dyDescent="0.25">
      <c r="A542" s="2">
        <v>45701</v>
      </c>
      <c r="B542" t="s">
        <v>44</v>
      </c>
      <c r="C542" t="s">
        <v>10</v>
      </c>
      <c r="D542">
        <v>300</v>
      </c>
      <c r="E542" s="3">
        <v>97</v>
      </c>
      <c r="F542" t="s">
        <v>28</v>
      </c>
      <c r="G542" t="s">
        <v>15</v>
      </c>
      <c r="H542" t="s">
        <v>13</v>
      </c>
      <c r="I542">
        <f>Table1[[#This Row],[Per unit]]*Table1[[#This Row],[Boxes Shipped]]</f>
        <v>29100</v>
      </c>
    </row>
    <row r="543" spans="1:9" x14ac:dyDescent="0.25">
      <c r="A543" s="2">
        <v>45699</v>
      </c>
      <c r="B543" t="s">
        <v>42</v>
      </c>
      <c r="C543" t="s">
        <v>10</v>
      </c>
      <c r="D543">
        <v>66</v>
      </c>
      <c r="E543" s="3">
        <v>85</v>
      </c>
      <c r="F543" t="s">
        <v>22</v>
      </c>
      <c r="G543" t="s">
        <v>34</v>
      </c>
      <c r="H543" t="s">
        <v>23</v>
      </c>
      <c r="I543">
        <f>Table1[[#This Row],[Per unit]]*Table1[[#This Row],[Boxes Shipped]]</f>
        <v>5610</v>
      </c>
    </row>
    <row r="544" spans="1:9" x14ac:dyDescent="0.25">
      <c r="A544" s="2">
        <v>45701</v>
      </c>
      <c r="B544" t="s">
        <v>48</v>
      </c>
      <c r="C544" t="s">
        <v>24</v>
      </c>
      <c r="D544">
        <v>125</v>
      </c>
      <c r="E544" s="3">
        <v>79</v>
      </c>
      <c r="F544" t="s">
        <v>32</v>
      </c>
      <c r="G544" t="s">
        <v>15</v>
      </c>
      <c r="H544" t="s">
        <v>20</v>
      </c>
      <c r="I544">
        <f>Table1[[#This Row],[Per unit]]*Table1[[#This Row],[Boxes Shipped]]</f>
        <v>9875</v>
      </c>
    </row>
    <row r="545" spans="1:9" x14ac:dyDescent="0.25">
      <c r="A545" s="2">
        <v>45888</v>
      </c>
      <c r="B545" t="s">
        <v>45</v>
      </c>
      <c r="C545" t="s">
        <v>17</v>
      </c>
      <c r="D545">
        <v>145</v>
      </c>
      <c r="E545" s="3">
        <v>86</v>
      </c>
      <c r="F545" t="s">
        <v>34</v>
      </c>
      <c r="G545" t="s">
        <v>28</v>
      </c>
      <c r="H545" t="s">
        <v>13</v>
      </c>
      <c r="I545">
        <f>Table1[[#This Row],[Per unit]]*Table1[[#This Row],[Boxes Shipped]]</f>
        <v>12470</v>
      </c>
    </row>
    <row r="546" spans="1:9" x14ac:dyDescent="0.25">
      <c r="A546" s="2">
        <v>45706</v>
      </c>
      <c r="B546" t="s">
        <v>25</v>
      </c>
      <c r="C546" t="s">
        <v>24</v>
      </c>
      <c r="D546">
        <v>65</v>
      </c>
      <c r="E546" s="3">
        <v>68</v>
      </c>
      <c r="F546" t="s">
        <v>27</v>
      </c>
      <c r="G546" t="s">
        <v>12</v>
      </c>
      <c r="H546" t="s">
        <v>29</v>
      </c>
      <c r="I546">
        <f>Table1[[#This Row],[Per unit]]*Table1[[#This Row],[Boxes Shipped]]</f>
        <v>4420</v>
      </c>
    </row>
    <row r="547" spans="1:9" x14ac:dyDescent="0.25">
      <c r="A547" s="2">
        <v>45836</v>
      </c>
      <c r="B547" t="s">
        <v>44</v>
      </c>
      <c r="C547" t="s">
        <v>17</v>
      </c>
      <c r="D547">
        <v>114</v>
      </c>
      <c r="E547" s="3">
        <v>49</v>
      </c>
      <c r="F547" t="s">
        <v>34</v>
      </c>
      <c r="G547" t="s">
        <v>11</v>
      </c>
      <c r="H547" t="s">
        <v>23</v>
      </c>
      <c r="I547">
        <f>Table1[[#This Row],[Per unit]]*Table1[[#This Row],[Boxes Shipped]]</f>
        <v>5586</v>
      </c>
    </row>
    <row r="548" spans="1:9" x14ac:dyDescent="0.25">
      <c r="A548" s="2">
        <v>45881</v>
      </c>
      <c r="B548" t="s">
        <v>47</v>
      </c>
      <c r="C548" t="s">
        <v>17</v>
      </c>
      <c r="D548">
        <v>93</v>
      </c>
      <c r="E548" s="3">
        <v>90</v>
      </c>
      <c r="F548" t="s">
        <v>27</v>
      </c>
      <c r="G548" t="s">
        <v>28</v>
      </c>
      <c r="H548" t="s">
        <v>20</v>
      </c>
      <c r="I548">
        <f>Table1[[#This Row],[Per unit]]*Table1[[#This Row],[Boxes Shipped]]</f>
        <v>8370</v>
      </c>
    </row>
    <row r="549" spans="1:9" x14ac:dyDescent="0.25">
      <c r="A549" s="2">
        <v>45917</v>
      </c>
      <c r="B549" t="s">
        <v>38</v>
      </c>
      <c r="C549" t="s">
        <v>24</v>
      </c>
      <c r="D549">
        <v>134</v>
      </c>
      <c r="E549" s="3">
        <v>41</v>
      </c>
      <c r="F549" t="s">
        <v>34</v>
      </c>
      <c r="G549" t="s">
        <v>34</v>
      </c>
      <c r="H549" t="s">
        <v>29</v>
      </c>
      <c r="I549">
        <f>Table1[[#This Row],[Per unit]]*Table1[[#This Row],[Boxes Shipped]]</f>
        <v>5494</v>
      </c>
    </row>
    <row r="550" spans="1:9" x14ac:dyDescent="0.25">
      <c r="A550" s="2">
        <v>45776</v>
      </c>
      <c r="B550" t="s">
        <v>39</v>
      </c>
      <c r="C550" t="s">
        <v>17</v>
      </c>
      <c r="D550">
        <v>189</v>
      </c>
      <c r="E550" s="3">
        <v>80</v>
      </c>
      <c r="F550" t="s">
        <v>27</v>
      </c>
      <c r="G550" t="s">
        <v>15</v>
      </c>
      <c r="H550" t="s">
        <v>13</v>
      </c>
      <c r="I550">
        <f>Table1[[#This Row],[Per unit]]*Table1[[#This Row],[Boxes Shipped]]</f>
        <v>15120</v>
      </c>
    </row>
    <row r="551" spans="1:9" x14ac:dyDescent="0.25">
      <c r="A551" s="2">
        <v>45985</v>
      </c>
      <c r="B551" t="s">
        <v>43</v>
      </c>
      <c r="C551" t="s">
        <v>24</v>
      </c>
      <c r="D551">
        <v>232</v>
      </c>
      <c r="E551" s="3">
        <v>100</v>
      </c>
      <c r="F551" t="s">
        <v>12</v>
      </c>
      <c r="G551" t="s">
        <v>28</v>
      </c>
      <c r="H551" t="s">
        <v>20</v>
      </c>
      <c r="I551">
        <f>Table1[[#This Row],[Per unit]]*Table1[[#This Row],[Boxes Shipped]]</f>
        <v>23200</v>
      </c>
    </row>
    <row r="552" spans="1:9" x14ac:dyDescent="0.25">
      <c r="A552" s="2">
        <v>45668</v>
      </c>
      <c r="B552" t="s">
        <v>42</v>
      </c>
      <c r="C552" t="s">
        <v>17</v>
      </c>
      <c r="D552">
        <v>45</v>
      </c>
      <c r="E552" s="3">
        <v>77</v>
      </c>
      <c r="F552" t="s">
        <v>22</v>
      </c>
      <c r="G552" t="s">
        <v>19</v>
      </c>
      <c r="H552" t="s">
        <v>29</v>
      </c>
      <c r="I552">
        <f>Table1[[#This Row],[Per unit]]*Table1[[#This Row],[Boxes Shipped]]</f>
        <v>3465</v>
      </c>
    </row>
    <row r="553" spans="1:9" x14ac:dyDescent="0.25">
      <c r="A553" s="2">
        <v>45862</v>
      </c>
      <c r="B553" t="s">
        <v>9</v>
      </c>
      <c r="C553" t="s">
        <v>10</v>
      </c>
      <c r="D553">
        <v>67</v>
      </c>
      <c r="E553" s="3">
        <v>78</v>
      </c>
      <c r="F553" t="s">
        <v>19</v>
      </c>
      <c r="G553" t="s">
        <v>22</v>
      </c>
      <c r="H553" t="s">
        <v>20</v>
      </c>
      <c r="I553">
        <f>Table1[[#This Row],[Per unit]]*Table1[[#This Row],[Boxes Shipped]]</f>
        <v>5226</v>
      </c>
    </row>
    <row r="554" spans="1:9" x14ac:dyDescent="0.25">
      <c r="A554" s="2">
        <v>45993</v>
      </c>
      <c r="B554" t="s">
        <v>9</v>
      </c>
      <c r="C554" t="s">
        <v>30</v>
      </c>
      <c r="D554">
        <v>138</v>
      </c>
      <c r="E554" s="3">
        <v>94</v>
      </c>
      <c r="F554" t="s">
        <v>32</v>
      </c>
      <c r="G554" t="s">
        <v>27</v>
      </c>
      <c r="H554" t="s">
        <v>13</v>
      </c>
      <c r="I554">
        <f>Table1[[#This Row],[Per unit]]*Table1[[#This Row],[Boxes Shipped]]</f>
        <v>12972</v>
      </c>
    </row>
    <row r="555" spans="1:9" x14ac:dyDescent="0.25">
      <c r="A555" s="2">
        <v>46004</v>
      </c>
      <c r="B555" t="s">
        <v>35</v>
      </c>
      <c r="C555" t="s">
        <v>24</v>
      </c>
      <c r="D555">
        <v>264</v>
      </c>
      <c r="E555" s="3">
        <v>21</v>
      </c>
      <c r="F555" t="s">
        <v>15</v>
      </c>
      <c r="G555" t="s">
        <v>12</v>
      </c>
      <c r="H555" t="s">
        <v>23</v>
      </c>
      <c r="I555">
        <f>Table1[[#This Row],[Per unit]]*Table1[[#This Row],[Boxes Shipped]]</f>
        <v>5544</v>
      </c>
    </row>
    <row r="556" spans="1:9" x14ac:dyDescent="0.25">
      <c r="A556" s="2">
        <v>45793</v>
      </c>
      <c r="B556" t="s">
        <v>47</v>
      </c>
      <c r="C556" t="s">
        <v>24</v>
      </c>
      <c r="D556">
        <v>251</v>
      </c>
      <c r="E556" s="3">
        <v>20</v>
      </c>
      <c r="F556" t="s">
        <v>22</v>
      </c>
      <c r="G556" t="s">
        <v>19</v>
      </c>
      <c r="H556" t="s">
        <v>16</v>
      </c>
      <c r="I556">
        <f>Table1[[#This Row],[Per unit]]*Table1[[#This Row],[Boxes Shipped]]</f>
        <v>5020</v>
      </c>
    </row>
    <row r="557" spans="1:9" x14ac:dyDescent="0.25">
      <c r="A557" s="2">
        <v>45877</v>
      </c>
      <c r="B557" t="s">
        <v>25</v>
      </c>
      <c r="C557" t="s">
        <v>30</v>
      </c>
      <c r="D557">
        <v>252</v>
      </c>
      <c r="E557" s="3">
        <v>86</v>
      </c>
      <c r="F557" t="s">
        <v>27</v>
      </c>
      <c r="G557" t="s">
        <v>34</v>
      </c>
      <c r="H557" t="s">
        <v>16</v>
      </c>
      <c r="I557">
        <f>Table1[[#This Row],[Per unit]]*Table1[[#This Row],[Boxes Shipped]]</f>
        <v>21672</v>
      </c>
    </row>
    <row r="558" spans="1:9" x14ac:dyDescent="0.25">
      <c r="A558" s="2">
        <v>45768</v>
      </c>
      <c r="B558" t="s">
        <v>42</v>
      </c>
      <c r="C558" t="s">
        <v>24</v>
      </c>
      <c r="D558">
        <v>130</v>
      </c>
      <c r="E558" s="3">
        <v>70</v>
      </c>
      <c r="F558" t="s">
        <v>26</v>
      </c>
      <c r="G558" t="s">
        <v>26</v>
      </c>
      <c r="H558" t="s">
        <v>20</v>
      </c>
      <c r="I558">
        <f>Table1[[#This Row],[Per unit]]*Table1[[#This Row],[Boxes Shipped]]</f>
        <v>9100</v>
      </c>
    </row>
    <row r="559" spans="1:9" x14ac:dyDescent="0.25">
      <c r="A559" s="2">
        <v>45660</v>
      </c>
      <c r="B559" t="s">
        <v>49</v>
      </c>
      <c r="C559" t="s">
        <v>24</v>
      </c>
      <c r="D559">
        <v>154</v>
      </c>
      <c r="E559" s="3">
        <v>39</v>
      </c>
      <c r="F559" t="s">
        <v>28</v>
      </c>
      <c r="G559" t="s">
        <v>26</v>
      </c>
      <c r="H559" t="s">
        <v>29</v>
      </c>
      <c r="I559">
        <f>Table1[[#This Row],[Per unit]]*Table1[[#This Row],[Boxes Shipped]]</f>
        <v>6006</v>
      </c>
    </row>
    <row r="560" spans="1:9" x14ac:dyDescent="0.25">
      <c r="A560" s="2">
        <v>45771</v>
      </c>
      <c r="B560" t="s">
        <v>47</v>
      </c>
      <c r="C560" t="s">
        <v>24</v>
      </c>
      <c r="D560">
        <v>52</v>
      </c>
      <c r="E560" s="3">
        <v>37</v>
      </c>
      <c r="F560" t="s">
        <v>28</v>
      </c>
      <c r="G560" t="s">
        <v>15</v>
      </c>
      <c r="H560" t="s">
        <v>16</v>
      </c>
      <c r="I560">
        <f>Table1[[#This Row],[Per unit]]*Table1[[#This Row],[Boxes Shipped]]</f>
        <v>1924</v>
      </c>
    </row>
    <row r="561" spans="1:9" x14ac:dyDescent="0.25">
      <c r="A561" s="2">
        <v>45761</v>
      </c>
      <c r="B561" t="s">
        <v>39</v>
      </c>
      <c r="C561" t="s">
        <v>24</v>
      </c>
      <c r="D561">
        <v>53</v>
      </c>
      <c r="E561" s="3">
        <v>29</v>
      </c>
      <c r="F561" t="s">
        <v>11</v>
      </c>
      <c r="G561" t="s">
        <v>19</v>
      </c>
      <c r="H561" t="s">
        <v>29</v>
      </c>
      <c r="I561">
        <f>Table1[[#This Row],[Per unit]]*Table1[[#This Row],[Boxes Shipped]]</f>
        <v>1537</v>
      </c>
    </row>
    <row r="562" spans="1:9" x14ac:dyDescent="0.25">
      <c r="A562" s="2">
        <v>45969</v>
      </c>
      <c r="B562" t="s">
        <v>38</v>
      </c>
      <c r="C562" t="s">
        <v>24</v>
      </c>
      <c r="D562">
        <v>50</v>
      </c>
      <c r="E562" s="3">
        <v>35</v>
      </c>
      <c r="F562" t="s">
        <v>32</v>
      </c>
      <c r="G562" t="s">
        <v>19</v>
      </c>
      <c r="H562" t="s">
        <v>20</v>
      </c>
      <c r="I562">
        <f>Table1[[#This Row],[Per unit]]*Table1[[#This Row],[Boxes Shipped]]</f>
        <v>1750</v>
      </c>
    </row>
    <row r="563" spans="1:9" x14ac:dyDescent="0.25">
      <c r="A563" s="2">
        <v>45914</v>
      </c>
      <c r="B563" t="s">
        <v>49</v>
      </c>
      <c r="C563" t="s">
        <v>10</v>
      </c>
      <c r="D563">
        <v>189</v>
      </c>
      <c r="E563" s="3">
        <v>29</v>
      </c>
      <c r="F563" t="s">
        <v>15</v>
      </c>
      <c r="G563" t="s">
        <v>32</v>
      </c>
      <c r="H563" t="s">
        <v>23</v>
      </c>
      <c r="I563">
        <f>Table1[[#This Row],[Per unit]]*Table1[[#This Row],[Boxes Shipped]]</f>
        <v>5481</v>
      </c>
    </row>
    <row r="564" spans="1:9" x14ac:dyDescent="0.25">
      <c r="A564" s="2">
        <v>45811</v>
      </c>
      <c r="B564" t="s">
        <v>35</v>
      </c>
      <c r="C564" t="s">
        <v>24</v>
      </c>
      <c r="D564">
        <v>200</v>
      </c>
      <c r="E564" s="3">
        <v>77</v>
      </c>
      <c r="F564" t="s">
        <v>34</v>
      </c>
      <c r="G564" t="s">
        <v>34</v>
      </c>
      <c r="H564" t="s">
        <v>29</v>
      </c>
      <c r="I564">
        <f>Table1[[#This Row],[Per unit]]*Table1[[#This Row],[Boxes Shipped]]</f>
        <v>15400</v>
      </c>
    </row>
    <row r="565" spans="1:9" x14ac:dyDescent="0.25">
      <c r="A565" s="2">
        <v>45703</v>
      </c>
      <c r="B565" t="s">
        <v>39</v>
      </c>
      <c r="C565" t="s">
        <v>30</v>
      </c>
      <c r="D565">
        <v>361</v>
      </c>
      <c r="E565" s="3">
        <v>37</v>
      </c>
      <c r="F565" t="s">
        <v>11</v>
      </c>
      <c r="G565" t="s">
        <v>22</v>
      </c>
      <c r="H565" t="s">
        <v>29</v>
      </c>
      <c r="I565">
        <f>Table1[[#This Row],[Per unit]]*Table1[[#This Row],[Boxes Shipped]]</f>
        <v>13357</v>
      </c>
    </row>
    <row r="566" spans="1:9" x14ac:dyDescent="0.25">
      <c r="A566" s="2">
        <v>45826</v>
      </c>
      <c r="B566" t="s">
        <v>41</v>
      </c>
      <c r="C566" t="s">
        <v>30</v>
      </c>
      <c r="D566">
        <v>102</v>
      </c>
      <c r="E566" s="3">
        <v>52</v>
      </c>
      <c r="F566" t="s">
        <v>26</v>
      </c>
      <c r="G566" t="s">
        <v>22</v>
      </c>
      <c r="H566" t="s">
        <v>23</v>
      </c>
      <c r="I566">
        <f>Table1[[#This Row],[Per unit]]*Table1[[#This Row],[Boxes Shipped]]</f>
        <v>5304</v>
      </c>
    </row>
    <row r="567" spans="1:9" x14ac:dyDescent="0.25">
      <c r="A567" s="2">
        <v>45814</v>
      </c>
      <c r="B567" t="s">
        <v>35</v>
      </c>
      <c r="C567" t="s">
        <v>10</v>
      </c>
      <c r="D567">
        <v>168</v>
      </c>
      <c r="E567" s="3">
        <v>31</v>
      </c>
      <c r="F567" t="s">
        <v>34</v>
      </c>
      <c r="G567" t="s">
        <v>15</v>
      </c>
      <c r="H567" t="s">
        <v>23</v>
      </c>
      <c r="I567">
        <f>Table1[[#This Row],[Per unit]]*Table1[[#This Row],[Boxes Shipped]]</f>
        <v>5208</v>
      </c>
    </row>
    <row r="568" spans="1:9" x14ac:dyDescent="0.25">
      <c r="A568" s="2">
        <v>45839</v>
      </c>
      <c r="B568" t="s">
        <v>14</v>
      </c>
      <c r="C568" t="s">
        <v>30</v>
      </c>
      <c r="D568">
        <v>55</v>
      </c>
      <c r="E568" s="3">
        <v>26</v>
      </c>
      <c r="F568" t="s">
        <v>11</v>
      </c>
      <c r="G568" t="s">
        <v>15</v>
      </c>
      <c r="H568" t="s">
        <v>20</v>
      </c>
      <c r="I568">
        <f>Table1[[#This Row],[Per unit]]*Table1[[#This Row],[Boxes Shipped]]</f>
        <v>1430</v>
      </c>
    </row>
    <row r="569" spans="1:9" x14ac:dyDescent="0.25">
      <c r="A569" s="2">
        <v>46007</v>
      </c>
      <c r="B569" t="s">
        <v>14</v>
      </c>
      <c r="C569" t="s">
        <v>30</v>
      </c>
      <c r="D569">
        <v>27</v>
      </c>
      <c r="E569" s="3">
        <v>63</v>
      </c>
      <c r="F569" t="s">
        <v>15</v>
      </c>
      <c r="G569" t="s">
        <v>27</v>
      </c>
      <c r="H569" t="s">
        <v>29</v>
      </c>
      <c r="I569">
        <f>Table1[[#This Row],[Per unit]]*Table1[[#This Row],[Boxes Shipped]]</f>
        <v>1701</v>
      </c>
    </row>
    <row r="570" spans="1:9" x14ac:dyDescent="0.25">
      <c r="A570" s="2">
        <v>45850</v>
      </c>
      <c r="B570" t="s">
        <v>45</v>
      </c>
      <c r="C570" t="s">
        <v>21</v>
      </c>
      <c r="D570">
        <v>7</v>
      </c>
      <c r="E570" s="3">
        <v>38</v>
      </c>
      <c r="F570" t="s">
        <v>26</v>
      </c>
      <c r="G570" t="s">
        <v>15</v>
      </c>
      <c r="H570" t="s">
        <v>20</v>
      </c>
      <c r="I570">
        <f>Table1[[#This Row],[Per unit]]*Table1[[#This Row],[Boxes Shipped]]</f>
        <v>266</v>
      </c>
    </row>
    <row r="571" spans="1:9" x14ac:dyDescent="0.25">
      <c r="A571" s="2">
        <v>45901</v>
      </c>
      <c r="B571" t="s">
        <v>37</v>
      </c>
      <c r="C571" t="s">
        <v>30</v>
      </c>
      <c r="D571">
        <v>301</v>
      </c>
      <c r="E571" s="3">
        <v>58</v>
      </c>
      <c r="F571" t="s">
        <v>34</v>
      </c>
      <c r="G571" t="s">
        <v>15</v>
      </c>
      <c r="H571" t="s">
        <v>20</v>
      </c>
      <c r="I571">
        <f>Table1[[#This Row],[Per unit]]*Table1[[#This Row],[Boxes Shipped]]</f>
        <v>17458</v>
      </c>
    </row>
    <row r="572" spans="1:9" x14ac:dyDescent="0.25">
      <c r="A572" s="2">
        <v>45965</v>
      </c>
      <c r="B572" t="s">
        <v>46</v>
      </c>
      <c r="C572" t="s">
        <v>24</v>
      </c>
      <c r="D572">
        <v>134</v>
      </c>
      <c r="E572" s="3">
        <v>46</v>
      </c>
      <c r="F572" t="s">
        <v>15</v>
      </c>
      <c r="G572" t="s">
        <v>19</v>
      </c>
      <c r="H572" t="s">
        <v>13</v>
      </c>
      <c r="I572">
        <f>Table1[[#This Row],[Per unit]]*Table1[[#This Row],[Boxes Shipped]]</f>
        <v>6164</v>
      </c>
    </row>
    <row r="573" spans="1:9" x14ac:dyDescent="0.25">
      <c r="A573" s="2">
        <v>45842</v>
      </c>
      <c r="B573" t="s">
        <v>35</v>
      </c>
      <c r="C573" t="s">
        <v>24</v>
      </c>
      <c r="D573">
        <v>350</v>
      </c>
      <c r="E573" s="3">
        <v>92</v>
      </c>
      <c r="F573" t="s">
        <v>11</v>
      </c>
      <c r="G573" t="s">
        <v>26</v>
      </c>
      <c r="H573" t="s">
        <v>20</v>
      </c>
      <c r="I573">
        <f>Table1[[#This Row],[Per unit]]*Table1[[#This Row],[Boxes Shipped]]</f>
        <v>32200</v>
      </c>
    </row>
    <row r="574" spans="1:9" x14ac:dyDescent="0.25">
      <c r="A574" s="2">
        <v>45814</v>
      </c>
      <c r="B574" t="s">
        <v>25</v>
      </c>
      <c r="C574" t="s">
        <v>17</v>
      </c>
      <c r="D574">
        <v>33</v>
      </c>
      <c r="E574" s="3">
        <v>32</v>
      </c>
      <c r="F574" t="s">
        <v>15</v>
      </c>
      <c r="G574" t="s">
        <v>28</v>
      </c>
      <c r="H574" t="s">
        <v>13</v>
      </c>
      <c r="I574">
        <f>Table1[[#This Row],[Per unit]]*Table1[[#This Row],[Boxes Shipped]]</f>
        <v>1056</v>
      </c>
    </row>
    <row r="575" spans="1:9" x14ac:dyDescent="0.25">
      <c r="A575" s="2">
        <v>45851</v>
      </c>
      <c r="B575" t="s">
        <v>43</v>
      </c>
      <c r="C575" t="s">
        <v>17</v>
      </c>
      <c r="D575">
        <v>23</v>
      </c>
      <c r="E575" s="3">
        <v>90</v>
      </c>
      <c r="F575" t="s">
        <v>11</v>
      </c>
      <c r="G575" t="s">
        <v>26</v>
      </c>
      <c r="H575" t="s">
        <v>29</v>
      </c>
      <c r="I575">
        <f>Table1[[#This Row],[Per unit]]*Table1[[#This Row],[Boxes Shipped]]</f>
        <v>2070</v>
      </c>
    </row>
    <row r="576" spans="1:9" x14ac:dyDescent="0.25">
      <c r="A576" s="2">
        <v>45879</v>
      </c>
      <c r="B576" t="s">
        <v>47</v>
      </c>
      <c r="C576" t="s">
        <v>17</v>
      </c>
      <c r="D576">
        <v>201</v>
      </c>
      <c r="E576" s="3">
        <v>23</v>
      </c>
      <c r="F576" t="s">
        <v>15</v>
      </c>
      <c r="G576" t="s">
        <v>32</v>
      </c>
      <c r="H576" t="s">
        <v>16</v>
      </c>
      <c r="I576">
        <f>Table1[[#This Row],[Per unit]]*Table1[[#This Row],[Boxes Shipped]]</f>
        <v>4623</v>
      </c>
    </row>
    <row r="577" spans="1:9" x14ac:dyDescent="0.25">
      <c r="A577" s="2">
        <v>45717</v>
      </c>
      <c r="B577" t="s">
        <v>47</v>
      </c>
      <c r="C577" t="s">
        <v>10</v>
      </c>
      <c r="D577">
        <v>323</v>
      </c>
      <c r="E577" s="3">
        <v>25</v>
      </c>
      <c r="F577" t="s">
        <v>15</v>
      </c>
      <c r="G577" t="s">
        <v>22</v>
      </c>
      <c r="H577" t="s">
        <v>16</v>
      </c>
      <c r="I577">
        <f>Table1[[#This Row],[Per unit]]*Table1[[#This Row],[Boxes Shipped]]</f>
        <v>8075</v>
      </c>
    </row>
    <row r="578" spans="1:9" x14ac:dyDescent="0.25">
      <c r="A578" s="2">
        <v>45993</v>
      </c>
      <c r="B578" t="s">
        <v>46</v>
      </c>
      <c r="C578" t="s">
        <v>24</v>
      </c>
      <c r="D578">
        <v>220</v>
      </c>
      <c r="E578" s="3">
        <v>54</v>
      </c>
      <c r="F578" t="s">
        <v>19</v>
      </c>
      <c r="G578" t="s">
        <v>34</v>
      </c>
      <c r="H578" t="s">
        <v>13</v>
      </c>
      <c r="I578">
        <f>Table1[[#This Row],[Per unit]]*Table1[[#This Row],[Boxes Shipped]]</f>
        <v>11880</v>
      </c>
    </row>
    <row r="579" spans="1:9" x14ac:dyDescent="0.25">
      <c r="A579" s="2">
        <v>45955</v>
      </c>
      <c r="B579" t="s">
        <v>50</v>
      </c>
      <c r="C579" t="s">
        <v>10</v>
      </c>
      <c r="D579">
        <v>488</v>
      </c>
      <c r="E579" s="3">
        <v>72</v>
      </c>
      <c r="F579" t="s">
        <v>15</v>
      </c>
      <c r="G579" t="s">
        <v>26</v>
      </c>
      <c r="H579" t="s">
        <v>29</v>
      </c>
      <c r="I579">
        <f>Table1[[#This Row],[Per unit]]*Table1[[#This Row],[Boxes Shipped]]</f>
        <v>35136</v>
      </c>
    </row>
    <row r="580" spans="1:9" x14ac:dyDescent="0.25">
      <c r="A580" s="2">
        <v>45934</v>
      </c>
      <c r="B580" t="s">
        <v>40</v>
      </c>
      <c r="C580" t="s">
        <v>10</v>
      </c>
      <c r="D580">
        <v>91</v>
      </c>
      <c r="E580" s="3">
        <v>57</v>
      </c>
      <c r="F580" t="s">
        <v>26</v>
      </c>
      <c r="G580" t="s">
        <v>12</v>
      </c>
      <c r="H580" t="s">
        <v>23</v>
      </c>
      <c r="I580">
        <f>Table1[[#This Row],[Per unit]]*Table1[[#This Row],[Boxes Shipped]]</f>
        <v>5187</v>
      </c>
    </row>
    <row r="581" spans="1:9" x14ac:dyDescent="0.25">
      <c r="A581" s="2">
        <v>45844</v>
      </c>
      <c r="B581" t="s">
        <v>31</v>
      </c>
      <c r="C581" t="s">
        <v>24</v>
      </c>
      <c r="D581">
        <v>126</v>
      </c>
      <c r="E581" s="3">
        <v>41</v>
      </c>
      <c r="F581" t="s">
        <v>15</v>
      </c>
      <c r="G581" t="s">
        <v>32</v>
      </c>
      <c r="H581" t="s">
        <v>23</v>
      </c>
      <c r="I581">
        <f>Table1[[#This Row],[Per unit]]*Table1[[#This Row],[Boxes Shipped]]</f>
        <v>5166</v>
      </c>
    </row>
    <row r="582" spans="1:9" x14ac:dyDescent="0.25">
      <c r="A582" s="2">
        <v>45910</v>
      </c>
      <c r="B582" t="s">
        <v>46</v>
      </c>
      <c r="C582" t="s">
        <v>17</v>
      </c>
      <c r="D582">
        <v>60</v>
      </c>
      <c r="E582" s="3">
        <v>86</v>
      </c>
      <c r="F582" t="s">
        <v>12</v>
      </c>
      <c r="G582" t="s">
        <v>19</v>
      </c>
      <c r="H582" t="s">
        <v>23</v>
      </c>
      <c r="I582">
        <f>Table1[[#This Row],[Per unit]]*Table1[[#This Row],[Boxes Shipped]]</f>
        <v>5160</v>
      </c>
    </row>
    <row r="583" spans="1:9" x14ac:dyDescent="0.25">
      <c r="A583" s="2">
        <v>45976</v>
      </c>
      <c r="B583" t="s">
        <v>35</v>
      </c>
      <c r="C583" t="s">
        <v>17</v>
      </c>
      <c r="D583">
        <v>7</v>
      </c>
      <c r="E583" s="3">
        <v>85</v>
      </c>
      <c r="F583" t="s">
        <v>32</v>
      </c>
      <c r="G583" t="s">
        <v>22</v>
      </c>
      <c r="H583" t="s">
        <v>20</v>
      </c>
      <c r="I583">
        <f>Table1[[#This Row],[Per unit]]*Table1[[#This Row],[Boxes Shipped]]</f>
        <v>595</v>
      </c>
    </row>
    <row r="584" spans="1:9" x14ac:dyDescent="0.25">
      <c r="A584" s="2">
        <v>45796</v>
      </c>
      <c r="B584" t="s">
        <v>36</v>
      </c>
      <c r="C584" t="s">
        <v>24</v>
      </c>
      <c r="D584">
        <v>88</v>
      </c>
      <c r="E584" s="3">
        <v>100</v>
      </c>
      <c r="F584" t="s">
        <v>11</v>
      </c>
      <c r="G584" t="s">
        <v>34</v>
      </c>
      <c r="H584" t="s">
        <v>29</v>
      </c>
      <c r="I584">
        <f>Table1[[#This Row],[Per unit]]*Table1[[#This Row],[Boxes Shipped]]</f>
        <v>8800</v>
      </c>
    </row>
    <row r="585" spans="1:9" x14ac:dyDescent="0.25">
      <c r="A585" s="2">
        <v>45727</v>
      </c>
      <c r="B585" t="s">
        <v>49</v>
      </c>
      <c r="C585" t="s">
        <v>10</v>
      </c>
      <c r="D585">
        <v>275</v>
      </c>
      <c r="E585" s="3">
        <v>72</v>
      </c>
      <c r="F585" t="s">
        <v>34</v>
      </c>
      <c r="G585" t="s">
        <v>32</v>
      </c>
      <c r="H585" t="s">
        <v>29</v>
      </c>
      <c r="I585">
        <f>Table1[[#This Row],[Per unit]]*Table1[[#This Row],[Boxes Shipped]]</f>
        <v>19800</v>
      </c>
    </row>
    <row r="586" spans="1:9" x14ac:dyDescent="0.25">
      <c r="A586" s="2">
        <v>46021</v>
      </c>
      <c r="B586" t="s">
        <v>36</v>
      </c>
      <c r="C586" t="s">
        <v>17</v>
      </c>
      <c r="D586">
        <v>512</v>
      </c>
      <c r="E586" s="3">
        <v>57</v>
      </c>
      <c r="F586" t="s">
        <v>19</v>
      </c>
      <c r="G586" t="s">
        <v>11</v>
      </c>
      <c r="H586" t="s">
        <v>13</v>
      </c>
      <c r="I586">
        <f>Table1[[#This Row],[Per unit]]*Table1[[#This Row],[Boxes Shipped]]</f>
        <v>29184</v>
      </c>
    </row>
    <row r="587" spans="1:9" x14ac:dyDescent="0.25">
      <c r="A587" s="2">
        <v>45811</v>
      </c>
      <c r="B587" t="s">
        <v>31</v>
      </c>
      <c r="C587" t="s">
        <v>17</v>
      </c>
      <c r="D587">
        <v>113</v>
      </c>
      <c r="E587" s="3">
        <v>94</v>
      </c>
      <c r="F587" t="s">
        <v>19</v>
      </c>
      <c r="G587" t="s">
        <v>12</v>
      </c>
      <c r="H587" t="s">
        <v>16</v>
      </c>
      <c r="I587">
        <f>Table1[[#This Row],[Per unit]]*Table1[[#This Row],[Boxes Shipped]]</f>
        <v>10622</v>
      </c>
    </row>
    <row r="588" spans="1:9" x14ac:dyDescent="0.25">
      <c r="A588" s="2">
        <v>45851</v>
      </c>
      <c r="B588" t="s">
        <v>44</v>
      </c>
      <c r="C588" t="s">
        <v>10</v>
      </c>
      <c r="D588">
        <v>275</v>
      </c>
      <c r="E588" s="3">
        <v>34</v>
      </c>
      <c r="F588" t="s">
        <v>15</v>
      </c>
      <c r="G588" t="s">
        <v>11</v>
      </c>
      <c r="H588" t="s">
        <v>16</v>
      </c>
      <c r="I588">
        <f>Table1[[#This Row],[Per unit]]*Table1[[#This Row],[Boxes Shipped]]</f>
        <v>9350</v>
      </c>
    </row>
    <row r="589" spans="1:9" x14ac:dyDescent="0.25">
      <c r="A589" s="2">
        <v>45956</v>
      </c>
      <c r="B589" t="s">
        <v>46</v>
      </c>
      <c r="C589" t="s">
        <v>10</v>
      </c>
      <c r="D589">
        <v>47</v>
      </c>
      <c r="E589" s="3">
        <v>89</v>
      </c>
      <c r="F589" t="s">
        <v>12</v>
      </c>
      <c r="G589" t="s">
        <v>19</v>
      </c>
      <c r="H589" t="s">
        <v>16</v>
      </c>
      <c r="I589">
        <f>Table1[[#This Row],[Per unit]]*Table1[[#This Row],[Boxes Shipped]]</f>
        <v>4183</v>
      </c>
    </row>
    <row r="590" spans="1:9" x14ac:dyDescent="0.25">
      <c r="A590" s="2">
        <v>45819</v>
      </c>
      <c r="B590" t="s">
        <v>39</v>
      </c>
      <c r="C590" t="s">
        <v>17</v>
      </c>
      <c r="D590">
        <v>276</v>
      </c>
      <c r="E590" s="3">
        <v>27</v>
      </c>
      <c r="F590" t="s">
        <v>26</v>
      </c>
      <c r="G590" t="s">
        <v>27</v>
      </c>
      <c r="H590" t="s">
        <v>29</v>
      </c>
      <c r="I590">
        <f>Table1[[#This Row],[Per unit]]*Table1[[#This Row],[Boxes Shipped]]</f>
        <v>7452</v>
      </c>
    </row>
    <row r="591" spans="1:9" x14ac:dyDescent="0.25">
      <c r="A591" s="2">
        <v>45704</v>
      </c>
      <c r="B591" t="s">
        <v>45</v>
      </c>
      <c r="C591" t="s">
        <v>21</v>
      </c>
      <c r="D591">
        <v>212</v>
      </c>
      <c r="E591" s="3">
        <v>63</v>
      </c>
      <c r="F591" t="s">
        <v>26</v>
      </c>
      <c r="G591" t="s">
        <v>32</v>
      </c>
      <c r="H591" t="s">
        <v>20</v>
      </c>
      <c r="I591">
        <f>Table1[[#This Row],[Per unit]]*Table1[[#This Row],[Boxes Shipped]]</f>
        <v>13356</v>
      </c>
    </row>
    <row r="592" spans="1:9" x14ac:dyDescent="0.25">
      <c r="A592" s="2">
        <v>45800</v>
      </c>
      <c r="B592" t="s">
        <v>35</v>
      </c>
      <c r="C592" t="s">
        <v>30</v>
      </c>
      <c r="D592">
        <v>145</v>
      </c>
      <c r="E592" s="3">
        <v>70</v>
      </c>
      <c r="F592" t="s">
        <v>12</v>
      </c>
      <c r="G592" t="s">
        <v>19</v>
      </c>
      <c r="H592" t="s">
        <v>20</v>
      </c>
      <c r="I592">
        <f>Table1[[#This Row],[Per unit]]*Table1[[#This Row],[Boxes Shipped]]</f>
        <v>10150</v>
      </c>
    </row>
    <row r="593" spans="1:9" x14ac:dyDescent="0.25">
      <c r="A593" s="2">
        <v>45773</v>
      </c>
      <c r="B593" t="s">
        <v>14</v>
      </c>
      <c r="C593" t="s">
        <v>21</v>
      </c>
      <c r="D593">
        <v>31</v>
      </c>
      <c r="E593" s="3">
        <v>87</v>
      </c>
      <c r="F593" t="s">
        <v>34</v>
      </c>
      <c r="G593" t="s">
        <v>15</v>
      </c>
      <c r="H593" t="s">
        <v>13</v>
      </c>
      <c r="I593">
        <f>Table1[[#This Row],[Per unit]]*Table1[[#This Row],[Boxes Shipped]]</f>
        <v>2697</v>
      </c>
    </row>
    <row r="594" spans="1:9" x14ac:dyDescent="0.25">
      <c r="A594" s="2">
        <v>45782</v>
      </c>
      <c r="B594" t="s">
        <v>50</v>
      </c>
      <c r="C594" t="s">
        <v>17</v>
      </c>
      <c r="D594">
        <v>271</v>
      </c>
      <c r="E594" s="3">
        <v>79</v>
      </c>
      <c r="F594" t="s">
        <v>15</v>
      </c>
      <c r="G594" t="s">
        <v>27</v>
      </c>
      <c r="H594" t="s">
        <v>16</v>
      </c>
      <c r="I594">
        <f>Table1[[#This Row],[Per unit]]*Table1[[#This Row],[Boxes Shipped]]</f>
        <v>21409</v>
      </c>
    </row>
    <row r="595" spans="1:9" x14ac:dyDescent="0.25">
      <c r="A595" s="2">
        <v>45975</v>
      </c>
      <c r="B595" t="s">
        <v>38</v>
      </c>
      <c r="C595" t="s">
        <v>10</v>
      </c>
      <c r="D595">
        <v>160</v>
      </c>
      <c r="E595" s="3">
        <v>32</v>
      </c>
      <c r="F595" t="s">
        <v>28</v>
      </c>
      <c r="G595" t="s">
        <v>28</v>
      </c>
      <c r="H595" t="s">
        <v>23</v>
      </c>
      <c r="I595">
        <f>Table1[[#This Row],[Per unit]]*Table1[[#This Row],[Boxes Shipped]]</f>
        <v>5120</v>
      </c>
    </row>
    <row r="596" spans="1:9" x14ac:dyDescent="0.25">
      <c r="A596" s="2">
        <v>45911</v>
      </c>
      <c r="B596" t="s">
        <v>46</v>
      </c>
      <c r="C596" t="s">
        <v>10</v>
      </c>
      <c r="D596">
        <v>136</v>
      </c>
      <c r="E596" s="3">
        <v>37</v>
      </c>
      <c r="F596" t="s">
        <v>22</v>
      </c>
      <c r="G596" t="s">
        <v>26</v>
      </c>
      <c r="H596" t="s">
        <v>23</v>
      </c>
      <c r="I596">
        <f>Table1[[#This Row],[Per unit]]*Table1[[#This Row],[Boxes Shipped]]</f>
        <v>5032</v>
      </c>
    </row>
    <row r="597" spans="1:9" x14ac:dyDescent="0.25">
      <c r="A597" s="2">
        <v>46017</v>
      </c>
      <c r="B597" t="s">
        <v>41</v>
      </c>
      <c r="C597" t="s">
        <v>21</v>
      </c>
      <c r="D597">
        <v>100</v>
      </c>
      <c r="E597" s="3">
        <v>50</v>
      </c>
      <c r="F597" t="s">
        <v>32</v>
      </c>
      <c r="G597" t="s">
        <v>32</v>
      </c>
      <c r="H597" t="s">
        <v>23</v>
      </c>
      <c r="I597">
        <f>Table1[[#This Row],[Per unit]]*Table1[[#This Row],[Boxes Shipped]]</f>
        <v>5000</v>
      </c>
    </row>
    <row r="598" spans="1:9" x14ac:dyDescent="0.25">
      <c r="A598" s="2">
        <v>45841</v>
      </c>
      <c r="B598" t="s">
        <v>25</v>
      </c>
      <c r="C598" t="s">
        <v>21</v>
      </c>
      <c r="D598">
        <v>256</v>
      </c>
      <c r="E598" s="3">
        <v>90</v>
      </c>
      <c r="F598" t="s">
        <v>15</v>
      </c>
      <c r="G598" t="s">
        <v>15</v>
      </c>
      <c r="H598" t="s">
        <v>20</v>
      </c>
      <c r="I598">
        <f>Table1[[#This Row],[Per unit]]*Table1[[#This Row],[Boxes Shipped]]</f>
        <v>23040</v>
      </c>
    </row>
    <row r="599" spans="1:9" x14ac:dyDescent="0.25">
      <c r="A599" s="2">
        <v>45845</v>
      </c>
      <c r="B599" t="s">
        <v>14</v>
      </c>
      <c r="C599" t="s">
        <v>17</v>
      </c>
      <c r="D599">
        <v>106</v>
      </c>
      <c r="E599" s="3">
        <v>94</v>
      </c>
      <c r="F599" t="s">
        <v>19</v>
      </c>
      <c r="G599" t="s">
        <v>28</v>
      </c>
      <c r="H599" t="s">
        <v>13</v>
      </c>
      <c r="I599">
        <f>Table1[[#This Row],[Per unit]]*Table1[[#This Row],[Boxes Shipped]]</f>
        <v>9964</v>
      </c>
    </row>
    <row r="600" spans="1:9" x14ac:dyDescent="0.25">
      <c r="A600" s="2">
        <v>45845</v>
      </c>
      <c r="B600" t="s">
        <v>45</v>
      </c>
      <c r="C600" t="s">
        <v>24</v>
      </c>
      <c r="D600">
        <v>6</v>
      </c>
      <c r="E600" s="3">
        <v>68</v>
      </c>
      <c r="F600" t="s">
        <v>34</v>
      </c>
      <c r="G600" t="s">
        <v>27</v>
      </c>
      <c r="H600" t="s">
        <v>29</v>
      </c>
      <c r="I600">
        <f>Table1[[#This Row],[Per unit]]*Table1[[#This Row],[Boxes Shipped]]</f>
        <v>408</v>
      </c>
    </row>
    <row r="601" spans="1:9" x14ac:dyDescent="0.25">
      <c r="A601" s="2">
        <v>45710</v>
      </c>
      <c r="B601" t="s">
        <v>38</v>
      </c>
      <c r="C601" t="s">
        <v>21</v>
      </c>
      <c r="D601">
        <v>226</v>
      </c>
      <c r="E601" s="3">
        <v>51</v>
      </c>
      <c r="F601" t="s">
        <v>15</v>
      </c>
      <c r="G601" t="s">
        <v>22</v>
      </c>
      <c r="H601" t="s">
        <v>20</v>
      </c>
      <c r="I601">
        <f>Table1[[#This Row],[Per unit]]*Table1[[#This Row],[Boxes Shipped]]</f>
        <v>11526</v>
      </c>
    </row>
    <row r="602" spans="1:9" x14ac:dyDescent="0.25">
      <c r="A602" s="2">
        <v>45718</v>
      </c>
      <c r="B602" t="s">
        <v>43</v>
      </c>
      <c r="C602" t="s">
        <v>10</v>
      </c>
      <c r="D602">
        <v>121</v>
      </c>
      <c r="E602" s="3">
        <v>33</v>
      </c>
      <c r="F602" t="s">
        <v>27</v>
      </c>
      <c r="G602" t="s">
        <v>34</v>
      </c>
      <c r="H602" t="s">
        <v>16</v>
      </c>
      <c r="I602">
        <f>Table1[[#This Row],[Per unit]]*Table1[[#This Row],[Boxes Shipped]]</f>
        <v>3993</v>
      </c>
    </row>
    <row r="603" spans="1:9" x14ac:dyDescent="0.25">
      <c r="A603" s="2">
        <v>45673</v>
      </c>
      <c r="B603" t="s">
        <v>31</v>
      </c>
      <c r="C603" t="s">
        <v>30</v>
      </c>
      <c r="D603">
        <v>140</v>
      </c>
      <c r="E603" s="3">
        <v>35</v>
      </c>
      <c r="F603" t="s">
        <v>28</v>
      </c>
      <c r="G603" t="s">
        <v>11</v>
      </c>
      <c r="H603" t="s">
        <v>23</v>
      </c>
      <c r="I603">
        <f>Table1[[#This Row],[Per unit]]*Table1[[#This Row],[Boxes Shipped]]</f>
        <v>4900</v>
      </c>
    </row>
    <row r="604" spans="1:9" x14ac:dyDescent="0.25">
      <c r="A604" s="2">
        <v>45767</v>
      </c>
      <c r="B604" t="s">
        <v>46</v>
      </c>
      <c r="C604" t="s">
        <v>10</v>
      </c>
      <c r="D604">
        <v>284</v>
      </c>
      <c r="E604" s="3">
        <v>59</v>
      </c>
      <c r="F604" t="s">
        <v>26</v>
      </c>
      <c r="G604" t="s">
        <v>27</v>
      </c>
      <c r="H604" t="s">
        <v>13</v>
      </c>
      <c r="I604">
        <f>Table1[[#This Row],[Per unit]]*Table1[[#This Row],[Boxes Shipped]]</f>
        <v>16756</v>
      </c>
    </row>
    <row r="605" spans="1:9" x14ac:dyDescent="0.25">
      <c r="A605" s="2">
        <v>45953</v>
      </c>
      <c r="B605" t="s">
        <v>14</v>
      </c>
      <c r="C605" t="s">
        <v>10</v>
      </c>
      <c r="D605">
        <v>89</v>
      </c>
      <c r="E605" s="3">
        <v>30</v>
      </c>
      <c r="F605" t="s">
        <v>15</v>
      </c>
      <c r="G605" t="s">
        <v>19</v>
      </c>
      <c r="H605" t="s">
        <v>13</v>
      </c>
      <c r="I605">
        <f>Table1[[#This Row],[Per unit]]*Table1[[#This Row],[Boxes Shipped]]</f>
        <v>2670</v>
      </c>
    </row>
    <row r="606" spans="1:9" x14ac:dyDescent="0.25">
      <c r="A606" s="2">
        <v>45738</v>
      </c>
      <c r="B606" t="s">
        <v>14</v>
      </c>
      <c r="C606" t="s">
        <v>17</v>
      </c>
      <c r="D606">
        <v>508</v>
      </c>
      <c r="E606" s="3">
        <v>20</v>
      </c>
      <c r="F606" t="s">
        <v>11</v>
      </c>
      <c r="G606" t="s">
        <v>15</v>
      </c>
      <c r="H606" t="s">
        <v>20</v>
      </c>
      <c r="I606">
        <f>Table1[[#This Row],[Per unit]]*Table1[[#This Row],[Boxes Shipped]]</f>
        <v>10160</v>
      </c>
    </row>
    <row r="607" spans="1:9" x14ac:dyDescent="0.25">
      <c r="A607" s="2">
        <v>45903</v>
      </c>
      <c r="B607" t="s">
        <v>31</v>
      </c>
      <c r="C607" t="s">
        <v>24</v>
      </c>
      <c r="D607">
        <v>243</v>
      </c>
      <c r="E607" s="3">
        <v>20</v>
      </c>
      <c r="F607" t="s">
        <v>34</v>
      </c>
      <c r="G607" t="s">
        <v>32</v>
      </c>
      <c r="H607" t="s">
        <v>23</v>
      </c>
      <c r="I607">
        <f>Table1[[#This Row],[Per unit]]*Table1[[#This Row],[Boxes Shipped]]</f>
        <v>4860</v>
      </c>
    </row>
    <row r="608" spans="1:9" x14ac:dyDescent="0.25">
      <c r="A608" s="2">
        <v>45913</v>
      </c>
      <c r="B608" t="s">
        <v>50</v>
      </c>
      <c r="C608" t="s">
        <v>10</v>
      </c>
      <c r="D608">
        <v>170</v>
      </c>
      <c r="E608" s="3">
        <v>24</v>
      </c>
      <c r="F608" t="s">
        <v>28</v>
      </c>
      <c r="G608" t="s">
        <v>19</v>
      </c>
      <c r="H608" t="s">
        <v>13</v>
      </c>
      <c r="I608">
        <f>Table1[[#This Row],[Per unit]]*Table1[[#This Row],[Boxes Shipped]]</f>
        <v>4080</v>
      </c>
    </row>
    <row r="609" spans="1:9" x14ac:dyDescent="0.25">
      <c r="A609" s="2">
        <v>46021</v>
      </c>
      <c r="B609" t="s">
        <v>18</v>
      </c>
      <c r="C609" t="s">
        <v>30</v>
      </c>
      <c r="D609">
        <v>18</v>
      </c>
      <c r="E609" s="3">
        <v>88</v>
      </c>
      <c r="F609" t="s">
        <v>19</v>
      </c>
      <c r="G609" t="s">
        <v>26</v>
      </c>
      <c r="H609" t="s">
        <v>16</v>
      </c>
      <c r="I609">
        <f>Table1[[#This Row],[Per unit]]*Table1[[#This Row],[Boxes Shipped]]</f>
        <v>1584</v>
      </c>
    </row>
    <row r="610" spans="1:9" x14ac:dyDescent="0.25">
      <c r="A610" s="2">
        <v>46009</v>
      </c>
      <c r="B610" t="s">
        <v>35</v>
      </c>
      <c r="C610" t="s">
        <v>17</v>
      </c>
      <c r="D610">
        <v>105</v>
      </c>
      <c r="E610" s="3">
        <v>45</v>
      </c>
      <c r="F610" t="s">
        <v>34</v>
      </c>
      <c r="G610" t="s">
        <v>15</v>
      </c>
      <c r="H610" t="s">
        <v>23</v>
      </c>
      <c r="I610">
        <f>Table1[[#This Row],[Per unit]]*Table1[[#This Row],[Boxes Shipped]]</f>
        <v>4725</v>
      </c>
    </row>
    <row r="611" spans="1:9" x14ac:dyDescent="0.25">
      <c r="A611" s="2">
        <v>45974</v>
      </c>
      <c r="B611" t="s">
        <v>31</v>
      </c>
      <c r="C611" t="s">
        <v>21</v>
      </c>
      <c r="D611">
        <v>212</v>
      </c>
      <c r="E611" s="3">
        <v>57</v>
      </c>
      <c r="F611" t="s">
        <v>12</v>
      </c>
      <c r="G611" t="s">
        <v>26</v>
      </c>
      <c r="H611" t="s">
        <v>29</v>
      </c>
      <c r="I611">
        <f>Table1[[#This Row],[Per unit]]*Table1[[#This Row],[Boxes Shipped]]</f>
        <v>12084</v>
      </c>
    </row>
    <row r="612" spans="1:9" x14ac:dyDescent="0.25">
      <c r="A612" s="2">
        <v>45885</v>
      </c>
      <c r="B612" t="s">
        <v>46</v>
      </c>
      <c r="C612" t="s">
        <v>24</v>
      </c>
      <c r="D612">
        <v>126</v>
      </c>
      <c r="E612" s="3">
        <v>93</v>
      </c>
      <c r="F612" t="s">
        <v>34</v>
      </c>
      <c r="G612" t="s">
        <v>26</v>
      </c>
      <c r="H612" t="s">
        <v>20</v>
      </c>
      <c r="I612">
        <f>Table1[[#This Row],[Per unit]]*Table1[[#This Row],[Boxes Shipped]]</f>
        <v>11718</v>
      </c>
    </row>
    <row r="613" spans="1:9" x14ac:dyDescent="0.25">
      <c r="A613" s="2">
        <v>45829</v>
      </c>
      <c r="B613" t="s">
        <v>31</v>
      </c>
      <c r="C613" t="s">
        <v>10</v>
      </c>
      <c r="D613">
        <v>11</v>
      </c>
      <c r="E613" s="3">
        <v>42</v>
      </c>
      <c r="F613" t="s">
        <v>28</v>
      </c>
      <c r="G613" t="s">
        <v>27</v>
      </c>
      <c r="H613" t="s">
        <v>20</v>
      </c>
      <c r="I613">
        <f>Table1[[#This Row],[Per unit]]*Table1[[#This Row],[Boxes Shipped]]</f>
        <v>462</v>
      </c>
    </row>
    <row r="614" spans="1:9" x14ac:dyDescent="0.25">
      <c r="A614" s="2">
        <v>45806</v>
      </c>
      <c r="B614" t="s">
        <v>35</v>
      </c>
      <c r="C614" t="s">
        <v>21</v>
      </c>
      <c r="D614">
        <v>30</v>
      </c>
      <c r="E614" s="3">
        <v>54</v>
      </c>
      <c r="F614" t="s">
        <v>28</v>
      </c>
      <c r="G614" t="s">
        <v>15</v>
      </c>
      <c r="H614" t="s">
        <v>20</v>
      </c>
      <c r="I614">
        <f>Table1[[#This Row],[Per unit]]*Table1[[#This Row],[Boxes Shipped]]</f>
        <v>1620</v>
      </c>
    </row>
    <row r="615" spans="1:9" x14ac:dyDescent="0.25">
      <c r="A615" s="2">
        <v>45774</v>
      </c>
      <c r="B615" t="s">
        <v>14</v>
      </c>
      <c r="C615" t="s">
        <v>30</v>
      </c>
      <c r="D615">
        <v>51</v>
      </c>
      <c r="E615" s="3">
        <v>70</v>
      </c>
      <c r="F615" t="s">
        <v>26</v>
      </c>
      <c r="G615" t="s">
        <v>26</v>
      </c>
      <c r="H615" t="s">
        <v>13</v>
      </c>
      <c r="I615">
        <f>Table1[[#This Row],[Per unit]]*Table1[[#This Row],[Boxes Shipped]]</f>
        <v>3570</v>
      </c>
    </row>
    <row r="616" spans="1:9" x14ac:dyDescent="0.25">
      <c r="A616" s="2">
        <v>46002</v>
      </c>
      <c r="B616" t="s">
        <v>45</v>
      </c>
      <c r="C616" t="s">
        <v>30</v>
      </c>
      <c r="D616">
        <v>92</v>
      </c>
      <c r="E616" s="3">
        <v>31</v>
      </c>
      <c r="F616" t="s">
        <v>28</v>
      </c>
      <c r="G616" t="s">
        <v>34</v>
      </c>
      <c r="H616" t="s">
        <v>13</v>
      </c>
      <c r="I616">
        <f>Table1[[#This Row],[Per unit]]*Table1[[#This Row],[Boxes Shipped]]</f>
        <v>2852</v>
      </c>
    </row>
    <row r="617" spans="1:9" x14ac:dyDescent="0.25">
      <c r="A617" s="2">
        <v>45663</v>
      </c>
      <c r="B617" t="s">
        <v>49</v>
      </c>
      <c r="C617" t="s">
        <v>21</v>
      </c>
      <c r="D617">
        <v>101</v>
      </c>
      <c r="E617" s="3">
        <v>93</v>
      </c>
      <c r="F617" t="s">
        <v>32</v>
      </c>
      <c r="G617" t="s">
        <v>19</v>
      </c>
      <c r="H617" t="s">
        <v>20</v>
      </c>
      <c r="I617">
        <f>Table1[[#This Row],[Per unit]]*Table1[[#This Row],[Boxes Shipped]]</f>
        <v>9393</v>
      </c>
    </row>
    <row r="618" spans="1:9" x14ac:dyDescent="0.25">
      <c r="A618" s="2">
        <v>45842</v>
      </c>
      <c r="B618" t="s">
        <v>9</v>
      </c>
      <c r="C618" t="s">
        <v>30</v>
      </c>
      <c r="D618">
        <v>159</v>
      </c>
      <c r="E618" s="3">
        <v>32</v>
      </c>
      <c r="F618" t="s">
        <v>11</v>
      </c>
      <c r="G618" t="s">
        <v>28</v>
      </c>
      <c r="H618" t="s">
        <v>16</v>
      </c>
      <c r="I618">
        <f>Table1[[#This Row],[Per unit]]*Table1[[#This Row],[Boxes Shipped]]</f>
        <v>5088</v>
      </c>
    </row>
    <row r="619" spans="1:9" x14ac:dyDescent="0.25">
      <c r="A619" s="2">
        <v>45756</v>
      </c>
      <c r="B619" t="s">
        <v>40</v>
      </c>
      <c r="C619" t="s">
        <v>10</v>
      </c>
      <c r="D619">
        <v>78</v>
      </c>
      <c r="E619" s="3">
        <v>60</v>
      </c>
      <c r="F619" t="s">
        <v>22</v>
      </c>
      <c r="G619" t="s">
        <v>22</v>
      </c>
      <c r="H619" t="s">
        <v>23</v>
      </c>
      <c r="I619">
        <f>Table1[[#This Row],[Per unit]]*Table1[[#This Row],[Boxes Shipped]]</f>
        <v>4680</v>
      </c>
    </row>
    <row r="620" spans="1:9" x14ac:dyDescent="0.25">
      <c r="A620" s="2">
        <v>45960</v>
      </c>
      <c r="B620" t="s">
        <v>38</v>
      </c>
      <c r="C620" t="s">
        <v>21</v>
      </c>
      <c r="D620">
        <v>22</v>
      </c>
      <c r="E620" s="3">
        <v>68</v>
      </c>
      <c r="F620" t="s">
        <v>27</v>
      </c>
      <c r="G620" t="s">
        <v>12</v>
      </c>
      <c r="H620" t="s">
        <v>13</v>
      </c>
      <c r="I620">
        <f>Table1[[#This Row],[Per unit]]*Table1[[#This Row],[Boxes Shipped]]</f>
        <v>1496</v>
      </c>
    </row>
    <row r="621" spans="1:9" x14ac:dyDescent="0.25">
      <c r="A621" s="2">
        <v>45765</v>
      </c>
      <c r="B621" t="s">
        <v>33</v>
      </c>
      <c r="C621" t="s">
        <v>17</v>
      </c>
      <c r="D621">
        <v>187</v>
      </c>
      <c r="E621" s="3">
        <v>59</v>
      </c>
      <c r="F621" t="s">
        <v>15</v>
      </c>
      <c r="G621" t="s">
        <v>32</v>
      </c>
      <c r="H621" t="s">
        <v>20</v>
      </c>
      <c r="I621">
        <f>Table1[[#This Row],[Per unit]]*Table1[[#This Row],[Boxes Shipped]]</f>
        <v>11033</v>
      </c>
    </row>
    <row r="622" spans="1:9" x14ac:dyDescent="0.25">
      <c r="A622" s="2">
        <v>45841</v>
      </c>
      <c r="B622" t="s">
        <v>41</v>
      </c>
      <c r="C622" t="s">
        <v>17</v>
      </c>
      <c r="D622">
        <v>200</v>
      </c>
      <c r="E622" s="3">
        <v>36</v>
      </c>
      <c r="F622" t="s">
        <v>27</v>
      </c>
      <c r="G622" t="s">
        <v>19</v>
      </c>
      <c r="H622" t="s">
        <v>20</v>
      </c>
      <c r="I622">
        <f>Table1[[#This Row],[Per unit]]*Table1[[#This Row],[Boxes Shipped]]</f>
        <v>7200</v>
      </c>
    </row>
    <row r="623" spans="1:9" x14ac:dyDescent="0.25">
      <c r="A623" s="2">
        <v>45742</v>
      </c>
      <c r="B623" t="s">
        <v>36</v>
      </c>
      <c r="C623" t="s">
        <v>17</v>
      </c>
      <c r="D623">
        <v>201</v>
      </c>
      <c r="E623" s="3">
        <v>23</v>
      </c>
      <c r="F623" t="s">
        <v>12</v>
      </c>
      <c r="G623" t="s">
        <v>15</v>
      </c>
      <c r="H623" t="s">
        <v>29</v>
      </c>
      <c r="I623">
        <f>Table1[[#This Row],[Per unit]]*Table1[[#This Row],[Boxes Shipped]]</f>
        <v>4623</v>
      </c>
    </row>
    <row r="624" spans="1:9" x14ac:dyDescent="0.25">
      <c r="A624" s="2">
        <v>45669</v>
      </c>
      <c r="B624" t="s">
        <v>48</v>
      </c>
      <c r="C624" t="s">
        <v>30</v>
      </c>
      <c r="D624">
        <v>49</v>
      </c>
      <c r="E624" s="3">
        <v>95</v>
      </c>
      <c r="F624" t="s">
        <v>34</v>
      </c>
      <c r="G624" t="s">
        <v>22</v>
      </c>
      <c r="H624" t="s">
        <v>23</v>
      </c>
      <c r="I624">
        <f>Table1[[#This Row],[Per unit]]*Table1[[#This Row],[Boxes Shipped]]</f>
        <v>4655</v>
      </c>
    </row>
    <row r="625" spans="1:9" x14ac:dyDescent="0.25">
      <c r="A625" s="2">
        <v>45744</v>
      </c>
      <c r="B625" t="s">
        <v>50</v>
      </c>
      <c r="C625" t="s">
        <v>17</v>
      </c>
      <c r="D625">
        <v>67</v>
      </c>
      <c r="E625" s="3">
        <v>68</v>
      </c>
      <c r="F625" t="s">
        <v>32</v>
      </c>
      <c r="G625" t="s">
        <v>32</v>
      </c>
      <c r="H625" t="s">
        <v>23</v>
      </c>
      <c r="I625">
        <f>Table1[[#This Row],[Per unit]]*Table1[[#This Row],[Boxes Shipped]]</f>
        <v>4556</v>
      </c>
    </row>
    <row r="626" spans="1:9" x14ac:dyDescent="0.25">
      <c r="A626" s="2">
        <v>46016</v>
      </c>
      <c r="B626" t="s">
        <v>44</v>
      </c>
      <c r="C626" t="s">
        <v>21</v>
      </c>
      <c r="D626">
        <v>153</v>
      </c>
      <c r="E626" s="3">
        <v>52</v>
      </c>
      <c r="F626" t="s">
        <v>32</v>
      </c>
      <c r="G626" t="s">
        <v>19</v>
      </c>
      <c r="H626" t="s">
        <v>20</v>
      </c>
      <c r="I626">
        <f>Table1[[#This Row],[Per unit]]*Table1[[#This Row],[Boxes Shipped]]</f>
        <v>7956</v>
      </c>
    </row>
    <row r="627" spans="1:9" x14ac:dyDescent="0.25">
      <c r="A627" s="2">
        <v>45730</v>
      </c>
      <c r="B627" t="s">
        <v>46</v>
      </c>
      <c r="C627" t="s">
        <v>10</v>
      </c>
      <c r="D627">
        <v>101</v>
      </c>
      <c r="E627" s="3">
        <v>79</v>
      </c>
      <c r="F627" t="s">
        <v>15</v>
      </c>
      <c r="G627" t="s">
        <v>19</v>
      </c>
      <c r="H627" t="s">
        <v>13</v>
      </c>
      <c r="I627">
        <f>Table1[[#This Row],[Per unit]]*Table1[[#This Row],[Boxes Shipped]]</f>
        <v>7979</v>
      </c>
    </row>
    <row r="628" spans="1:9" x14ac:dyDescent="0.25">
      <c r="A628" s="2">
        <v>45958</v>
      </c>
      <c r="B628" t="s">
        <v>42</v>
      </c>
      <c r="C628" t="s">
        <v>10</v>
      </c>
      <c r="D628">
        <v>137</v>
      </c>
      <c r="E628" s="3">
        <v>68</v>
      </c>
      <c r="F628" t="s">
        <v>15</v>
      </c>
      <c r="G628" t="s">
        <v>12</v>
      </c>
      <c r="H628" t="s">
        <v>16</v>
      </c>
      <c r="I628">
        <f>Table1[[#This Row],[Per unit]]*Table1[[#This Row],[Boxes Shipped]]</f>
        <v>9316</v>
      </c>
    </row>
    <row r="629" spans="1:9" x14ac:dyDescent="0.25">
      <c r="A629" s="2">
        <v>45984</v>
      </c>
      <c r="B629" t="s">
        <v>36</v>
      </c>
      <c r="C629" t="s">
        <v>30</v>
      </c>
      <c r="D629">
        <v>398</v>
      </c>
      <c r="E629" s="3">
        <v>98</v>
      </c>
      <c r="F629" t="s">
        <v>27</v>
      </c>
      <c r="G629" t="s">
        <v>12</v>
      </c>
      <c r="H629" t="s">
        <v>13</v>
      </c>
      <c r="I629">
        <f>Table1[[#This Row],[Per unit]]*Table1[[#This Row],[Boxes Shipped]]</f>
        <v>39004</v>
      </c>
    </row>
    <row r="630" spans="1:9" x14ac:dyDescent="0.25">
      <c r="A630" s="2">
        <v>45959</v>
      </c>
      <c r="B630" t="s">
        <v>48</v>
      </c>
      <c r="C630" t="s">
        <v>17</v>
      </c>
      <c r="D630">
        <v>88</v>
      </c>
      <c r="E630" s="3">
        <v>83</v>
      </c>
      <c r="F630" t="s">
        <v>26</v>
      </c>
      <c r="G630" t="s">
        <v>27</v>
      </c>
      <c r="H630" t="s">
        <v>16</v>
      </c>
      <c r="I630">
        <f>Table1[[#This Row],[Per unit]]*Table1[[#This Row],[Boxes Shipped]]</f>
        <v>7304</v>
      </c>
    </row>
    <row r="631" spans="1:9" x14ac:dyDescent="0.25">
      <c r="A631" s="2">
        <v>45860</v>
      </c>
      <c r="B631" t="s">
        <v>46</v>
      </c>
      <c r="C631" t="s">
        <v>21</v>
      </c>
      <c r="D631">
        <v>232</v>
      </c>
      <c r="E631" s="3">
        <v>83</v>
      </c>
      <c r="F631" t="s">
        <v>22</v>
      </c>
      <c r="G631" t="s">
        <v>15</v>
      </c>
      <c r="H631" t="s">
        <v>13</v>
      </c>
      <c r="I631">
        <f>Table1[[#This Row],[Per unit]]*Table1[[#This Row],[Boxes Shipped]]</f>
        <v>19256</v>
      </c>
    </row>
    <row r="632" spans="1:9" x14ac:dyDescent="0.25">
      <c r="A632" s="2">
        <v>45740</v>
      </c>
      <c r="B632" t="s">
        <v>33</v>
      </c>
      <c r="C632" t="s">
        <v>30</v>
      </c>
      <c r="D632">
        <v>154</v>
      </c>
      <c r="E632" s="3">
        <v>29</v>
      </c>
      <c r="F632" t="s">
        <v>11</v>
      </c>
      <c r="G632" t="s">
        <v>22</v>
      </c>
      <c r="H632" t="s">
        <v>23</v>
      </c>
      <c r="I632">
        <f>Table1[[#This Row],[Per unit]]*Table1[[#This Row],[Boxes Shipped]]</f>
        <v>4466</v>
      </c>
    </row>
    <row r="633" spans="1:9" x14ac:dyDescent="0.25">
      <c r="A633" s="2">
        <v>45996</v>
      </c>
      <c r="B633" t="s">
        <v>33</v>
      </c>
      <c r="C633" t="s">
        <v>17</v>
      </c>
      <c r="D633">
        <v>66</v>
      </c>
      <c r="E633" s="3">
        <v>26</v>
      </c>
      <c r="F633" t="s">
        <v>19</v>
      </c>
      <c r="G633" t="s">
        <v>34</v>
      </c>
      <c r="H633" t="s">
        <v>20</v>
      </c>
      <c r="I633">
        <f>Table1[[#This Row],[Per unit]]*Table1[[#This Row],[Boxes Shipped]]</f>
        <v>1716</v>
      </c>
    </row>
    <row r="634" spans="1:9" x14ac:dyDescent="0.25">
      <c r="A634" s="2">
        <v>45738</v>
      </c>
      <c r="B634" t="s">
        <v>43</v>
      </c>
      <c r="C634" t="s">
        <v>10</v>
      </c>
      <c r="D634">
        <v>124</v>
      </c>
      <c r="E634" s="3">
        <v>76</v>
      </c>
      <c r="F634" t="s">
        <v>12</v>
      </c>
      <c r="G634" t="s">
        <v>34</v>
      </c>
      <c r="H634" t="s">
        <v>20</v>
      </c>
      <c r="I634">
        <f>Table1[[#This Row],[Per unit]]*Table1[[#This Row],[Boxes Shipped]]</f>
        <v>9424</v>
      </c>
    </row>
    <row r="635" spans="1:9" x14ac:dyDescent="0.25">
      <c r="A635" s="2">
        <v>45714</v>
      </c>
      <c r="B635" t="s">
        <v>45</v>
      </c>
      <c r="C635" t="s">
        <v>21</v>
      </c>
      <c r="D635">
        <v>78</v>
      </c>
      <c r="E635" s="3">
        <v>85</v>
      </c>
      <c r="F635" t="s">
        <v>32</v>
      </c>
      <c r="G635" t="s">
        <v>26</v>
      </c>
      <c r="H635" t="s">
        <v>29</v>
      </c>
      <c r="I635">
        <f>Table1[[#This Row],[Per unit]]*Table1[[#This Row],[Boxes Shipped]]</f>
        <v>6630</v>
      </c>
    </row>
    <row r="636" spans="1:9" x14ac:dyDescent="0.25">
      <c r="A636" s="2">
        <v>45928</v>
      </c>
      <c r="B636" t="s">
        <v>42</v>
      </c>
      <c r="C636" t="s">
        <v>30</v>
      </c>
      <c r="D636">
        <v>341</v>
      </c>
      <c r="E636" s="3">
        <v>89</v>
      </c>
      <c r="F636" t="s">
        <v>34</v>
      </c>
      <c r="G636" t="s">
        <v>15</v>
      </c>
      <c r="H636" t="s">
        <v>29</v>
      </c>
      <c r="I636">
        <f>Table1[[#This Row],[Per unit]]*Table1[[#This Row],[Boxes Shipped]]</f>
        <v>30349</v>
      </c>
    </row>
    <row r="637" spans="1:9" x14ac:dyDescent="0.25">
      <c r="A637" s="2">
        <v>46015</v>
      </c>
      <c r="B637" t="s">
        <v>43</v>
      </c>
      <c r="C637" t="s">
        <v>21</v>
      </c>
      <c r="D637">
        <v>114</v>
      </c>
      <c r="E637" s="3">
        <v>41</v>
      </c>
      <c r="F637" t="s">
        <v>15</v>
      </c>
      <c r="G637" t="s">
        <v>19</v>
      </c>
      <c r="H637" t="s">
        <v>13</v>
      </c>
      <c r="I637">
        <f>Table1[[#This Row],[Per unit]]*Table1[[#This Row],[Boxes Shipped]]</f>
        <v>4674</v>
      </c>
    </row>
    <row r="638" spans="1:9" x14ac:dyDescent="0.25">
      <c r="A638" s="2">
        <v>45710</v>
      </c>
      <c r="B638" t="s">
        <v>46</v>
      </c>
      <c r="C638" t="s">
        <v>10</v>
      </c>
      <c r="D638">
        <v>4</v>
      </c>
      <c r="E638" s="3">
        <v>30</v>
      </c>
      <c r="F638" t="s">
        <v>15</v>
      </c>
      <c r="G638" t="s">
        <v>28</v>
      </c>
      <c r="H638" t="s">
        <v>13</v>
      </c>
      <c r="I638">
        <f>Table1[[#This Row],[Per unit]]*Table1[[#This Row],[Boxes Shipped]]</f>
        <v>120</v>
      </c>
    </row>
    <row r="639" spans="1:9" x14ac:dyDescent="0.25">
      <c r="A639" s="2">
        <v>45948</v>
      </c>
      <c r="B639" t="s">
        <v>48</v>
      </c>
      <c r="C639" t="s">
        <v>17</v>
      </c>
      <c r="D639">
        <v>22</v>
      </c>
      <c r="E639" s="3">
        <v>53</v>
      </c>
      <c r="F639" t="s">
        <v>27</v>
      </c>
      <c r="G639" t="s">
        <v>27</v>
      </c>
      <c r="H639" t="s">
        <v>16</v>
      </c>
      <c r="I639">
        <f>Table1[[#This Row],[Per unit]]*Table1[[#This Row],[Boxes Shipped]]</f>
        <v>1166</v>
      </c>
    </row>
    <row r="640" spans="1:9" x14ac:dyDescent="0.25">
      <c r="A640" s="2">
        <v>45860</v>
      </c>
      <c r="B640" t="s">
        <v>18</v>
      </c>
      <c r="C640" t="s">
        <v>17</v>
      </c>
      <c r="D640">
        <v>30</v>
      </c>
      <c r="E640" s="3">
        <v>66</v>
      </c>
      <c r="F640" t="s">
        <v>11</v>
      </c>
      <c r="G640" t="s">
        <v>32</v>
      </c>
      <c r="H640" t="s">
        <v>29</v>
      </c>
      <c r="I640">
        <f>Table1[[#This Row],[Per unit]]*Table1[[#This Row],[Boxes Shipped]]</f>
        <v>1980</v>
      </c>
    </row>
    <row r="641" spans="1:9" x14ac:dyDescent="0.25">
      <c r="A641" s="2">
        <v>45761</v>
      </c>
      <c r="B641" t="s">
        <v>49</v>
      </c>
      <c r="C641" t="s">
        <v>17</v>
      </c>
      <c r="D641">
        <v>351</v>
      </c>
      <c r="E641" s="3">
        <v>33</v>
      </c>
      <c r="F641" t="s">
        <v>26</v>
      </c>
      <c r="G641" t="s">
        <v>22</v>
      </c>
      <c r="H641" t="s">
        <v>13</v>
      </c>
      <c r="I641">
        <f>Table1[[#This Row],[Per unit]]*Table1[[#This Row],[Boxes Shipped]]</f>
        <v>11583</v>
      </c>
    </row>
    <row r="642" spans="1:9" x14ac:dyDescent="0.25">
      <c r="A642" s="2">
        <v>45926</v>
      </c>
      <c r="B642" t="s">
        <v>43</v>
      </c>
      <c r="C642" t="s">
        <v>17</v>
      </c>
      <c r="D642">
        <v>708</v>
      </c>
      <c r="E642" s="3">
        <v>86</v>
      </c>
      <c r="F642" t="s">
        <v>22</v>
      </c>
      <c r="G642" t="s">
        <v>27</v>
      </c>
      <c r="H642" t="s">
        <v>20</v>
      </c>
      <c r="I642">
        <f>Table1[[#This Row],[Per unit]]*Table1[[#This Row],[Boxes Shipped]]</f>
        <v>60888</v>
      </c>
    </row>
    <row r="643" spans="1:9" x14ac:dyDescent="0.25">
      <c r="A643" s="2">
        <v>45795</v>
      </c>
      <c r="B643" t="s">
        <v>42</v>
      </c>
      <c r="C643" t="s">
        <v>24</v>
      </c>
      <c r="D643">
        <v>159</v>
      </c>
      <c r="E643" s="3">
        <v>28</v>
      </c>
      <c r="F643" t="s">
        <v>11</v>
      </c>
      <c r="G643" t="s">
        <v>26</v>
      </c>
      <c r="H643" t="s">
        <v>23</v>
      </c>
      <c r="I643">
        <f>Table1[[#This Row],[Per unit]]*Table1[[#This Row],[Boxes Shipped]]</f>
        <v>4452</v>
      </c>
    </row>
    <row r="644" spans="1:9" x14ac:dyDescent="0.25">
      <c r="A644" s="2">
        <v>45764</v>
      </c>
      <c r="B644" t="s">
        <v>38</v>
      </c>
      <c r="C644" t="s">
        <v>24</v>
      </c>
      <c r="D644">
        <v>356</v>
      </c>
      <c r="E644" s="3">
        <v>62</v>
      </c>
      <c r="F644" t="s">
        <v>15</v>
      </c>
      <c r="G644" t="s">
        <v>15</v>
      </c>
      <c r="H644" t="s">
        <v>13</v>
      </c>
      <c r="I644">
        <f>Table1[[#This Row],[Per unit]]*Table1[[#This Row],[Boxes Shipped]]</f>
        <v>22072</v>
      </c>
    </row>
    <row r="645" spans="1:9" x14ac:dyDescent="0.25">
      <c r="A645" s="2">
        <v>45776</v>
      </c>
      <c r="B645" t="s">
        <v>39</v>
      </c>
      <c r="C645" t="s">
        <v>21</v>
      </c>
      <c r="D645">
        <v>185</v>
      </c>
      <c r="E645" s="3">
        <v>74</v>
      </c>
      <c r="F645" t="s">
        <v>11</v>
      </c>
      <c r="G645" t="s">
        <v>11</v>
      </c>
      <c r="H645" t="s">
        <v>16</v>
      </c>
      <c r="I645">
        <f>Table1[[#This Row],[Per unit]]*Table1[[#This Row],[Boxes Shipped]]</f>
        <v>13690</v>
      </c>
    </row>
    <row r="646" spans="1:9" x14ac:dyDescent="0.25">
      <c r="A646" s="2">
        <v>45729</v>
      </c>
      <c r="B646" t="s">
        <v>45</v>
      </c>
      <c r="C646" t="s">
        <v>10</v>
      </c>
      <c r="D646">
        <v>236</v>
      </c>
      <c r="E646" s="3">
        <v>95</v>
      </c>
      <c r="F646" t="s">
        <v>28</v>
      </c>
      <c r="G646" t="s">
        <v>22</v>
      </c>
      <c r="H646" t="s">
        <v>20</v>
      </c>
      <c r="I646">
        <f>Table1[[#This Row],[Per unit]]*Table1[[#This Row],[Boxes Shipped]]</f>
        <v>22420</v>
      </c>
    </row>
    <row r="647" spans="1:9" x14ac:dyDescent="0.25">
      <c r="A647" s="2">
        <v>45780</v>
      </c>
      <c r="B647" t="s">
        <v>40</v>
      </c>
      <c r="C647" t="s">
        <v>30</v>
      </c>
      <c r="D647">
        <v>30</v>
      </c>
      <c r="E647" s="3">
        <v>25</v>
      </c>
      <c r="F647" t="s">
        <v>26</v>
      </c>
      <c r="G647" t="s">
        <v>15</v>
      </c>
      <c r="H647" t="s">
        <v>13</v>
      </c>
      <c r="I647">
        <f>Table1[[#This Row],[Per unit]]*Table1[[#This Row],[Boxes Shipped]]</f>
        <v>750</v>
      </c>
    </row>
    <row r="648" spans="1:9" x14ac:dyDescent="0.25">
      <c r="A648" s="2">
        <v>45666</v>
      </c>
      <c r="B648" t="s">
        <v>33</v>
      </c>
      <c r="C648" t="s">
        <v>10</v>
      </c>
      <c r="D648">
        <v>111</v>
      </c>
      <c r="E648" s="3">
        <v>59</v>
      </c>
      <c r="F648" t="s">
        <v>32</v>
      </c>
      <c r="G648" t="s">
        <v>27</v>
      </c>
      <c r="H648" t="s">
        <v>20</v>
      </c>
      <c r="I648">
        <f>Table1[[#This Row],[Per unit]]*Table1[[#This Row],[Boxes Shipped]]</f>
        <v>6549</v>
      </c>
    </row>
    <row r="649" spans="1:9" x14ac:dyDescent="0.25">
      <c r="A649" s="2">
        <v>45739</v>
      </c>
      <c r="B649" t="s">
        <v>9</v>
      </c>
      <c r="C649" t="s">
        <v>21</v>
      </c>
      <c r="D649">
        <v>289</v>
      </c>
      <c r="E649" s="3">
        <v>29</v>
      </c>
      <c r="F649" t="s">
        <v>32</v>
      </c>
      <c r="G649" t="s">
        <v>28</v>
      </c>
      <c r="H649" t="s">
        <v>16</v>
      </c>
      <c r="I649">
        <f>Table1[[#This Row],[Per unit]]*Table1[[#This Row],[Boxes Shipped]]</f>
        <v>8381</v>
      </c>
    </row>
    <row r="650" spans="1:9" x14ac:dyDescent="0.25">
      <c r="A650" s="2">
        <v>45884</v>
      </c>
      <c r="B650" t="s">
        <v>50</v>
      </c>
      <c r="C650" t="s">
        <v>30</v>
      </c>
      <c r="D650">
        <v>103</v>
      </c>
      <c r="E650" s="3">
        <v>36</v>
      </c>
      <c r="F650" t="s">
        <v>26</v>
      </c>
      <c r="G650" t="s">
        <v>28</v>
      </c>
      <c r="H650" t="s">
        <v>16</v>
      </c>
      <c r="I650">
        <f>Table1[[#This Row],[Per unit]]*Table1[[#This Row],[Boxes Shipped]]</f>
        <v>3708</v>
      </c>
    </row>
    <row r="651" spans="1:9" x14ac:dyDescent="0.25">
      <c r="A651" s="2">
        <v>45826</v>
      </c>
      <c r="B651" t="s">
        <v>43</v>
      </c>
      <c r="C651" t="s">
        <v>10</v>
      </c>
      <c r="D651">
        <v>78</v>
      </c>
      <c r="E651" s="3">
        <v>57</v>
      </c>
      <c r="F651" t="s">
        <v>26</v>
      </c>
      <c r="G651" t="s">
        <v>22</v>
      </c>
      <c r="H651" t="s">
        <v>23</v>
      </c>
      <c r="I651">
        <f>Table1[[#This Row],[Per unit]]*Table1[[#This Row],[Boxes Shipped]]</f>
        <v>4446</v>
      </c>
    </row>
    <row r="652" spans="1:9" x14ac:dyDescent="0.25">
      <c r="A652" s="2">
        <v>45942</v>
      </c>
      <c r="B652" t="s">
        <v>44</v>
      </c>
      <c r="C652" t="s">
        <v>30</v>
      </c>
      <c r="D652">
        <v>55</v>
      </c>
      <c r="E652" s="3">
        <v>71</v>
      </c>
      <c r="F652" t="s">
        <v>27</v>
      </c>
      <c r="G652" t="s">
        <v>34</v>
      </c>
      <c r="H652" t="s">
        <v>20</v>
      </c>
      <c r="I652">
        <f>Table1[[#This Row],[Per unit]]*Table1[[#This Row],[Boxes Shipped]]</f>
        <v>3905</v>
      </c>
    </row>
    <row r="653" spans="1:9" x14ac:dyDescent="0.25">
      <c r="A653" s="2">
        <v>45999</v>
      </c>
      <c r="B653" t="s">
        <v>42</v>
      </c>
      <c r="C653" t="s">
        <v>17</v>
      </c>
      <c r="D653">
        <v>164</v>
      </c>
      <c r="E653" s="3">
        <v>27</v>
      </c>
      <c r="F653" t="s">
        <v>11</v>
      </c>
      <c r="G653" t="s">
        <v>15</v>
      </c>
      <c r="H653" t="s">
        <v>23</v>
      </c>
      <c r="I653">
        <f>Table1[[#This Row],[Per unit]]*Table1[[#This Row],[Boxes Shipped]]</f>
        <v>4428</v>
      </c>
    </row>
    <row r="654" spans="1:9" x14ac:dyDescent="0.25">
      <c r="A654" s="2">
        <v>45977</v>
      </c>
      <c r="B654" t="s">
        <v>42</v>
      </c>
      <c r="C654" t="s">
        <v>24</v>
      </c>
      <c r="D654">
        <v>303</v>
      </c>
      <c r="E654" s="3">
        <v>38</v>
      </c>
      <c r="F654" t="s">
        <v>32</v>
      </c>
      <c r="G654" t="s">
        <v>19</v>
      </c>
      <c r="H654" t="s">
        <v>13</v>
      </c>
      <c r="I654">
        <f>Table1[[#This Row],[Per unit]]*Table1[[#This Row],[Boxes Shipped]]</f>
        <v>11514</v>
      </c>
    </row>
    <row r="655" spans="1:9" x14ac:dyDescent="0.25">
      <c r="A655" s="2">
        <v>46021</v>
      </c>
      <c r="B655" t="s">
        <v>38</v>
      </c>
      <c r="C655" t="s">
        <v>30</v>
      </c>
      <c r="D655">
        <v>126</v>
      </c>
      <c r="E655" s="3">
        <v>59</v>
      </c>
      <c r="F655" t="s">
        <v>22</v>
      </c>
      <c r="G655" t="s">
        <v>22</v>
      </c>
      <c r="H655" t="s">
        <v>16</v>
      </c>
      <c r="I655">
        <f>Table1[[#This Row],[Per unit]]*Table1[[#This Row],[Boxes Shipped]]</f>
        <v>7434</v>
      </c>
    </row>
    <row r="656" spans="1:9" x14ac:dyDescent="0.25">
      <c r="A656" s="2">
        <v>45766</v>
      </c>
      <c r="B656" t="s">
        <v>36</v>
      </c>
      <c r="C656" t="s">
        <v>17</v>
      </c>
      <c r="D656">
        <v>109</v>
      </c>
      <c r="E656" s="3">
        <v>91</v>
      </c>
      <c r="F656" t="s">
        <v>28</v>
      </c>
      <c r="G656" t="s">
        <v>15</v>
      </c>
      <c r="H656" t="s">
        <v>13</v>
      </c>
      <c r="I656">
        <f>Table1[[#This Row],[Per unit]]*Table1[[#This Row],[Boxes Shipped]]</f>
        <v>9919</v>
      </c>
    </row>
    <row r="657" spans="1:9" x14ac:dyDescent="0.25">
      <c r="A657" s="2">
        <v>45797</v>
      </c>
      <c r="B657" t="s">
        <v>45</v>
      </c>
      <c r="C657" t="s">
        <v>24</v>
      </c>
      <c r="D657">
        <v>92</v>
      </c>
      <c r="E657" s="3">
        <v>68</v>
      </c>
      <c r="F657" t="s">
        <v>27</v>
      </c>
      <c r="G657" t="s">
        <v>11</v>
      </c>
      <c r="H657" t="s">
        <v>16</v>
      </c>
      <c r="I657">
        <f>Table1[[#This Row],[Per unit]]*Table1[[#This Row],[Boxes Shipped]]</f>
        <v>6256</v>
      </c>
    </row>
    <row r="658" spans="1:9" x14ac:dyDescent="0.25">
      <c r="A658" s="2">
        <v>45809</v>
      </c>
      <c r="B658" t="s">
        <v>45</v>
      </c>
      <c r="C658" t="s">
        <v>10</v>
      </c>
      <c r="D658">
        <v>118</v>
      </c>
      <c r="E658" s="3">
        <v>37</v>
      </c>
      <c r="F658" t="s">
        <v>12</v>
      </c>
      <c r="G658" t="s">
        <v>19</v>
      </c>
      <c r="H658" t="s">
        <v>23</v>
      </c>
      <c r="I658">
        <f>Table1[[#This Row],[Per unit]]*Table1[[#This Row],[Boxes Shipped]]</f>
        <v>4366</v>
      </c>
    </row>
    <row r="659" spans="1:9" x14ac:dyDescent="0.25">
      <c r="A659" s="2">
        <v>45846</v>
      </c>
      <c r="B659" t="s">
        <v>43</v>
      </c>
      <c r="C659" t="s">
        <v>21</v>
      </c>
      <c r="D659">
        <v>58</v>
      </c>
      <c r="E659" s="3">
        <v>95</v>
      </c>
      <c r="F659" t="s">
        <v>26</v>
      </c>
      <c r="G659" t="s">
        <v>12</v>
      </c>
      <c r="H659" t="s">
        <v>29</v>
      </c>
      <c r="I659">
        <f>Table1[[#This Row],[Per unit]]*Table1[[#This Row],[Boxes Shipped]]</f>
        <v>5510</v>
      </c>
    </row>
    <row r="660" spans="1:9" x14ac:dyDescent="0.25">
      <c r="A660" s="2">
        <v>45740</v>
      </c>
      <c r="B660" t="s">
        <v>49</v>
      </c>
      <c r="C660" t="s">
        <v>17</v>
      </c>
      <c r="D660">
        <v>110</v>
      </c>
      <c r="E660" s="3">
        <v>52</v>
      </c>
      <c r="F660" t="s">
        <v>12</v>
      </c>
      <c r="G660" t="s">
        <v>28</v>
      </c>
      <c r="H660" t="s">
        <v>16</v>
      </c>
      <c r="I660">
        <f>Table1[[#This Row],[Per unit]]*Table1[[#This Row],[Boxes Shipped]]</f>
        <v>5720</v>
      </c>
    </row>
    <row r="661" spans="1:9" x14ac:dyDescent="0.25">
      <c r="A661" s="2">
        <v>45993</v>
      </c>
      <c r="B661" t="s">
        <v>25</v>
      </c>
      <c r="C661" t="s">
        <v>21</v>
      </c>
      <c r="D661">
        <v>171</v>
      </c>
      <c r="E661" s="3">
        <v>21</v>
      </c>
      <c r="F661" t="s">
        <v>34</v>
      </c>
      <c r="G661" t="s">
        <v>32</v>
      </c>
      <c r="H661" t="s">
        <v>20</v>
      </c>
      <c r="I661">
        <f>Table1[[#This Row],[Per unit]]*Table1[[#This Row],[Boxes Shipped]]</f>
        <v>3591</v>
      </c>
    </row>
    <row r="662" spans="1:9" x14ac:dyDescent="0.25">
      <c r="A662" s="2">
        <v>46001</v>
      </c>
      <c r="B662" t="s">
        <v>40</v>
      </c>
      <c r="C662" t="s">
        <v>30</v>
      </c>
      <c r="D662">
        <v>117</v>
      </c>
      <c r="E662" s="3">
        <v>67</v>
      </c>
      <c r="F662" t="s">
        <v>26</v>
      </c>
      <c r="G662" t="s">
        <v>19</v>
      </c>
      <c r="H662" t="s">
        <v>29</v>
      </c>
      <c r="I662">
        <f>Table1[[#This Row],[Per unit]]*Table1[[#This Row],[Boxes Shipped]]</f>
        <v>7839</v>
      </c>
    </row>
    <row r="663" spans="1:9" x14ac:dyDescent="0.25">
      <c r="A663" s="2">
        <v>45813</v>
      </c>
      <c r="B663" t="s">
        <v>48</v>
      </c>
      <c r="C663" t="s">
        <v>17</v>
      </c>
      <c r="D663">
        <v>51</v>
      </c>
      <c r="E663" s="3">
        <v>42</v>
      </c>
      <c r="F663" t="s">
        <v>12</v>
      </c>
      <c r="G663" t="s">
        <v>19</v>
      </c>
      <c r="H663" t="s">
        <v>20</v>
      </c>
      <c r="I663">
        <f>Table1[[#This Row],[Per unit]]*Table1[[#This Row],[Boxes Shipped]]</f>
        <v>2142</v>
      </c>
    </row>
    <row r="664" spans="1:9" x14ac:dyDescent="0.25">
      <c r="A664" s="2">
        <v>45734</v>
      </c>
      <c r="B664" t="s">
        <v>31</v>
      </c>
      <c r="C664" t="s">
        <v>17</v>
      </c>
      <c r="D664">
        <v>118</v>
      </c>
      <c r="E664" s="3">
        <v>63</v>
      </c>
      <c r="F664" t="s">
        <v>15</v>
      </c>
      <c r="G664" t="s">
        <v>22</v>
      </c>
      <c r="H664" t="s">
        <v>29</v>
      </c>
      <c r="I664">
        <f>Table1[[#This Row],[Per unit]]*Table1[[#This Row],[Boxes Shipped]]</f>
        <v>7434</v>
      </c>
    </row>
    <row r="665" spans="1:9" x14ac:dyDescent="0.25">
      <c r="A665" s="2">
        <v>45958</v>
      </c>
      <c r="B665" t="s">
        <v>49</v>
      </c>
      <c r="C665" t="s">
        <v>24</v>
      </c>
      <c r="D665">
        <v>79</v>
      </c>
      <c r="E665" s="3">
        <v>41</v>
      </c>
      <c r="F665" t="s">
        <v>28</v>
      </c>
      <c r="G665" t="s">
        <v>32</v>
      </c>
      <c r="H665" t="s">
        <v>29</v>
      </c>
      <c r="I665">
        <f>Table1[[#This Row],[Per unit]]*Table1[[#This Row],[Boxes Shipped]]</f>
        <v>3239</v>
      </c>
    </row>
    <row r="666" spans="1:9" x14ac:dyDescent="0.25">
      <c r="A666" s="2">
        <v>45776</v>
      </c>
      <c r="B666" t="s">
        <v>47</v>
      </c>
      <c r="C666" t="s">
        <v>17</v>
      </c>
      <c r="D666">
        <v>29</v>
      </c>
      <c r="E666" s="3">
        <v>46</v>
      </c>
      <c r="F666" t="s">
        <v>27</v>
      </c>
      <c r="G666" t="s">
        <v>11</v>
      </c>
      <c r="H666" t="s">
        <v>20</v>
      </c>
      <c r="I666">
        <f>Table1[[#This Row],[Per unit]]*Table1[[#This Row],[Boxes Shipped]]</f>
        <v>1334</v>
      </c>
    </row>
    <row r="667" spans="1:9" x14ac:dyDescent="0.25">
      <c r="A667" s="2">
        <v>46006</v>
      </c>
      <c r="B667" t="s">
        <v>39</v>
      </c>
      <c r="C667" t="s">
        <v>30</v>
      </c>
      <c r="D667">
        <v>103</v>
      </c>
      <c r="E667" s="3">
        <v>79</v>
      </c>
      <c r="F667" t="s">
        <v>22</v>
      </c>
      <c r="G667" t="s">
        <v>11</v>
      </c>
      <c r="H667" t="s">
        <v>13</v>
      </c>
      <c r="I667">
        <f>Table1[[#This Row],[Per unit]]*Table1[[#This Row],[Boxes Shipped]]</f>
        <v>8137</v>
      </c>
    </row>
    <row r="668" spans="1:9" x14ac:dyDescent="0.25">
      <c r="A668" s="2">
        <v>45971</v>
      </c>
      <c r="B668" t="s">
        <v>18</v>
      </c>
      <c r="C668" t="s">
        <v>30</v>
      </c>
      <c r="D668">
        <v>167</v>
      </c>
      <c r="E668" s="3">
        <v>26</v>
      </c>
      <c r="F668" t="s">
        <v>22</v>
      </c>
      <c r="G668" t="s">
        <v>32</v>
      </c>
      <c r="H668" t="s">
        <v>23</v>
      </c>
      <c r="I668">
        <f>Table1[[#This Row],[Per unit]]*Table1[[#This Row],[Boxes Shipped]]</f>
        <v>4342</v>
      </c>
    </row>
    <row r="669" spans="1:9" x14ac:dyDescent="0.25">
      <c r="A669" s="2">
        <v>46014</v>
      </c>
      <c r="B669" t="s">
        <v>48</v>
      </c>
      <c r="C669" t="s">
        <v>21</v>
      </c>
      <c r="D669">
        <v>31</v>
      </c>
      <c r="E669" s="3">
        <v>71</v>
      </c>
      <c r="F669" t="s">
        <v>22</v>
      </c>
      <c r="G669" t="s">
        <v>27</v>
      </c>
      <c r="H669" t="s">
        <v>13</v>
      </c>
      <c r="I669">
        <f>Table1[[#This Row],[Per unit]]*Table1[[#This Row],[Boxes Shipped]]</f>
        <v>2201</v>
      </c>
    </row>
    <row r="670" spans="1:9" x14ac:dyDescent="0.25">
      <c r="A670" s="2">
        <v>45740</v>
      </c>
      <c r="B670" t="s">
        <v>33</v>
      </c>
      <c r="C670" t="s">
        <v>30</v>
      </c>
      <c r="D670">
        <v>128</v>
      </c>
      <c r="E670" s="3">
        <v>87</v>
      </c>
      <c r="F670" t="s">
        <v>32</v>
      </c>
      <c r="G670" t="s">
        <v>32</v>
      </c>
      <c r="H670" t="s">
        <v>29</v>
      </c>
      <c r="I670">
        <f>Table1[[#This Row],[Per unit]]*Table1[[#This Row],[Boxes Shipped]]</f>
        <v>11136</v>
      </c>
    </row>
    <row r="671" spans="1:9" x14ac:dyDescent="0.25">
      <c r="A671" s="2">
        <v>45762</v>
      </c>
      <c r="B671" t="s">
        <v>39</v>
      </c>
      <c r="C671" t="s">
        <v>24</v>
      </c>
      <c r="D671">
        <v>419</v>
      </c>
      <c r="E671" s="3">
        <v>66</v>
      </c>
      <c r="F671" t="s">
        <v>34</v>
      </c>
      <c r="G671" t="s">
        <v>27</v>
      </c>
      <c r="H671" t="s">
        <v>16</v>
      </c>
      <c r="I671">
        <f>Table1[[#This Row],[Per unit]]*Table1[[#This Row],[Boxes Shipped]]</f>
        <v>27654</v>
      </c>
    </row>
    <row r="672" spans="1:9" x14ac:dyDescent="0.25">
      <c r="A672" s="2">
        <v>45930</v>
      </c>
      <c r="B672" t="s">
        <v>37</v>
      </c>
      <c r="C672" t="s">
        <v>30</v>
      </c>
      <c r="D672">
        <v>7</v>
      </c>
      <c r="E672" s="3">
        <v>90</v>
      </c>
      <c r="F672" t="s">
        <v>22</v>
      </c>
      <c r="G672" t="s">
        <v>12</v>
      </c>
      <c r="H672" t="s">
        <v>13</v>
      </c>
      <c r="I672">
        <f>Table1[[#This Row],[Per unit]]*Table1[[#This Row],[Boxes Shipped]]</f>
        <v>630</v>
      </c>
    </row>
    <row r="673" spans="1:9" x14ac:dyDescent="0.25">
      <c r="A673" s="2">
        <v>45720</v>
      </c>
      <c r="B673" t="s">
        <v>50</v>
      </c>
      <c r="C673" t="s">
        <v>17</v>
      </c>
      <c r="D673">
        <v>106</v>
      </c>
      <c r="E673" s="3">
        <v>47</v>
      </c>
      <c r="F673" t="s">
        <v>22</v>
      </c>
      <c r="G673" t="s">
        <v>26</v>
      </c>
      <c r="H673" t="s">
        <v>20</v>
      </c>
      <c r="I673">
        <f>Table1[[#This Row],[Per unit]]*Table1[[#This Row],[Boxes Shipped]]</f>
        <v>4982</v>
      </c>
    </row>
    <row r="674" spans="1:9" x14ac:dyDescent="0.25">
      <c r="A674" s="2">
        <v>45914</v>
      </c>
      <c r="B674" t="s">
        <v>48</v>
      </c>
      <c r="C674" t="s">
        <v>24</v>
      </c>
      <c r="D674">
        <v>46</v>
      </c>
      <c r="E674" s="3">
        <v>94</v>
      </c>
      <c r="F674" t="s">
        <v>34</v>
      </c>
      <c r="G674" t="s">
        <v>11</v>
      </c>
      <c r="H674" t="s">
        <v>23</v>
      </c>
      <c r="I674">
        <f>Table1[[#This Row],[Per unit]]*Table1[[#This Row],[Boxes Shipped]]</f>
        <v>4324</v>
      </c>
    </row>
    <row r="675" spans="1:9" x14ac:dyDescent="0.25">
      <c r="A675" s="2">
        <v>46016</v>
      </c>
      <c r="B675" t="s">
        <v>14</v>
      </c>
      <c r="C675" t="s">
        <v>24</v>
      </c>
      <c r="D675">
        <v>44</v>
      </c>
      <c r="E675" s="3">
        <v>50</v>
      </c>
      <c r="F675" t="s">
        <v>19</v>
      </c>
      <c r="G675" t="s">
        <v>34</v>
      </c>
      <c r="H675" t="s">
        <v>29</v>
      </c>
      <c r="I675">
        <f>Table1[[#This Row],[Per unit]]*Table1[[#This Row],[Boxes Shipped]]</f>
        <v>2200</v>
      </c>
    </row>
    <row r="676" spans="1:9" x14ac:dyDescent="0.25">
      <c r="A676" s="2">
        <v>45968</v>
      </c>
      <c r="B676" t="s">
        <v>43</v>
      </c>
      <c r="C676" t="s">
        <v>24</v>
      </c>
      <c r="D676">
        <v>457</v>
      </c>
      <c r="E676" s="3">
        <v>79</v>
      </c>
      <c r="F676" t="s">
        <v>12</v>
      </c>
      <c r="G676" t="s">
        <v>32</v>
      </c>
      <c r="H676" t="s">
        <v>16</v>
      </c>
      <c r="I676">
        <f>Table1[[#This Row],[Per unit]]*Table1[[#This Row],[Boxes Shipped]]</f>
        <v>36103</v>
      </c>
    </row>
    <row r="677" spans="1:9" x14ac:dyDescent="0.25">
      <c r="A677" s="2">
        <v>45677</v>
      </c>
      <c r="B677" t="s">
        <v>49</v>
      </c>
      <c r="C677" t="s">
        <v>17</v>
      </c>
      <c r="D677">
        <v>524</v>
      </c>
      <c r="E677" s="3">
        <v>91</v>
      </c>
      <c r="F677" t="s">
        <v>32</v>
      </c>
      <c r="G677" t="s">
        <v>15</v>
      </c>
      <c r="H677" t="s">
        <v>20</v>
      </c>
      <c r="I677">
        <f>Table1[[#This Row],[Per unit]]*Table1[[#This Row],[Boxes Shipped]]</f>
        <v>47684</v>
      </c>
    </row>
    <row r="678" spans="1:9" x14ac:dyDescent="0.25">
      <c r="A678" s="2">
        <v>45717</v>
      </c>
      <c r="B678" t="s">
        <v>43</v>
      </c>
      <c r="C678" t="s">
        <v>21</v>
      </c>
      <c r="D678">
        <v>137</v>
      </c>
      <c r="E678" s="3">
        <v>60</v>
      </c>
      <c r="F678" t="s">
        <v>27</v>
      </c>
      <c r="G678" t="s">
        <v>12</v>
      </c>
      <c r="H678" t="s">
        <v>29</v>
      </c>
      <c r="I678">
        <f>Table1[[#This Row],[Per unit]]*Table1[[#This Row],[Boxes Shipped]]</f>
        <v>8220</v>
      </c>
    </row>
    <row r="679" spans="1:9" x14ac:dyDescent="0.25">
      <c r="A679" s="2">
        <v>45894</v>
      </c>
      <c r="B679" t="s">
        <v>50</v>
      </c>
      <c r="C679" t="s">
        <v>30</v>
      </c>
      <c r="D679">
        <v>86</v>
      </c>
      <c r="E679" s="3">
        <v>81</v>
      </c>
      <c r="F679" t="s">
        <v>19</v>
      </c>
      <c r="G679" t="s">
        <v>19</v>
      </c>
      <c r="H679" t="s">
        <v>20</v>
      </c>
      <c r="I679">
        <f>Table1[[#This Row],[Per unit]]*Table1[[#This Row],[Boxes Shipped]]</f>
        <v>6966</v>
      </c>
    </row>
    <row r="680" spans="1:9" x14ac:dyDescent="0.25">
      <c r="A680" s="2">
        <v>45762</v>
      </c>
      <c r="B680" t="s">
        <v>45</v>
      </c>
      <c r="C680" t="s">
        <v>21</v>
      </c>
      <c r="D680">
        <v>296</v>
      </c>
      <c r="E680" s="3">
        <v>90</v>
      </c>
      <c r="F680" t="s">
        <v>12</v>
      </c>
      <c r="G680" t="s">
        <v>34</v>
      </c>
      <c r="H680" t="s">
        <v>13</v>
      </c>
      <c r="I680">
        <f>Table1[[#This Row],[Per unit]]*Table1[[#This Row],[Boxes Shipped]]</f>
        <v>26640</v>
      </c>
    </row>
    <row r="681" spans="1:9" x14ac:dyDescent="0.25">
      <c r="A681" s="2">
        <v>45758</v>
      </c>
      <c r="B681" t="s">
        <v>49</v>
      </c>
      <c r="C681" t="s">
        <v>21</v>
      </c>
      <c r="D681">
        <v>144</v>
      </c>
      <c r="E681" s="3">
        <v>30</v>
      </c>
      <c r="F681" t="s">
        <v>12</v>
      </c>
      <c r="G681" t="s">
        <v>22</v>
      </c>
      <c r="H681" t="s">
        <v>23</v>
      </c>
      <c r="I681">
        <f>Table1[[#This Row],[Per unit]]*Table1[[#This Row],[Boxes Shipped]]</f>
        <v>4320</v>
      </c>
    </row>
    <row r="682" spans="1:9" x14ac:dyDescent="0.25">
      <c r="A682" s="2">
        <v>45982</v>
      </c>
      <c r="B682" t="s">
        <v>39</v>
      </c>
      <c r="C682" t="s">
        <v>24</v>
      </c>
      <c r="D682">
        <v>149</v>
      </c>
      <c r="E682" s="3">
        <v>63</v>
      </c>
      <c r="F682" t="s">
        <v>19</v>
      </c>
      <c r="G682" t="s">
        <v>15</v>
      </c>
      <c r="H682" t="s">
        <v>20</v>
      </c>
      <c r="I682">
        <f>Table1[[#This Row],[Per unit]]*Table1[[#This Row],[Boxes Shipped]]</f>
        <v>9387</v>
      </c>
    </row>
    <row r="683" spans="1:9" x14ac:dyDescent="0.25">
      <c r="A683" s="2">
        <v>45746</v>
      </c>
      <c r="B683" t="s">
        <v>9</v>
      </c>
      <c r="C683" t="s">
        <v>10</v>
      </c>
      <c r="D683">
        <v>107</v>
      </c>
      <c r="E683" s="3">
        <v>40</v>
      </c>
      <c r="F683" t="s">
        <v>15</v>
      </c>
      <c r="G683" t="s">
        <v>28</v>
      </c>
      <c r="H683" t="s">
        <v>23</v>
      </c>
      <c r="I683">
        <f>Table1[[#This Row],[Per unit]]*Table1[[#This Row],[Boxes Shipped]]</f>
        <v>4280</v>
      </c>
    </row>
    <row r="684" spans="1:9" x14ac:dyDescent="0.25">
      <c r="A684" s="2">
        <v>45995</v>
      </c>
      <c r="B684" t="s">
        <v>37</v>
      </c>
      <c r="C684" t="s">
        <v>24</v>
      </c>
      <c r="D684">
        <v>93</v>
      </c>
      <c r="E684" s="3">
        <v>90</v>
      </c>
      <c r="F684" t="s">
        <v>15</v>
      </c>
      <c r="G684" t="s">
        <v>11</v>
      </c>
      <c r="H684" t="s">
        <v>29</v>
      </c>
      <c r="I684">
        <f>Table1[[#This Row],[Per unit]]*Table1[[#This Row],[Boxes Shipped]]</f>
        <v>8370</v>
      </c>
    </row>
    <row r="685" spans="1:9" x14ac:dyDescent="0.25">
      <c r="A685" s="2">
        <v>45675</v>
      </c>
      <c r="B685" t="s">
        <v>36</v>
      </c>
      <c r="C685" t="s">
        <v>17</v>
      </c>
      <c r="D685">
        <v>23</v>
      </c>
      <c r="E685" s="3">
        <v>22</v>
      </c>
      <c r="F685" t="s">
        <v>26</v>
      </c>
      <c r="G685" t="s">
        <v>19</v>
      </c>
      <c r="H685" t="s">
        <v>20</v>
      </c>
      <c r="I685">
        <f>Table1[[#This Row],[Per unit]]*Table1[[#This Row],[Boxes Shipped]]</f>
        <v>506</v>
      </c>
    </row>
    <row r="686" spans="1:9" x14ac:dyDescent="0.25">
      <c r="A686" s="2">
        <v>45914</v>
      </c>
      <c r="B686" t="s">
        <v>47</v>
      </c>
      <c r="C686" t="s">
        <v>30</v>
      </c>
      <c r="D686">
        <v>125</v>
      </c>
      <c r="E686" s="3">
        <v>62</v>
      </c>
      <c r="F686" t="s">
        <v>15</v>
      </c>
      <c r="G686" t="s">
        <v>19</v>
      </c>
      <c r="H686" t="s">
        <v>20</v>
      </c>
      <c r="I686">
        <f>Table1[[#This Row],[Per unit]]*Table1[[#This Row],[Boxes Shipped]]</f>
        <v>7750</v>
      </c>
    </row>
    <row r="687" spans="1:9" x14ac:dyDescent="0.25">
      <c r="A687" s="2">
        <v>45765</v>
      </c>
      <c r="B687" t="s">
        <v>36</v>
      </c>
      <c r="C687" t="s">
        <v>17</v>
      </c>
      <c r="D687">
        <v>129</v>
      </c>
      <c r="E687" s="3">
        <v>57</v>
      </c>
      <c r="F687" t="s">
        <v>28</v>
      </c>
      <c r="G687" t="s">
        <v>32</v>
      </c>
      <c r="H687" t="s">
        <v>16</v>
      </c>
      <c r="I687">
        <f>Table1[[#This Row],[Per unit]]*Table1[[#This Row],[Boxes Shipped]]</f>
        <v>7353</v>
      </c>
    </row>
    <row r="688" spans="1:9" x14ac:dyDescent="0.25">
      <c r="A688" s="2">
        <v>45873</v>
      </c>
      <c r="B688" t="s">
        <v>48</v>
      </c>
      <c r="C688" t="s">
        <v>10</v>
      </c>
      <c r="D688">
        <v>252</v>
      </c>
      <c r="E688" s="3">
        <v>32</v>
      </c>
      <c r="F688" t="s">
        <v>27</v>
      </c>
      <c r="G688" t="s">
        <v>27</v>
      </c>
      <c r="H688" t="s">
        <v>13</v>
      </c>
      <c r="I688">
        <f>Table1[[#This Row],[Per unit]]*Table1[[#This Row],[Boxes Shipped]]</f>
        <v>8064</v>
      </c>
    </row>
    <row r="689" spans="1:9" x14ac:dyDescent="0.25">
      <c r="A689" s="2">
        <v>45813</v>
      </c>
      <c r="B689" t="s">
        <v>18</v>
      </c>
      <c r="C689" t="s">
        <v>17</v>
      </c>
      <c r="D689">
        <v>75</v>
      </c>
      <c r="E689" s="3">
        <v>53</v>
      </c>
      <c r="F689" t="s">
        <v>28</v>
      </c>
      <c r="G689" t="s">
        <v>12</v>
      </c>
      <c r="H689" t="s">
        <v>20</v>
      </c>
      <c r="I689">
        <f>Table1[[#This Row],[Per unit]]*Table1[[#This Row],[Boxes Shipped]]</f>
        <v>3975</v>
      </c>
    </row>
    <row r="690" spans="1:9" x14ac:dyDescent="0.25">
      <c r="A690" s="2">
        <v>45996</v>
      </c>
      <c r="B690" t="s">
        <v>31</v>
      </c>
      <c r="C690" t="s">
        <v>24</v>
      </c>
      <c r="D690">
        <v>87</v>
      </c>
      <c r="E690" s="3">
        <v>79</v>
      </c>
      <c r="F690" t="s">
        <v>19</v>
      </c>
      <c r="G690" t="s">
        <v>22</v>
      </c>
      <c r="H690" t="s">
        <v>20</v>
      </c>
      <c r="I690">
        <f>Table1[[#This Row],[Per unit]]*Table1[[#This Row],[Boxes Shipped]]</f>
        <v>6873</v>
      </c>
    </row>
    <row r="691" spans="1:9" x14ac:dyDescent="0.25">
      <c r="A691" s="2">
        <v>45720</v>
      </c>
      <c r="B691" t="s">
        <v>46</v>
      </c>
      <c r="C691" t="s">
        <v>10</v>
      </c>
      <c r="D691">
        <v>342</v>
      </c>
      <c r="E691" s="3">
        <v>61</v>
      </c>
      <c r="F691" t="s">
        <v>19</v>
      </c>
      <c r="G691" t="s">
        <v>19</v>
      </c>
      <c r="H691" t="s">
        <v>29</v>
      </c>
      <c r="I691">
        <f>Table1[[#This Row],[Per unit]]*Table1[[#This Row],[Boxes Shipped]]</f>
        <v>20862</v>
      </c>
    </row>
    <row r="692" spans="1:9" x14ac:dyDescent="0.25">
      <c r="A692" s="2">
        <v>45868</v>
      </c>
      <c r="B692" t="s">
        <v>25</v>
      </c>
      <c r="C692" t="s">
        <v>17</v>
      </c>
      <c r="D692">
        <v>13</v>
      </c>
      <c r="E692" s="3">
        <v>78</v>
      </c>
      <c r="F692" t="s">
        <v>15</v>
      </c>
      <c r="G692" t="s">
        <v>28</v>
      </c>
      <c r="H692" t="s">
        <v>29</v>
      </c>
      <c r="I692">
        <f>Table1[[#This Row],[Per unit]]*Table1[[#This Row],[Boxes Shipped]]</f>
        <v>1014</v>
      </c>
    </row>
    <row r="693" spans="1:9" x14ac:dyDescent="0.25">
      <c r="A693" s="2">
        <v>45966</v>
      </c>
      <c r="B693" t="s">
        <v>18</v>
      </c>
      <c r="C693" t="s">
        <v>17</v>
      </c>
      <c r="D693">
        <v>30</v>
      </c>
      <c r="E693" s="3">
        <v>97</v>
      </c>
      <c r="F693" t="s">
        <v>32</v>
      </c>
      <c r="G693" t="s">
        <v>32</v>
      </c>
      <c r="H693" t="s">
        <v>20</v>
      </c>
      <c r="I693">
        <f>Table1[[#This Row],[Per unit]]*Table1[[#This Row],[Boxes Shipped]]</f>
        <v>2910</v>
      </c>
    </row>
    <row r="694" spans="1:9" x14ac:dyDescent="0.25">
      <c r="A694" s="2">
        <v>45991</v>
      </c>
      <c r="B694" t="s">
        <v>33</v>
      </c>
      <c r="C694" t="s">
        <v>17</v>
      </c>
      <c r="D694">
        <v>203</v>
      </c>
      <c r="E694" s="3">
        <v>78</v>
      </c>
      <c r="F694" t="s">
        <v>12</v>
      </c>
      <c r="G694" t="s">
        <v>19</v>
      </c>
      <c r="H694" t="s">
        <v>29</v>
      </c>
      <c r="I694">
        <f>Table1[[#This Row],[Per unit]]*Table1[[#This Row],[Boxes Shipped]]</f>
        <v>15834</v>
      </c>
    </row>
    <row r="695" spans="1:9" x14ac:dyDescent="0.25">
      <c r="A695" s="2">
        <v>45974</v>
      </c>
      <c r="B695" t="s">
        <v>37</v>
      </c>
      <c r="C695" t="s">
        <v>10</v>
      </c>
      <c r="D695">
        <v>106</v>
      </c>
      <c r="E695" s="3">
        <v>56</v>
      </c>
      <c r="F695" t="s">
        <v>11</v>
      </c>
      <c r="G695" t="s">
        <v>15</v>
      </c>
      <c r="H695" t="s">
        <v>16</v>
      </c>
      <c r="I695">
        <f>Table1[[#This Row],[Per unit]]*Table1[[#This Row],[Boxes Shipped]]</f>
        <v>5936</v>
      </c>
    </row>
    <row r="696" spans="1:9" x14ac:dyDescent="0.25">
      <c r="A696" s="2">
        <v>45832</v>
      </c>
      <c r="B696" t="s">
        <v>41</v>
      </c>
      <c r="C696" t="s">
        <v>10</v>
      </c>
      <c r="D696">
        <v>234</v>
      </c>
      <c r="E696" s="3">
        <v>25</v>
      </c>
      <c r="F696" t="s">
        <v>22</v>
      </c>
      <c r="G696" t="s">
        <v>15</v>
      </c>
      <c r="H696" t="s">
        <v>13</v>
      </c>
      <c r="I696">
        <f>Table1[[#This Row],[Per unit]]*Table1[[#This Row],[Boxes Shipped]]</f>
        <v>5850</v>
      </c>
    </row>
    <row r="697" spans="1:9" x14ac:dyDescent="0.25">
      <c r="A697" s="2">
        <v>45813</v>
      </c>
      <c r="B697" t="s">
        <v>41</v>
      </c>
      <c r="C697" t="s">
        <v>30</v>
      </c>
      <c r="D697">
        <v>100</v>
      </c>
      <c r="E697" s="3">
        <v>28</v>
      </c>
      <c r="F697" t="s">
        <v>26</v>
      </c>
      <c r="G697" t="s">
        <v>22</v>
      </c>
      <c r="H697" t="s">
        <v>20</v>
      </c>
      <c r="I697">
        <f>Table1[[#This Row],[Per unit]]*Table1[[#This Row],[Boxes Shipped]]</f>
        <v>2800</v>
      </c>
    </row>
    <row r="698" spans="1:9" x14ac:dyDescent="0.25">
      <c r="A698" s="2">
        <v>45929</v>
      </c>
      <c r="B698" t="s">
        <v>45</v>
      </c>
      <c r="C698" t="s">
        <v>24</v>
      </c>
      <c r="D698">
        <v>45</v>
      </c>
      <c r="E698" s="3">
        <v>94</v>
      </c>
      <c r="F698" t="s">
        <v>26</v>
      </c>
      <c r="G698" t="s">
        <v>11</v>
      </c>
      <c r="H698" t="s">
        <v>23</v>
      </c>
      <c r="I698">
        <f>Table1[[#This Row],[Per unit]]*Table1[[#This Row],[Boxes Shipped]]</f>
        <v>4230</v>
      </c>
    </row>
    <row r="699" spans="1:9" x14ac:dyDescent="0.25">
      <c r="A699" s="2">
        <v>45683</v>
      </c>
      <c r="B699" t="s">
        <v>50</v>
      </c>
      <c r="C699" t="s">
        <v>30</v>
      </c>
      <c r="D699">
        <v>42</v>
      </c>
      <c r="E699" s="3">
        <v>100</v>
      </c>
      <c r="F699" t="s">
        <v>19</v>
      </c>
      <c r="G699" t="s">
        <v>15</v>
      </c>
      <c r="H699" t="s">
        <v>23</v>
      </c>
      <c r="I699">
        <f>Table1[[#This Row],[Per unit]]*Table1[[#This Row],[Boxes Shipped]]</f>
        <v>4200</v>
      </c>
    </row>
    <row r="700" spans="1:9" x14ac:dyDescent="0.25">
      <c r="A700" s="2">
        <v>45999</v>
      </c>
      <c r="B700" t="s">
        <v>42</v>
      </c>
      <c r="C700" t="s">
        <v>21</v>
      </c>
      <c r="D700">
        <v>52</v>
      </c>
      <c r="E700" s="3">
        <v>79</v>
      </c>
      <c r="F700" t="s">
        <v>28</v>
      </c>
      <c r="G700" t="s">
        <v>22</v>
      </c>
      <c r="H700" t="s">
        <v>23</v>
      </c>
      <c r="I700">
        <f>Table1[[#This Row],[Per unit]]*Table1[[#This Row],[Boxes Shipped]]</f>
        <v>4108</v>
      </c>
    </row>
    <row r="701" spans="1:9" x14ac:dyDescent="0.25">
      <c r="A701" s="2">
        <v>45881</v>
      </c>
      <c r="B701" t="s">
        <v>50</v>
      </c>
      <c r="C701" t="s">
        <v>30</v>
      </c>
      <c r="D701">
        <v>249</v>
      </c>
      <c r="E701" s="3">
        <v>48</v>
      </c>
      <c r="F701" t="s">
        <v>26</v>
      </c>
      <c r="G701" t="s">
        <v>19</v>
      </c>
      <c r="H701" t="s">
        <v>16</v>
      </c>
      <c r="I701">
        <f>Table1[[#This Row],[Per unit]]*Table1[[#This Row],[Boxes Shipped]]</f>
        <v>11952</v>
      </c>
    </row>
    <row r="702" spans="1:9" x14ac:dyDescent="0.25">
      <c r="A702" s="2">
        <v>45673</v>
      </c>
      <c r="B702" t="s">
        <v>31</v>
      </c>
      <c r="C702" t="s">
        <v>17</v>
      </c>
      <c r="D702">
        <v>97</v>
      </c>
      <c r="E702" s="3">
        <v>58</v>
      </c>
      <c r="F702" t="s">
        <v>19</v>
      </c>
      <c r="G702" t="s">
        <v>22</v>
      </c>
      <c r="H702" t="s">
        <v>20</v>
      </c>
      <c r="I702">
        <f>Table1[[#This Row],[Per unit]]*Table1[[#This Row],[Boxes Shipped]]</f>
        <v>5626</v>
      </c>
    </row>
    <row r="703" spans="1:9" x14ac:dyDescent="0.25">
      <c r="A703" s="2">
        <v>45838</v>
      </c>
      <c r="B703" t="s">
        <v>50</v>
      </c>
      <c r="C703" t="s">
        <v>30</v>
      </c>
      <c r="D703">
        <v>8</v>
      </c>
      <c r="E703" s="3">
        <v>24</v>
      </c>
      <c r="F703" t="s">
        <v>27</v>
      </c>
      <c r="G703" t="s">
        <v>11</v>
      </c>
      <c r="H703" t="s">
        <v>20</v>
      </c>
      <c r="I703">
        <f>Table1[[#This Row],[Per unit]]*Table1[[#This Row],[Boxes Shipped]]</f>
        <v>192</v>
      </c>
    </row>
    <row r="704" spans="1:9" x14ac:dyDescent="0.25">
      <c r="A704" s="2">
        <v>45727</v>
      </c>
      <c r="B704" t="s">
        <v>14</v>
      </c>
      <c r="C704" t="s">
        <v>17</v>
      </c>
      <c r="D704">
        <v>275</v>
      </c>
      <c r="E704" s="3">
        <v>31</v>
      </c>
      <c r="F704" t="s">
        <v>34</v>
      </c>
      <c r="G704" t="s">
        <v>12</v>
      </c>
      <c r="H704" t="s">
        <v>29</v>
      </c>
      <c r="I704">
        <f>Table1[[#This Row],[Per unit]]*Table1[[#This Row],[Boxes Shipped]]</f>
        <v>8525</v>
      </c>
    </row>
    <row r="705" spans="1:9" x14ac:dyDescent="0.25">
      <c r="A705" s="2">
        <v>45794</v>
      </c>
      <c r="B705" t="s">
        <v>31</v>
      </c>
      <c r="C705" t="s">
        <v>24</v>
      </c>
      <c r="D705">
        <v>313</v>
      </c>
      <c r="E705" s="3">
        <v>29</v>
      </c>
      <c r="F705" t="s">
        <v>34</v>
      </c>
      <c r="G705" t="s">
        <v>32</v>
      </c>
      <c r="H705" t="s">
        <v>16</v>
      </c>
      <c r="I705">
        <f>Table1[[#This Row],[Per unit]]*Table1[[#This Row],[Boxes Shipped]]</f>
        <v>9077</v>
      </c>
    </row>
    <row r="706" spans="1:9" x14ac:dyDescent="0.25">
      <c r="A706" s="2">
        <v>45666</v>
      </c>
      <c r="B706" t="s">
        <v>42</v>
      </c>
      <c r="C706" t="s">
        <v>10</v>
      </c>
      <c r="D706">
        <v>323</v>
      </c>
      <c r="E706" s="3">
        <v>69</v>
      </c>
      <c r="F706" t="s">
        <v>19</v>
      </c>
      <c r="G706" t="s">
        <v>27</v>
      </c>
      <c r="H706" t="s">
        <v>13</v>
      </c>
      <c r="I706">
        <f>Table1[[#This Row],[Per unit]]*Table1[[#This Row],[Boxes Shipped]]</f>
        <v>22287</v>
      </c>
    </row>
    <row r="707" spans="1:9" x14ac:dyDescent="0.25">
      <c r="A707" s="2">
        <v>45820</v>
      </c>
      <c r="B707" t="s">
        <v>41</v>
      </c>
      <c r="C707" t="s">
        <v>17</v>
      </c>
      <c r="D707">
        <v>155</v>
      </c>
      <c r="E707" s="3">
        <v>79</v>
      </c>
      <c r="F707" t="s">
        <v>22</v>
      </c>
      <c r="G707" t="s">
        <v>12</v>
      </c>
      <c r="H707" t="s">
        <v>16</v>
      </c>
      <c r="I707">
        <f>Table1[[#This Row],[Per unit]]*Table1[[#This Row],[Boxes Shipped]]</f>
        <v>12245</v>
      </c>
    </row>
    <row r="708" spans="1:9" x14ac:dyDescent="0.25">
      <c r="A708" s="2">
        <v>45741</v>
      </c>
      <c r="B708" t="s">
        <v>18</v>
      </c>
      <c r="C708" t="s">
        <v>21</v>
      </c>
      <c r="D708">
        <v>73</v>
      </c>
      <c r="E708" s="3">
        <v>56</v>
      </c>
      <c r="F708" t="s">
        <v>15</v>
      </c>
      <c r="G708" t="s">
        <v>19</v>
      </c>
      <c r="H708" t="s">
        <v>23</v>
      </c>
      <c r="I708">
        <f>Table1[[#This Row],[Per unit]]*Table1[[#This Row],[Boxes Shipped]]</f>
        <v>4088</v>
      </c>
    </row>
    <row r="709" spans="1:9" x14ac:dyDescent="0.25">
      <c r="A709" s="2">
        <v>45794</v>
      </c>
      <c r="B709" t="s">
        <v>42</v>
      </c>
      <c r="C709" t="s">
        <v>30</v>
      </c>
      <c r="D709">
        <v>2</v>
      </c>
      <c r="E709" s="3">
        <v>84</v>
      </c>
      <c r="F709" t="s">
        <v>15</v>
      </c>
      <c r="G709" t="s">
        <v>22</v>
      </c>
      <c r="H709" t="s">
        <v>13</v>
      </c>
      <c r="I709">
        <f>Table1[[#This Row],[Per unit]]*Table1[[#This Row],[Boxes Shipped]]</f>
        <v>168</v>
      </c>
    </row>
    <row r="710" spans="1:9" x14ac:dyDescent="0.25">
      <c r="A710" s="2">
        <v>45990</v>
      </c>
      <c r="B710" t="s">
        <v>36</v>
      </c>
      <c r="C710" t="s">
        <v>17</v>
      </c>
      <c r="D710">
        <v>170</v>
      </c>
      <c r="E710" s="3">
        <v>66</v>
      </c>
      <c r="F710" t="s">
        <v>22</v>
      </c>
      <c r="G710" t="s">
        <v>32</v>
      </c>
      <c r="H710" t="s">
        <v>16</v>
      </c>
      <c r="I710">
        <f>Table1[[#This Row],[Per unit]]*Table1[[#This Row],[Boxes Shipped]]</f>
        <v>11220</v>
      </c>
    </row>
    <row r="711" spans="1:9" x14ac:dyDescent="0.25">
      <c r="A711" s="2">
        <v>45818</v>
      </c>
      <c r="B711" t="s">
        <v>37</v>
      </c>
      <c r="C711" t="s">
        <v>24</v>
      </c>
      <c r="D711">
        <v>38</v>
      </c>
      <c r="E711" s="3">
        <v>92</v>
      </c>
      <c r="F711" t="s">
        <v>27</v>
      </c>
      <c r="G711" t="s">
        <v>34</v>
      </c>
      <c r="H711" t="s">
        <v>20</v>
      </c>
      <c r="I711">
        <f>Table1[[#This Row],[Per unit]]*Table1[[#This Row],[Boxes Shipped]]</f>
        <v>3496</v>
      </c>
    </row>
    <row r="712" spans="1:9" x14ac:dyDescent="0.25">
      <c r="A712" s="2">
        <v>45955</v>
      </c>
      <c r="B712" t="s">
        <v>35</v>
      </c>
      <c r="C712" t="s">
        <v>30</v>
      </c>
      <c r="D712">
        <v>44</v>
      </c>
      <c r="E712" s="3">
        <v>92</v>
      </c>
      <c r="F712" t="s">
        <v>26</v>
      </c>
      <c r="G712" t="s">
        <v>15</v>
      </c>
      <c r="H712" t="s">
        <v>23</v>
      </c>
      <c r="I712">
        <f>Table1[[#This Row],[Per unit]]*Table1[[#This Row],[Boxes Shipped]]</f>
        <v>4048</v>
      </c>
    </row>
    <row r="713" spans="1:9" x14ac:dyDescent="0.25">
      <c r="A713" s="2">
        <v>45947</v>
      </c>
      <c r="B713" t="s">
        <v>40</v>
      </c>
      <c r="C713" t="s">
        <v>30</v>
      </c>
      <c r="D713">
        <v>166</v>
      </c>
      <c r="E713" s="3">
        <v>74</v>
      </c>
      <c r="F713" t="s">
        <v>26</v>
      </c>
      <c r="G713" t="s">
        <v>27</v>
      </c>
      <c r="H713" t="s">
        <v>16</v>
      </c>
      <c r="I713">
        <f>Table1[[#This Row],[Per unit]]*Table1[[#This Row],[Boxes Shipped]]</f>
        <v>12284</v>
      </c>
    </row>
    <row r="714" spans="1:9" x14ac:dyDescent="0.25">
      <c r="A714" s="2">
        <v>45878</v>
      </c>
      <c r="B714" t="s">
        <v>18</v>
      </c>
      <c r="C714" t="s">
        <v>30</v>
      </c>
      <c r="D714">
        <v>171</v>
      </c>
      <c r="E714" s="3">
        <v>71</v>
      </c>
      <c r="F714" t="s">
        <v>11</v>
      </c>
      <c r="G714" t="s">
        <v>19</v>
      </c>
      <c r="H714" t="s">
        <v>29</v>
      </c>
      <c r="I714">
        <f>Table1[[#This Row],[Per unit]]*Table1[[#This Row],[Boxes Shipped]]</f>
        <v>12141</v>
      </c>
    </row>
    <row r="715" spans="1:9" x14ac:dyDescent="0.25">
      <c r="A715" s="2">
        <v>45670</v>
      </c>
      <c r="B715" t="s">
        <v>39</v>
      </c>
      <c r="C715" t="s">
        <v>24</v>
      </c>
      <c r="D715">
        <v>98</v>
      </c>
      <c r="E715" s="3">
        <v>40</v>
      </c>
      <c r="F715" t="s">
        <v>19</v>
      </c>
      <c r="G715" t="s">
        <v>11</v>
      </c>
      <c r="H715" t="s">
        <v>23</v>
      </c>
      <c r="I715">
        <f>Table1[[#This Row],[Per unit]]*Table1[[#This Row],[Boxes Shipped]]</f>
        <v>3920</v>
      </c>
    </row>
    <row r="716" spans="1:9" x14ac:dyDescent="0.25">
      <c r="A716" s="2">
        <v>45919</v>
      </c>
      <c r="B716" t="s">
        <v>14</v>
      </c>
      <c r="C716" t="s">
        <v>17</v>
      </c>
      <c r="D716">
        <v>205</v>
      </c>
      <c r="E716" s="3">
        <v>72</v>
      </c>
      <c r="F716" t="s">
        <v>28</v>
      </c>
      <c r="G716" t="s">
        <v>32</v>
      </c>
      <c r="H716" t="s">
        <v>16</v>
      </c>
      <c r="I716">
        <f>Table1[[#This Row],[Per unit]]*Table1[[#This Row],[Boxes Shipped]]</f>
        <v>14760</v>
      </c>
    </row>
    <row r="717" spans="1:9" x14ac:dyDescent="0.25">
      <c r="A717" s="2">
        <v>45794</v>
      </c>
      <c r="B717" t="s">
        <v>40</v>
      </c>
      <c r="C717" t="s">
        <v>21</v>
      </c>
      <c r="D717">
        <v>127</v>
      </c>
      <c r="E717" s="3">
        <v>30</v>
      </c>
      <c r="F717" t="s">
        <v>34</v>
      </c>
      <c r="G717" t="s">
        <v>26</v>
      </c>
      <c r="H717" t="s">
        <v>23</v>
      </c>
      <c r="I717">
        <f>Table1[[#This Row],[Per unit]]*Table1[[#This Row],[Boxes Shipped]]</f>
        <v>3810</v>
      </c>
    </row>
    <row r="718" spans="1:9" x14ac:dyDescent="0.25">
      <c r="A718" s="2">
        <v>45670</v>
      </c>
      <c r="B718" t="s">
        <v>46</v>
      </c>
      <c r="C718" t="s">
        <v>17</v>
      </c>
      <c r="D718">
        <v>29</v>
      </c>
      <c r="E718" s="3">
        <v>54</v>
      </c>
      <c r="F718" t="s">
        <v>27</v>
      </c>
      <c r="G718" t="s">
        <v>32</v>
      </c>
      <c r="H718" t="s">
        <v>29</v>
      </c>
      <c r="I718">
        <f>Table1[[#This Row],[Per unit]]*Table1[[#This Row],[Boxes Shipped]]</f>
        <v>1566</v>
      </c>
    </row>
    <row r="719" spans="1:9" x14ac:dyDescent="0.25">
      <c r="A719" s="2">
        <v>45918</v>
      </c>
      <c r="B719" t="s">
        <v>36</v>
      </c>
      <c r="C719" t="s">
        <v>17</v>
      </c>
      <c r="D719">
        <v>307</v>
      </c>
      <c r="E719" s="3">
        <v>41</v>
      </c>
      <c r="F719" t="s">
        <v>15</v>
      </c>
      <c r="G719" t="s">
        <v>34</v>
      </c>
      <c r="H719" t="s">
        <v>29</v>
      </c>
      <c r="I719">
        <f>Table1[[#This Row],[Per unit]]*Table1[[#This Row],[Boxes Shipped]]</f>
        <v>12587</v>
      </c>
    </row>
    <row r="720" spans="1:9" x14ac:dyDescent="0.25">
      <c r="A720" s="2">
        <v>45948</v>
      </c>
      <c r="B720" t="s">
        <v>47</v>
      </c>
      <c r="C720" t="s">
        <v>10</v>
      </c>
      <c r="D720">
        <v>58</v>
      </c>
      <c r="E720" s="3">
        <v>65</v>
      </c>
      <c r="F720" t="s">
        <v>32</v>
      </c>
      <c r="G720" t="s">
        <v>19</v>
      </c>
      <c r="H720" t="s">
        <v>23</v>
      </c>
      <c r="I720">
        <f>Table1[[#This Row],[Per unit]]*Table1[[#This Row],[Boxes Shipped]]</f>
        <v>3770</v>
      </c>
    </row>
    <row r="721" spans="1:9" x14ac:dyDescent="0.25">
      <c r="A721" s="2">
        <v>45900</v>
      </c>
      <c r="B721" t="s">
        <v>37</v>
      </c>
      <c r="C721" t="s">
        <v>10</v>
      </c>
      <c r="D721">
        <v>285</v>
      </c>
      <c r="E721" s="3">
        <v>99</v>
      </c>
      <c r="F721" t="s">
        <v>32</v>
      </c>
      <c r="G721" t="s">
        <v>26</v>
      </c>
      <c r="H721" t="s">
        <v>29</v>
      </c>
      <c r="I721">
        <f>Table1[[#This Row],[Per unit]]*Table1[[#This Row],[Boxes Shipped]]</f>
        <v>28215</v>
      </c>
    </row>
    <row r="722" spans="1:9" x14ac:dyDescent="0.25">
      <c r="A722" s="2">
        <v>45714</v>
      </c>
      <c r="B722" t="s">
        <v>38</v>
      </c>
      <c r="C722" t="s">
        <v>24</v>
      </c>
      <c r="D722">
        <v>205</v>
      </c>
      <c r="E722" s="3">
        <v>32</v>
      </c>
      <c r="F722" t="s">
        <v>22</v>
      </c>
      <c r="G722" t="s">
        <v>15</v>
      </c>
      <c r="H722" t="s">
        <v>13</v>
      </c>
      <c r="I722">
        <f>Table1[[#This Row],[Per unit]]*Table1[[#This Row],[Boxes Shipped]]</f>
        <v>6560</v>
      </c>
    </row>
    <row r="723" spans="1:9" x14ac:dyDescent="0.25">
      <c r="A723" s="2">
        <v>45805</v>
      </c>
      <c r="B723" t="s">
        <v>38</v>
      </c>
      <c r="C723" t="s">
        <v>30</v>
      </c>
      <c r="D723">
        <v>157</v>
      </c>
      <c r="E723" s="3">
        <v>71</v>
      </c>
      <c r="F723" t="s">
        <v>28</v>
      </c>
      <c r="G723" t="s">
        <v>34</v>
      </c>
      <c r="H723" t="s">
        <v>13</v>
      </c>
      <c r="I723">
        <f>Table1[[#This Row],[Per unit]]*Table1[[#This Row],[Boxes Shipped]]</f>
        <v>11147</v>
      </c>
    </row>
    <row r="724" spans="1:9" x14ac:dyDescent="0.25">
      <c r="A724" s="2">
        <v>45770</v>
      </c>
      <c r="B724" t="s">
        <v>48</v>
      </c>
      <c r="C724" t="s">
        <v>21</v>
      </c>
      <c r="D724">
        <v>182</v>
      </c>
      <c r="E724" s="3">
        <v>49</v>
      </c>
      <c r="F724" t="s">
        <v>28</v>
      </c>
      <c r="G724" t="s">
        <v>11</v>
      </c>
      <c r="H724" t="s">
        <v>20</v>
      </c>
      <c r="I724">
        <f>Table1[[#This Row],[Per unit]]*Table1[[#This Row],[Boxes Shipped]]</f>
        <v>8918</v>
      </c>
    </row>
    <row r="725" spans="1:9" x14ac:dyDescent="0.25">
      <c r="A725" s="2">
        <v>45799</v>
      </c>
      <c r="B725" t="s">
        <v>38</v>
      </c>
      <c r="C725" t="s">
        <v>17</v>
      </c>
      <c r="D725">
        <v>163</v>
      </c>
      <c r="E725" s="3">
        <v>23</v>
      </c>
      <c r="F725" t="s">
        <v>32</v>
      </c>
      <c r="G725" t="s">
        <v>11</v>
      </c>
      <c r="H725" t="s">
        <v>23</v>
      </c>
      <c r="I725">
        <f>Table1[[#This Row],[Per unit]]*Table1[[#This Row],[Boxes Shipped]]</f>
        <v>3749</v>
      </c>
    </row>
    <row r="726" spans="1:9" x14ac:dyDescent="0.25">
      <c r="A726" s="2">
        <v>45737</v>
      </c>
      <c r="B726" t="s">
        <v>47</v>
      </c>
      <c r="C726" t="s">
        <v>30</v>
      </c>
      <c r="D726">
        <v>223</v>
      </c>
      <c r="E726" s="3">
        <v>91</v>
      </c>
      <c r="F726" t="s">
        <v>19</v>
      </c>
      <c r="G726" t="s">
        <v>26</v>
      </c>
      <c r="H726" t="s">
        <v>20</v>
      </c>
      <c r="I726">
        <f>Table1[[#This Row],[Per unit]]*Table1[[#This Row],[Boxes Shipped]]</f>
        <v>20293</v>
      </c>
    </row>
    <row r="727" spans="1:9" x14ac:dyDescent="0.25">
      <c r="A727" s="2">
        <v>45932</v>
      </c>
      <c r="B727" t="s">
        <v>9</v>
      </c>
      <c r="C727" t="s">
        <v>21</v>
      </c>
      <c r="D727">
        <v>61</v>
      </c>
      <c r="E727" s="3">
        <v>46</v>
      </c>
      <c r="F727" t="s">
        <v>11</v>
      </c>
      <c r="G727" t="s">
        <v>19</v>
      </c>
      <c r="H727" t="s">
        <v>16</v>
      </c>
      <c r="I727">
        <f>Table1[[#This Row],[Per unit]]*Table1[[#This Row],[Boxes Shipped]]</f>
        <v>2806</v>
      </c>
    </row>
    <row r="728" spans="1:9" x14ac:dyDescent="0.25">
      <c r="A728" s="2">
        <v>45882</v>
      </c>
      <c r="B728" t="s">
        <v>42</v>
      </c>
      <c r="C728" t="s">
        <v>17</v>
      </c>
      <c r="D728">
        <v>133</v>
      </c>
      <c r="E728" s="3">
        <v>50</v>
      </c>
      <c r="F728" t="s">
        <v>27</v>
      </c>
      <c r="G728" t="s">
        <v>15</v>
      </c>
      <c r="H728" t="s">
        <v>29</v>
      </c>
      <c r="I728">
        <f>Table1[[#This Row],[Per unit]]*Table1[[#This Row],[Boxes Shipped]]</f>
        <v>6650</v>
      </c>
    </row>
    <row r="729" spans="1:9" x14ac:dyDescent="0.25">
      <c r="A729" s="2">
        <v>45695</v>
      </c>
      <c r="B729" t="s">
        <v>14</v>
      </c>
      <c r="C729" t="s">
        <v>17</v>
      </c>
      <c r="D729">
        <v>228</v>
      </c>
      <c r="E729" s="3">
        <v>39</v>
      </c>
      <c r="F729" t="s">
        <v>27</v>
      </c>
      <c r="G729" t="s">
        <v>28</v>
      </c>
      <c r="H729" t="s">
        <v>13</v>
      </c>
      <c r="I729">
        <f>Table1[[#This Row],[Per unit]]*Table1[[#This Row],[Boxes Shipped]]</f>
        <v>8892</v>
      </c>
    </row>
    <row r="730" spans="1:9" x14ac:dyDescent="0.25">
      <c r="A730" s="2">
        <v>45773</v>
      </c>
      <c r="B730" t="s">
        <v>40</v>
      </c>
      <c r="C730" t="s">
        <v>24</v>
      </c>
      <c r="D730">
        <v>233</v>
      </c>
      <c r="E730" s="3">
        <v>99</v>
      </c>
      <c r="F730" t="s">
        <v>27</v>
      </c>
      <c r="G730" t="s">
        <v>27</v>
      </c>
      <c r="H730" t="s">
        <v>20</v>
      </c>
      <c r="I730">
        <f>Table1[[#This Row],[Per unit]]*Table1[[#This Row],[Boxes Shipped]]</f>
        <v>23067</v>
      </c>
    </row>
    <row r="731" spans="1:9" x14ac:dyDescent="0.25">
      <c r="A731" s="2">
        <v>45844</v>
      </c>
      <c r="B731" t="s">
        <v>36</v>
      </c>
      <c r="C731" t="s">
        <v>30</v>
      </c>
      <c r="D731">
        <v>425</v>
      </c>
      <c r="E731" s="3">
        <v>48</v>
      </c>
      <c r="F731" t="s">
        <v>32</v>
      </c>
      <c r="G731" t="s">
        <v>12</v>
      </c>
      <c r="H731" t="s">
        <v>13</v>
      </c>
      <c r="I731">
        <f>Table1[[#This Row],[Per unit]]*Table1[[#This Row],[Boxes Shipped]]</f>
        <v>20400</v>
      </c>
    </row>
    <row r="732" spans="1:9" x14ac:dyDescent="0.25">
      <c r="A732" s="2">
        <v>45664</v>
      </c>
      <c r="B732" t="s">
        <v>9</v>
      </c>
      <c r="C732" t="s">
        <v>30</v>
      </c>
      <c r="D732">
        <v>184</v>
      </c>
      <c r="E732" s="3">
        <v>20</v>
      </c>
      <c r="F732" t="s">
        <v>34</v>
      </c>
      <c r="G732" t="s">
        <v>27</v>
      </c>
      <c r="H732" t="s">
        <v>23</v>
      </c>
      <c r="I732">
        <f>Table1[[#This Row],[Per unit]]*Table1[[#This Row],[Boxes Shipped]]</f>
        <v>3680</v>
      </c>
    </row>
    <row r="733" spans="1:9" x14ac:dyDescent="0.25">
      <c r="A733" s="2">
        <v>46007</v>
      </c>
      <c r="B733" t="s">
        <v>31</v>
      </c>
      <c r="C733" t="s">
        <v>24</v>
      </c>
      <c r="D733">
        <v>495</v>
      </c>
      <c r="E733" s="3">
        <v>95</v>
      </c>
      <c r="F733" t="s">
        <v>11</v>
      </c>
      <c r="G733" t="s">
        <v>11</v>
      </c>
      <c r="H733" t="s">
        <v>13</v>
      </c>
      <c r="I733">
        <f>Table1[[#This Row],[Per unit]]*Table1[[#This Row],[Boxes Shipped]]</f>
        <v>47025</v>
      </c>
    </row>
    <row r="734" spans="1:9" x14ac:dyDescent="0.25">
      <c r="A734" s="2">
        <v>45667</v>
      </c>
      <c r="B734" t="s">
        <v>49</v>
      </c>
      <c r="C734" t="s">
        <v>30</v>
      </c>
      <c r="D734">
        <v>170</v>
      </c>
      <c r="E734" s="3">
        <v>100</v>
      </c>
      <c r="F734" t="s">
        <v>32</v>
      </c>
      <c r="G734" t="s">
        <v>26</v>
      </c>
      <c r="H734" t="s">
        <v>16</v>
      </c>
      <c r="I734">
        <f>Table1[[#This Row],[Per unit]]*Table1[[#This Row],[Boxes Shipped]]</f>
        <v>17000</v>
      </c>
    </row>
    <row r="735" spans="1:9" x14ac:dyDescent="0.25">
      <c r="A735" s="2">
        <v>45766</v>
      </c>
      <c r="B735" t="s">
        <v>31</v>
      </c>
      <c r="C735" t="s">
        <v>10</v>
      </c>
      <c r="D735">
        <v>26</v>
      </c>
      <c r="E735" s="3">
        <v>54</v>
      </c>
      <c r="F735" t="s">
        <v>26</v>
      </c>
      <c r="G735" t="s">
        <v>26</v>
      </c>
      <c r="H735" t="s">
        <v>13</v>
      </c>
      <c r="I735">
        <f>Table1[[#This Row],[Per unit]]*Table1[[#This Row],[Boxes Shipped]]</f>
        <v>1404</v>
      </c>
    </row>
    <row r="736" spans="1:9" x14ac:dyDescent="0.25">
      <c r="A736" s="2">
        <v>46003</v>
      </c>
      <c r="B736" t="s">
        <v>46</v>
      </c>
      <c r="C736" t="s">
        <v>17</v>
      </c>
      <c r="D736">
        <v>44</v>
      </c>
      <c r="E736" s="3">
        <v>83</v>
      </c>
      <c r="F736" t="s">
        <v>15</v>
      </c>
      <c r="G736" t="s">
        <v>26</v>
      </c>
      <c r="H736" t="s">
        <v>23</v>
      </c>
      <c r="I736">
        <f>Table1[[#This Row],[Per unit]]*Table1[[#This Row],[Boxes Shipped]]</f>
        <v>3652</v>
      </c>
    </row>
    <row r="737" spans="1:9" x14ac:dyDescent="0.25">
      <c r="A737" s="2">
        <v>45887</v>
      </c>
      <c r="B737" t="s">
        <v>39</v>
      </c>
      <c r="C737" t="s">
        <v>21</v>
      </c>
      <c r="D737">
        <v>136</v>
      </c>
      <c r="E737" s="3">
        <v>26</v>
      </c>
      <c r="F737" t="s">
        <v>28</v>
      </c>
      <c r="G737" t="s">
        <v>28</v>
      </c>
      <c r="H737" t="s">
        <v>23</v>
      </c>
      <c r="I737">
        <f>Table1[[#This Row],[Per unit]]*Table1[[#This Row],[Boxes Shipped]]</f>
        <v>3536</v>
      </c>
    </row>
    <row r="738" spans="1:9" x14ac:dyDescent="0.25">
      <c r="A738" s="2">
        <v>45769</v>
      </c>
      <c r="B738" t="s">
        <v>48</v>
      </c>
      <c r="C738" t="s">
        <v>24</v>
      </c>
      <c r="D738">
        <v>109</v>
      </c>
      <c r="E738" s="3">
        <v>84</v>
      </c>
      <c r="F738" t="s">
        <v>26</v>
      </c>
      <c r="G738" t="s">
        <v>11</v>
      </c>
      <c r="H738" t="s">
        <v>13</v>
      </c>
      <c r="I738">
        <f>Table1[[#This Row],[Per unit]]*Table1[[#This Row],[Boxes Shipped]]</f>
        <v>9156</v>
      </c>
    </row>
    <row r="739" spans="1:9" x14ac:dyDescent="0.25">
      <c r="A739" s="2">
        <v>45669</v>
      </c>
      <c r="B739" t="s">
        <v>31</v>
      </c>
      <c r="C739" t="s">
        <v>30</v>
      </c>
      <c r="D739">
        <v>79</v>
      </c>
      <c r="E739" s="3">
        <v>43</v>
      </c>
      <c r="F739" t="s">
        <v>26</v>
      </c>
      <c r="G739" t="s">
        <v>11</v>
      </c>
      <c r="H739" t="s">
        <v>23</v>
      </c>
      <c r="I739">
        <f>Table1[[#This Row],[Per unit]]*Table1[[#This Row],[Boxes Shipped]]</f>
        <v>3397</v>
      </c>
    </row>
    <row r="740" spans="1:9" x14ac:dyDescent="0.25">
      <c r="A740" s="2">
        <v>45883</v>
      </c>
      <c r="B740" t="s">
        <v>44</v>
      </c>
      <c r="C740" t="s">
        <v>21</v>
      </c>
      <c r="D740">
        <v>100</v>
      </c>
      <c r="E740" s="3">
        <v>33</v>
      </c>
      <c r="F740" t="s">
        <v>32</v>
      </c>
      <c r="G740" t="s">
        <v>12</v>
      </c>
      <c r="H740" t="s">
        <v>23</v>
      </c>
      <c r="I740">
        <f>Table1[[#This Row],[Per unit]]*Table1[[#This Row],[Boxes Shipped]]</f>
        <v>3300</v>
      </c>
    </row>
    <row r="741" spans="1:9" x14ac:dyDescent="0.25">
      <c r="A741" s="2">
        <v>45964</v>
      </c>
      <c r="B741" t="s">
        <v>31</v>
      </c>
      <c r="C741" t="s">
        <v>10</v>
      </c>
      <c r="D741">
        <v>84</v>
      </c>
      <c r="E741" s="3">
        <v>39</v>
      </c>
      <c r="F741" t="s">
        <v>19</v>
      </c>
      <c r="G741" t="s">
        <v>27</v>
      </c>
      <c r="H741" t="s">
        <v>23</v>
      </c>
      <c r="I741">
        <f>Table1[[#This Row],[Per unit]]*Table1[[#This Row],[Boxes Shipped]]</f>
        <v>3276</v>
      </c>
    </row>
    <row r="742" spans="1:9" x14ac:dyDescent="0.25">
      <c r="A742" s="2">
        <v>45767</v>
      </c>
      <c r="B742" t="s">
        <v>25</v>
      </c>
      <c r="C742" t="s">
        <v>30</v>
      </c>
      <c r="D742">
        <v>69</v>
      </c>
      <c r="E742" s="3">
        <v>46</v>
      </c>
      <c r="F742" t="s">
        <v>26</v>
      </c>
      <c r="G742" t="s">
        <v>19</v>
      </c>
      <c r="H742" t="s">
        <v>23</v>
      </c>
      <c r="I742">
        <f>Table1[[#This Row],[Per unit]]*Table1[[#This Row],[Boxes Shipped]]</f>
        <v>3174</v>
      </c>
    </row>
    <row r="743" spans="1:9" x14ac:dyDescent="0.25">
      <c r="A743" s="2">
        <v>45677</v>
      </c>
      <c r="B743" t="s">
        <v>31</v>
      </c>
      <c r="C743" t="s">
        <v>21</v>
      </c>
      <c r="D743">
        <v>98</v>
      </c>
      <c r="E743" s="3">
        <v>50</v>
      </c>
      <c r="F743" t="s">
        <v>28</v>
      </c>
      <c r="G743" t="s">
        <v>22</v>
      </c>
      <c r="H743" t="s">
        <v>16</v>
      </c>
      <c r="I743">
        <f>Table1[[#This Row],[Per unit]]*Table1[[#This Row],[Boxes Shipped]]</f>
        <v>4900</v>
      </c>
    </row>
    <row r="744" spans="1:9" x14ac:dyDescent="0.25">
      <c r="A744" s="2">
        <v>45821</v>
      </c>
      <c r="B744" t="s">
        <v>48</v>
      </c>
      <c r="C744" t="s">
        <v>17</v>
      </c>
      <c r="D744">
        <v>90</v>
      </c>
      <c r="E744" s="3">
        <v>35</v>
      </c>
      <c r="F744" t="s">
        <v>27</v>
      </c>
      <c r="G744" t="s">
        <v>15</v>
      </c>
      <c r="H744" t="s">
        <v>23</v>
      </c>
      <c r="I744">
        <f>Table1[[#This Row],[Per unit]]*Table1[[#This Row],[Boxes Shipped]]</f>
        <v>3150</v>
      </c>
    </row>
    <row r="745" spans="1:9" x14ac:dyDescent="0.25">
      <c r="A745" s="2">
        <v>45727</v>
      </c>
      <c r="B745" t="s">
        <v>42</v>
      </c>
      <c r="C745" t="s">
        <v>24</v>
      </c>
      <c r="D745">
        <v>259</v>
      </c>
      <c r="E745" s="3">
        <v>26</v>
      </c>
      <c r="F745" t="s">
        <v>12</v>
      </c>
      <c r="G745" t="s">
        <v>12</v>
      </c>
      <c r="H745" t="s">
        <v>20</v>
      </c>
      <c r="I745">
        <f>Table1[[#This Row],[Per unit]]*Table1[[#This Row],[Boxes Shipped]]</f>
        <v>6734</v>
      </c>
    </row>
    <row r="746" spans="1:9" x14ac:dyDescent="0.25">
      <c r="A746" s="2">
        <v>45822</v>
      </c>
      <c r="B746" t="s">
        <v>43</v>
      </c>
      <c r="C746" t="s">
        <v>21</v>
      </c>
      <c r="D746">
        <v>310</v>
      </c>
      <c r="E746" s="3">
        <v>44</v>
      </c>
      <c r="F746" t="s">
        <v>11</v>
      </c>
      <c r="G746" t="s">
        <v>28</v>
      </c>
      <c r="H746" t="s">
        <v>20</v>
      </c>
      <c r="I746">
        <f>Table1[[#This Row],[Per unit]]*Table1[[#This Row],[Boxes Shipped]]</f>
        <v>13640</v>
      </c>
    </row>
    <row r="747" spans="1:9" x14ac:dyDescent="0.25">
      <c r="A747" s="2">
        <v>45710</v>
      </c>
      <c r="B747" t="s">
        <v>40</v>
      </c>
      <c r="C747" t="s">
        <v>21</v>
      </c>
      <c r="D747">
        <v>99</v>
      </c>
      <c r="E747" s="3">
        <v>31</v>
      </c>
      <c r="F747" t="s">
        <v>26</v>
      </c>
      <c r="G747" t="s">
        <v>12</v>
      </c>
      <c r="H747" t="s">
        <v>23</v>
      </c>
      <c r="I747">
        <f>Table1[[#This Row],[Per unit]]*Table1[[#This Row],[Boxes Shipped]]</f>
        <v>3069</v>
      </c>
    </row>
    <row r="748" spans="1:9" x14ac:dyDescent="0.25">
      <c r="A748" s="2">
        <v>45959</v>
      </c>
      <c r="B748" t="s">
        <v>48</v>
      </c>
      <c r="C748" t="s">
        <v>30</v>
      </c>
      <c r="D748">
        <v>136</v>
      </c>
      <c r="E748" s="3">
        <v>65</v>
      </c>
      <c r="F748" t="s">
        <v>11</v>
      </c>
      <c r="G748" t="s">
        <v>26</v>
      </c>
      <c r="H748" t="s">
        <v>13</v>
      </c>
      <c r="I748">
        <f>Table1[[#This Row],[Per unit]]*Table1[[#This Row],[Boxes Shipped]]</f>
        <v>8840</v>
      </c>
    </row>
    <row r="749" spans="1:9" x14ac:dyDescent="0.25">
      <c r="A749" s="2">
        <v>45849</v>
      </c>
      <c r="B749" t="s">
        <v>46</v>
      </c>
      <c r="C749" t="s">
        <v>21</v>
      </c>
      <c r="D749">
        <v>73</v>
      </c>
      <c r="E749" s="3">
        <v>42</v>
      </c>
      <c r="F749" t="s">
        <v>19</v>
      </c>
      <c r="G749" t="s">
        <v>28</v>
      </c>
      <c r="H749" t="s">
        <v>23</v>
      </c>
      <c r="I749">
        <f>Table1[[#This Row],[Per unit]]*Table1[[#This Row],[Boxes Shipped]]</f>
        <v>3066</v>
      </c>
    </row>
    <row r="750" spans="1:9" x14ac:dyDescent="0.25">
      <c r="A750" s="2">
        <v>45697</v>
      </c>
      <c r="B750" t="s">
        <v>49</v>
      </c>
      <c r="C750" t="s">
        <v>17</v>
      </c>
      <c r="D750">
        <v>24</v>
      </c>
      <c r="E750" s="3">
        <v>62</v>
      </c>
      <c r="F750" t="s">
        <v>19</v>
      </c>
      <c r="G750" t="s">
        <v>26</v>
      </c>
      <c r="H750" t="s">
        <v>20</v>
      </c>
      <c r="I750">
        <f>Table1[[#This Row],[Per unit]]*Table1[[#This Row],[Boxes Shipped]]</f>
        <v>1488</v>
      </c>
    </row>
    <row r="751" spans="1:9" x14ac:dyDescent="0.25">
      <c r="A751" s="2">
        <v>45662</v>
      </c>
      <c r="B751" t="s">
        <v>18</v>
      </c>
      <c r="C751" t="s">
        <v>10</v>
      </c>
      <c r="D751">
        <v>5</v>
      </c>
      <c r="E751" s="3">
        <v>21</v>
      </c>
      <c r="F751" t="s">
        <v>28</v>
      </c>
      <c r="G751" t="s">
        <v>19</v>
      </c>
      <c r="H751" t="s">
        <v>16</v>
      </c>
      <c r="I751">
        <f>Table1[[#This Row],[Per unit]]*Table1[[#This Row],[Boxes Shipped]]</f>
        <v>105</v>
      </c>
    </row>
    <row r="752" spans="1:9" x14ac:dyDescent="0.25">
      <c r="A752" s="2">
        <v>45914</v>
      </c>
      <c r="B752" t="s">
        <v>38</v>
      </c>
      <c r="C752" t="s">
        <v>21</v>
      </c>
      <c r="D752">
        <v>50</v>
      </c>
      <c r="E752" s="3">
        <v>60</v>
      </c>
      <c r="F752" t="s">
        <v>32</v>
      </c>
      <c r="G752" t="s">
        <v>34</v>
      </c>
      <c r="H752" t="s">
        <v>23</v>
      </c>
      <c r="I752">
        <f>Table1[[#This Row],[Per unit]]*Table1[[#This Row],[Boxes Shipped]]</f>
        <v>3000</v>
      </c>
    </row>
    <row r="753" spans="1:9" x14ac:dyDescent="0.25">
      <c r="A753" s="2">
        <v>45891</v>
      </c>
      <c r="B753" t="s">
        <v>45</v>
      </c>
      <c r="C753" t="s">
        <v>10</v>
      </c>
      <c r="D753">
        <v>294</v>
      </c>
      <c r="E753" s="3">
        <v>51</v>
      </c>
      <c r="F753" t="s">
        <v>32</v>
      </c>
      <c r="G753" t="s">
        <v>22</v>
      </c>
      <c r="H753" t="s">
        <v>29</v>
      </c>
      <c r="I753">
        <f>Table1[[#This Row],[Per unit]]*Table1[[#This Row],[Boxes Shipped]]</f>
        <v>14994</v>
      </c>
    </row>
    <row r="754" spans="1:9" x14ac:dyDescent="0.25">
      <c r="A754" s="2">
        <v>45881</v>
      </c>
      <c r="B754" t="s">
        <v>37</v>
      </c>
      <c r="C754" t="s">
        <v>21</v>
      </c>
      <c r="D754">
        <v>413</v>
      </c>
      <c r="E754" s="3">
        <v>84</v>
      </c>
      <c r="F754" t="s">
        <v>22</v>
      </c>
      <c r="G754" t="s">
        <v>15</v>
      </c>
      <c r="H754" t="s">
        <v>16</v>
      </c>
      <c r="I754">
        <f>Table1[[#This Row],[Per unit]]*Table1[[#This Row],[Boxes Shipped]]</f>
        <v>34692</v>
      </c>
    </row>
    <row r="755" spans="1:9" x14ac:dyDescent="0.25">
      <c r="A755" s="2">
        <v>45951</v>
      </c>
      <c r="B755" t="s">
        <v>37</v>
      </c>
      <c r="C755" t="s">
        <v>21</v>
      </c>
      <c r="D755">
        <v>115</v>
      </c>
      <c r="E755" s="3">
        <v>26</v>
      </c>
      <c r="F755" t="s">
        <v>15</v>
      </c>
      <c r="G755" t="s">
        <v>34</v>
      </c>
      <c r="H755" t="s">
        <v>23</v>
      </c>
      <c r="I755">
        <f>Table1[[#This Row],[Per unit]]*Table1[[#This Row],[Boxes Shipped]]</f>
        <v>2990</v>
      </c>
    </row>
    <row r="756" spans="1:9" x14ac:dyDescent="0.25">
      <c r="A756" s="2">
        <v>45953</v>
      </c>
      <c r="B756" t="s">
        <v>40</v>
      </c>
      <c r="C756" t="s">
        <v>17</v>
      </c>
      <c r="D756">
        <v>175</v>
      </c>
      <c r="E756" s="3">
        <v>44</v>
      </c>
      <c r="F756" t="s">
        <v>28</v>
      </c>
      <c r="G756" t="s">
        <v>22</v>
      </c>
      <c r="H756" t="s">
        <v>20</v>
      </c>
      <c r="I756">
        <f>Table1[[#This Row],[Per unit]]*Table1[[#This Row],[Boxes Shipped]]</f>
        <v>7700</v>
      </c>
    </row>
    <row r="757" spans="1:9" x14ac:dyDescent="0.25">
      <c r="A757" s="2">
        <v>45990</v>
      </c>
      <c r="B757" t="s">
        <v>45</v>
      </c>
      <c r="C757" t="s">
        <v>21</v>
      </c>
      <c r="D757">
        <v>72</v>
      </c>
      <c r="E757" s="3">
        <v>41</v>
      </c>
      <c r="F757" t="s">
        <v>34</v>
      </c>
      <c r="G757" t="s">
        <v>26</v>
      </c>
      <c r="H757" t="s">
        <v>23</v>
      </c>
      <c r="I757">
        <f>Table1[[#This Row],[Per unit]]*Table1[[#This Row],[Boxes Shipped]]</f>
        <v>2952</v>
      </c>
    </row>
    <row r="758" spans="1:9" x14ac:dyDescent="0.25">
      <c r="A758" s="2">
        <v>45975</v>
      </c>
      <c r="B758" t="s">
        <v>48</v>
      </c>
      <c r="C758" t="s">
        <v>21</v>
      </c>
      <c r="D758">
        <v>125</v>
      </c>
      <c r="E758" s="3">
        <v>35</v>
      </c>
      <c r="F758" t="s">
        <v>32</v>
      </c>
      <c r="G758" t="s">
        <v>34</v>
      </c>
      <c r="H758" t="s">
        <v>29</v>
      </c>
      <c r="I758">
        <f>Table1[[#This Row],[Per unit]]*Table1[[#This Row],[Boxes Shipped]]</f>
        <v>4375</v>
      </c>
    </row>
    <row r="759" spans="1:9" x14ac:dyDescent="0.25">
      <c r="A759" s="2">
        <v>45806</v>
      </c>
      <c r="B759" t="s">
        <v>39</v>
      </c>
      <c r="C759" t="s">
        <v>10</v>
      </c>
      <c r="D759">
        <v>16</v>
      </c>
      <c r="E759" s="3">
        <v>50</v>
      </c>
      <c r="F759" t="s">
        <v>34</v>
      </c>
      <c r="G759" t="s">
        <v>28</v>
      </c>
      <c r="H759" t="s">
        <v>16</v>
      </c>
      <c r="I759">
        <f>Table1[[#This Row],[Per unit]]*Table1[[#This Row],[Boxes Shipped]]</f>
        <v>800</v>
      </c>
    </row>
    <row r="760" spans="1:9" x14ac:dyDescent="0.25">
      <c r="A760" s="2">
        <v>45808</v>
      </c>
      <c r="B760" t="s">
        <v>14</v>
      </c>
      <c r="C760" t="s">
        <v>10</v>
      </c>
      <c r="D760">
        <v>135</v>
      </c>
      <c r="E760" s="3">
        <v>26</v>
      </c>
      <c r="F760" t="s">
        <v>22</v>
      </c>
      <c r="G760" t="s">
        <v>12</v>
      </c>
      <c r="H760" t="s">
        <v>20</v>
      </c>
      <c r="I760">
        <f>Table1[[#This Row],[Per unit]]*Table1[[#This Row],[Boxes Shipped]]</f>
        <v>3510</v>
      </c>
    </row>
    <row r="761" spans="1:9" x14ac:dyDescent="0.25">
      <c r="A761" s="2">
        <v>45966</v>
      </c>
      <c r="B761" t="s">
        <v>42</v>
      </c>
      <c r="C761" t="s">
        <v>30</v>
      </c>
      <c r="D761">
        <v>91</v>
      </c>
      <c r="E761" s="3">
        <v>78</v>
      </c>
      <c r="F761" t="s">
        <v>12</v>
      </c>
      <c r="G761" t="s">
        <v>34</v>
      </c>
      <c r="H761" t="s">
        <v>29</v>
      </c>
      <c r="I761">
        <f>Table1[[#This Row],[Per unit]]*Table1[[#This Row],[Boxes Shipped]]</f>
        <v>7098</v>
      </c>
    </row>
    <row r="762" spans="1:9" x14ac:dyDescent="0.25">
      <c r="A762" s="2">
        <v>45842</v>
      </c>
      <c r="B762" t="s">
        <v>44</v>
      </c>
      <c r="C762" t="s">
        <v>24</v>
      </c>
      <c r="D762">
        <v>614</v>
      </c>
      <c r="E762" s="3">
        <v>82</v>
      </c>
      <c r="F762" t="s">
        <v>32</v>
      </c>
      <c r="G762" t="s">
        <v>22</v>
      </c>
      <c r="H762" t="s">
        <v>20</v>
      </c>
      <c r="I762">
        <f>Table1[[#This Row],[Per unit]]*Table1[[#This Row],[Boxes Shipped]]</f>
        <v>50348</v>
      </c>
    </row>
    <row r="763" spans="1:9" x14ac:dyDescent="0.25">
      <c r="A763" s="2">
        <v>45764</v>
      </c>
      <c r="B763" t="s">
        <v>38</v>
      </c>
      <c r="C763" t="s">
        <v>24</v>
      </c>
      <c r="D763">
        <v>216</v>
      </c>
      <c r="E763" s="3">
        <v>39</v>
      </c>
      <c r="F763" t="s">
        <v>15</v>
      </c>
      <c r="G763" t="s">
        <v>27</v>
      </c>
      <c r="H763" t="s">
        <v>16</v>
      </c>
      <c r="I763">
        <f>Table1[[#This Row],[Per unit]]*Table1[[#This Row],[Boxes Shipped]]</f>
        <v>8424</v>
      </c>
    </row>
    <row r="764" spans="1:9" x14ac:dyDescent="0.25">
      <c r="A764" s="2">
        <v>45833</v>
      </c>
      <c r="B764" t="s">
        <v>31</v>
      </c>
      <c r="C764" t="s">
        <v>30</v>
      </c>
      <c r="D764">
        <v>59</v>
      </c>
      <c r="E764" s="3">
        <v>50</v>
      </c>
      <c r="F764" t="s">
        <v>11</v>
      </c>
      <c r="G764" t="s">
        <v>12</v>
      </c>
      <c r="H764" t="s">
        <v>23</v>
      </c>
      <c r="I764">
        <f>Table1[[#This Row],[Per unit]]*Table1[[#This Row],[Boxes Shipped]]</f>
        <v>2950</v>
      </c>
    </row>
    <row r="765" spans="1:9" x14ac:dyDescent="0.25">
      <c r="A765" s="2">
        <v>45911</v>
      </c>
      <c r="B765" t="s">
        <v>37</v>
      </c>
      <c r="C765" t="s">
        <v>10</v>
      </c>
      <c r="D765">
        <v>21</v>
      </c>
      <c r="E765" s="3">
        <v>20</v>
      </c>
      <c r="F765" t="s">
        <v>27</v>
      </c>
      <c r="G765" t="s">
        <v>27</v>
      </c>
      <c r="H765" t="s">
        <v>16</v>
      </c>
      <c r="I765">
        <f>Table1[[#This Row],[Per unit]]*Table1[[#This Row],[Boxes Shipped]]</f>
        <v>420</v>
      </c>
    </row>
    <row r="766" spans="1:9" x14ac:dyDescent="0.25">
      <c r="A766" s="2">
        <v>45785</v>
      </c>
      <c r="B766" t="s">
        <v>31</v>
      </c>
      <c r="C766" t="s">
        <v>24</v>
      </c>
      <c r="D766">
        <v>121</v>
      </c>
      <c r="E766" s="3">
        <v>24</v>
      </c>
      <c r="F766" t="s">
        <v>27</v>
      </c>
      <c r="G766" t="s">
        <v>19</v>
      </c>
      <c r="H766" t="s">
        <v>23</v>
      </c>
      <c r="I766">
        <f>Table1[[#This Row],[Per unit]]*Table1[[#This Row],[Boxes Shipped]]</f>
        <v>2904</v>
      </c>
    </row>
    <row r="767" spans="1:9" x14ac:dyDescent="0.25">
      <c r="A767" s="2">
        <v>45979</v>
      </c>
      <c r="B767" t="s">
        <v>48</v>
      </c>
      <c r="C767" t="s">
        <v>17</v>
      </c>
      <c r="D767">
        <v>222</v>
      </c>
      <c r="E767" s="3">
        <v>41</v>
      </c>
      <c r="F767" t="s">
        <v>34</v>
      </c>
      <c r="G767" t="s">
        <v>34</v>
      </c>
      <c r="H767" t="s">
        <v>20</v>
      </c>
      <c r="I767">
        <f>Table1[[#This Row],[Per unit]]*Table1[[#This Row],[Boxes Shipped]]</f>
        <v>9102</v>
      </c>
    </row>
    <row r="768" spans="1:9" x14ac:dyDescent="0.25">
      <c r="A768" s="2">
        <v>45895</v>
      </c>
      <c r="B768" t="s">
        <v>33</v>
      </c>
      <c r="C768" t="s">
        <v>21</v>
      </c>
      <c r="D768">
        <v>157</v>
      </c>
      <c r="E768" s="3">
        <v>38</v>
      </c>
      <c r="F768" t="s">
        <v>11</v>
      </c>
      <c r="G768" t="s">
        <v>15</v>
      </c>
      <c r="H768" t="s">
        <v>29</v>
      </c>
      <c r="I768">
        <f>Table1[[#This Row],[Per unit]]*Table1[[#This Row],[Boxes Shipped]]</f>
        <v>5966</v>
      </c>
    </row>
    <row r="769" spans="1:9" x14ac:dyDescent="0.25">
      <c r="A769" s="2">
        <v>45884</v>
      </c>
      <c r="B769" t="s">
        <v>39</v>
      </c>
      <c r="C769" t="s">
        <v>10</v>
      </c>
      <c r="D769">
        <v>27</v>
      </c>
      <c r="E769" s="3">
        <v>47</v>
      </c>
      <c r="F769" t="s">
        <v>27</v>
      </c>
      <c r="G769" t="s">
        <v>15</v>
      </c>
      <c r="H769" t="s">
        <v>16</v>
      </c>
      <c r="I769">
        <f>Table1[[#This Row],[Per unit]]*Table1[[#This Row],[Boxes Shipped]]</f>
        <v>1269</v>
      </c>
    </row>
    <row r="770" spans="1:9" x14ac:dyDescent="0.25">
      <c r="A770" s="2">
        <v>45821</v>
      </c>
      <c r="B770" t="s">
        <v>44</v>
      </c>
      <c r="C770" t="s">
        <v>10</v>
      </c>
      <c r="D770">
        <v>42</v>
      </c>
      <c r="E770" s="3">
        <v>69</v>
      </c>
      <c r="F770" t="s">
        <v>12</v>
      </c>
      <c r="G770" t="s">
        <v>27</v>
      </c>
      <c r="H770" t="s">
        <v>23</v>
      </c>
      <c r="I770">
        <f>Table1[[#This Row],[Per unit]]*Table1[[#This Row],[Boxes Shipped]]</f>
        <v>2898</v>
      </c>
    </row>
    <row r="771" spans="1:9" x14ac:dyDescent="0.25">
      <c r="A771" s="2">
        <v>45925</v>
      </c>
      <c r="B771" t="s">
        <v>31</v>
      </c>
      <c r="C771" t="s">
        <v>21</v>
      </c>
      <c r="D771">
        <v>76</v>
      </c>
      <c r="E771" s="3">
        <v>38</v>
      </c>
      <c r="F771" t="s">
        <v>11</v>
      </c>
      <c r="G771" t="s">
        <v>28</v>
      </c>
      <c r="H771" t="s">
        <v>23</v>
      </c>
      <c r="I771">
        <f>Table1[[#This Row],[Per unit]]*Table1[[#This Row],[Boxes Shipped]]</f>
        <v>2888</v>
      </c>
    </row>
    <row r="772" spans="1:9" x14ac:dyDescent="0.25">
      <c r="A772" s="2">
        <v>45806</v>
      </c>
      <c r="B772" t="s">
        <v>44</v>
      </c>
      <c r="C772" t="s">
        <v>30</v>
      </c>
      <c r="D772">
        <v>468</v>
      </c>
      <c r="E772" s="3">
        <v>89</v>
      </c>
      <c r="F772" t="s">
        <v>26</v>
      </c>
      <c r="G772" t="s">
        <v>15</v>
      </c>
      <c r="H772" t="s">
        <v>29</v>
      </c>
      <c r="I772">
        <f>Table1[[#This Row],[Per unit]]*Table1[[#This Row],[Boxes Shipped]]</f>
        <v>41652</v>
      </c>
    </row>
    <row r="773" spans="1:9" x14ac:dyDescent="0.25">
      <c r="A773" s="2">
        <v>45906</v>
      </c>
      <c r="B773" t="s">
        <v>37</v>
      </c>
      <c r="C773" t="s">
        <v>17</v>
      </c>
      <c r="D773">
        <v>130</v>
      </c>
      <c r="E773" s="3">
        <v>96</v>
      </c>
      <c r="F773" t="s">
        <v>34</v>
      </c>
      <c r="G773" t="s">
        <v>11</v>
      </c>
      <c r="H773" t="s">
        <v>20</v>
      </c>
      <c r="I773">
        <f>Table1[[#This Row],[Per unit]]*Table1[[#This Row],[Boxes Shipped]]</f>
        <v>12480</v>
      </c>
    </row>
    <row r="774" spans="1:9" x14ac:dyDescent="0.25">
      <c r="A774" s="2">
        <v>45918</v>
      </c>
      <c r="B774" t="s">
        <v>14</v>
      </c>
      <c r="C774" t="s">
        <v>30</v>
      </c>
      <c r="D774">
        <v>130</v>
      </c>
      <c r="E774" s="3">
        <v>81</v>
      </c>
      <c r="F774" t="s">
        <v>22</v>
      </c>
      <c r="G774" t="s">
        <v>34</v>
      </c>
      <c r="H774" t="s">
        <v>16</v>
      </c>
      <c r="I774">
        <f>Table1[[#This Row],[Per unit]]*Table1[[#This Row],[Boxes Shipped]]</f>
        <v>10530</v>
      </c>
    </row>
    <row r="775" spans="1:9" x14ac:dyDescent="0.25">
      <c r="A775" s="2">
        <v>45852</v>
      </c>
      <c r="B775" t="s">
        <v>31</v>
      </c>
      <c r="C775" t="s">
        <v>24</v>
      </c>
      <c r="D775">
        <v>518</v>
      </c>
      <c r="E775" s="3">
        <v>83</v>
      </c>
      <c r="F775" t="s">
        <v>12</v>
      </c>
      <c r="G775" t="s">
        <v>15</v>
      </c>
      <c r="H775" t="s">
        <v>29</v>
      </c>
      <c r="I775">
        <f>Table1[[#This Row],[Per unit]]*Table1[[#This Row],[Boxes Shipped]]</f>
        <v>42994</v>
      </c>
    </row>
    <row r="776" spans="1:9" x14ac:dyDescent="0.25">
      <c r="A776" s="2">
        <v>45892</v>
      </c>
      <c r="B776" t="s">
        <v>37</v>
      </c>
      <c r="C776" t="s">
        <v>24</v>
      </c>
      <c r="D776">
        <v>105</v>
      </c>
      <c r="E776" s="3">
        <v>35</v>
      </c>
      <c r="F776" t="s">
        <v>11</v>
      </c>
      <c r="G776" t="s">
        <v>32</v>
      </c>
      <c r="H776" t="s">
        <v>13</v>
      </c>
      <c r="I776">
        <f>Table1[[#This Row],[Per unit]]*Table1[[#This Row],[Boxes Shipped]]</f>
        <v>3675</v>
      </c>
    </row>
    <row r="777" spans="1:9" x14ac:dyDescent="0.25">
      <c r="A777" s="2">
        <v>45722</v>
      </c>
      <c r="B777" t="s">
        <v>43</v>
      </c>
      <c r="C777" t="s">
        <v>21</v>
      </c>
      <c r="D777">
        <v>293</v>
      </c>
      <c r="E777" s="3">
        <v>56</v>
      </c>
      <c r="F777" t="s">
        <v>12</v>
      </c>
      <c r="G777" t="s">
        <v>27</v>
      </c>
      <c r="H777" t="s">
        <v>29</v>
      </c>
      <c r="I777">
        <f>Table1[[#This Row],[Per unit]]*Table1[[#This Row],[Boxes Shipped]]</f>
        <v>16408</v>
      </c>
    </row>
    <row r="778" spans="1:9" x14ac:dyDescent="0.25">
      <c r="A778" s="2">
        <v>45977</v>
      </c>
      <c r="B778" t="s">
        <v>42</v>
      </c>
      <c r="C778" t="s">
        <v>10</v>
      </c>
      <c r="D778">
        <v>46</v>
      </c>
      <c r="E778" s="3">
        <v>62</v>
      </c>
      <c r="F778" t="s">
        <v>28</v>
      </c>
      <c r="G778" t="s">
        <v>28</v>
      </c>
      <c r="H778" t="s">
        <v>23</v>
      </c>
      <c r="I778">
        <f>Table1[[#This Row],[Per unit]]*Table1[[#This Row],[Boxes Shipped]]</f>
        <v>2852</v>
      </c>
    </row>
    <row r="779" spans="1:9" x14ac:dyDescent="0.25">
      <c r="A779" s="2">
        <v>45865</v>
      </c>
      <c r="B779" t="s">
        <v>25</v>
      </c>
      <c r="C779" t="s">
        <v>21</v>
      </c>
      <c r="D779">
        <v>384</v>
      </c>
      <c r="E779" s="3">
        <v>62</v>
      </c>
      <c r="F779" t="s">
        <v>22</v>
      </c>
      <c r="G779" t="s">
        <v>28</v>
      </c>
      <c r="H779" t="s">
        <v>13</v>
      </c>
      <c r="I779">
        <f>Table1[[#This Row],[Per unit]]*Table1[[#This Row],[Boxes Shipped]]</f>
        <v>23808</v>
      </c>
    </row>
    <row r="780" spans="1:9" x14ac:dyDescent="0.25">
      <c r="A780" s="2">
        <v>45846</v>
      </c>
      <c r="B780" t="s">
        <v>49</v>
      </c>
      <c r="C780" t="s">
        <v>24</v>
      </c>
      <c r="D780">
        <v>135</v>
      </c>
      <c r="E780" s="3">
        <v>84</v>
      </c>
      <c r="F780" t="s">
        <v>11</v>
      </c>
      <c r="G780" t="s">
        <v>32</v>
      </c>
      <c r="H780" t="s">
        <v>20</v>
      </c>
      <c r="I780">
        <f>Table1[[#This Row],[Per unit]]*Table1[[#This Row],[Boxes Shipped]]</f>
        <v>11340</v>
      </c>
    </row>
    <row r="781" spans="1:9" x14ac:dyDescent="0.25">
      <c r="A781" s="2">
        <v>45738</v>
      </c>
      <c r="B781" t="s">
        <v>35</v>
      </c>
      <c r="C781" t="s">
        <v>10</v>
      </c>
      <c r="D781">
        <v>92</v>
      </c>
      <c r="E781" s="3">
        <v>24</v>
      </c>
      <c r="F781" t="s">
        <v>15</v>
      </c>
      <c r="G781" t="s">
        <v>26</v>
      </c>
      <c r="H781" t="s">
        <v>20</v>
      </c>
      <c r="I781">
        <f>Table1[[#This Row],[Per unit]]*Table1[[#This Row],[Boxes Shipped]]</f>
        <v>2208</v>
      </c>
    </row>
    <row r="782" spans="1:9" x14ac:dyDescent="0.25">
      <c r="A782" s="2">
        <v>45950</v>
      </c>
      <c r="B782" t="s">
        <v>48</v>
      </c>
      <c r="C782" t="s">
        <v>17</v>
      </c>
      <c r="D782">
        <v>31</v>
      </c>
      <c r="E782" s="3">
        <v>92</v>
      </c>
      <c r="F782" t="s">
        <v>19</v>
      </c>
      <c r="G782" t="s">
        <v>15</v>
      </c>
      <c r="H782" t="s">
        <v>23</v>
      </c>
      <c r="I782">
        <f>Table1[[#This Row],[Per unit]]*Table1[[#This Row],[Boxes Shipped]]</f>
        <v>2852</v>
      </c>
    </row>
    <row r="783" spans="1:9" x14ac:dyDescent="0.25">
      <c r="A783" s="2">
        <v>45741</v>
      </c>
      <c r="B783" t="s">
        <v>37</v>
      </c>
      <c r="C783" t="s">
        <v>24</v>
      </c>
      <c r="D783">
        <v>239</v>
      </c>
      <c r="E783" s="3">
        <v>91</v>
      </c>
      <c r="F783" t="s">
        <v>22</v>
      </c>
      <c r="G783" t="s">
        <v>32</v>
      </c>
      <c r="H783" t="s">
        <v>16</v>
      </c>
      <c r="I783">
        <f>Table1[[#This Row],[Per unit]]*Table1[[#This Row],[Boxes Shipped]]</f>
        <v>21749</v>
      </c>
    </row>
    <row r="784" spans="1:9" x14ac:dyDescent="0.25">
      <c r="A784" s="2">
        <v>45782</v>
      </c>
      <c r="B784" t="s">
        <v>38</v>
      </c>
      <c r="C784" t="s">
        <v>17</v>
      </c>
      <c r="D784">
        <v>33</v>
      </c>
      <c r="E784" s="3">
        <v>36</v>
      </c>
      <c r="F784" t="s">
        <v>12</v>
      </c>
      <c r="G784" t="s">
        <v>22</v>
      </c>
      <c r="H784" t="s">
        <v>29</v>
      </c>
      <c r="I784">
        <f>Table1[[#This Row],[Per unit]]*Table1[[#This Row],[Boxes Shipped]]</f>
        <v>1188</v>
      </c>
    </row>
    <row r="785" spans="1:9" x14ac:dyDescent="0.25">
      <c r="A785" s="2">
        <v>45973</v>
      </c>
      <c r="B785" t="s">
        <v>41</v>
      </c>
      <c r="C785" t="s">
        <v>21</v>
      </c>
      <c r="D785">
        <v>518</v>
      </c>
      <c r="E785" s="3">
        <v>39</v>
      </c>
      <c r="F785" t="s">
        <v>32</v>
      </c>
      <c r="G785" t="s">
        <v>12</v>
      </c>
      <c r="H785" t="s">
        <v>20</v>
      </c>
      <c r="I785">
        <f>Table1[[#This Row],[Per unit]]*Table1[[#This Row],[Boxes Shipped]]</f>
        <v>20202</v>
      </c>
    </row>
    <row r="786" spans="1:9" x14ac:dyDescent="0.25">
      <c r="A786" s="2">
        <v>45945</v>
      </c>
      <c r="B786" t="s">
        <v>48</v>
      </c>
      <c r="C786" t="s">
        <v>10</v>
      </c>
      <c r="D786">
        <v>147</v>
      </c>
      <c r="E786" s="3">
        <v>39</v>
      </c>
      <c r="F786" t="s">
        <v>11</v>
      </c>
      <c r="G786" t="s">
        <v>32</v>
      </c>
      <c r="H786" t="s">
        <v>13</v>
      </c>
      <c r="I786">
        <f>Table1[[#This Row],[Per unit]]*Table1[[#This Row],[Boxes Shipped]]</f>
        <v>5733</v>
      </c>
    </row>
    <row r="787" spans="1:9" x14ac:dyDescent="0.25">
      <c r="A787" s="2">
        <v>45694</v>
      </c>
      <c r="B787" t="s">
        <v>48</v>
      </c>
      <c r="C787" t="s">
        <v>21</v>
      </c>
      <c r="D787">
        <v>84</v>
      </c>
      <c r="E787" s="3">
        <v>59</v>
      </c>
      <c r="F787" t="s">
        <v>28</v>
      </c>
      <c r="G787" t="s">
        <v>32</v>
      </c>
      <c r="H787" t="s">
        <v>20</v>
      </c>
      <c r="I787">
        <f>Table1[[#This Row],[Per unit]]*Table1[[#This Row],[Boxes Shipped]]</f>
        <v>4956</v>
      </c>
    </row>
    <row r="788" spans="1:9" x14ac:dyDescent="0.25">
      <c r="A788" s="2">
        <v>45966</v>
      </c>
      <c r="B788" t="s">
        <v>31</v>
      </c>
      <c r="C788" t="s">
        <v>17</v>
      </c>
      <c r="D788">
        <v>148</v>
      </c>
      <c r="E788" s="3">
        <v>27</v>
      </c>
      <c r="F788" t="s">
        <v>28</v>
      </c>
      <c r="G788" t="s">
        <v>32</v>
      </c>
      <c r="H788" t="s">
        <v>16</v>
      </c>
      <c r="I788">
        <f>Table1[[#This Row],[Per unit]]*Table1[[#This Row],[Boxes Shipped]]</f>
        <v>3996</v>
      </c>
    </row>
    <row r="789" spans="1:9" x14ac:dyDescent="0.25">
      <c r="A789" s="2">
        <v>45873</v>
      </c>
      <c r="B789" t="s">
        <v>36</v>
      </c>
      <c r="C789" t="s">
        <v>21</v>
      </c>
      <c r="D789">
        <v>54</v>
      </c>
      <c r="E789" s="3">
        <v>94</v>
      </c>
      <c r="F789" t="s">
        <v>22</v>
      </c>
      <c r="G789" t="s">
        <v>22</v>
      </c>
      <c r="H789" t="s">
        <v>16</v>
      </c>
      <c r="I789">
        <f>Table1[[#This Row],[Per unit]]*Table1[[#This Row],[Boxes Shipped]]</f>
        <v>5076</v>
      </c>
    </row>
    <row r="790" spans="1:9" x14ac:dyDescent="0.25">
      <c r="A790" s="2">
        <v>45841</v>
      </c>
      <c r="B790" t="s">
        <v>9</v>
      </c>
      <c r="C790" t="s">
        <v>30</v>
      </c>
      <c r="D790">
        <v>51</v>
      </c>
      <c r="E790" s="3">
        <v>55</v>
      </c>
      <c r="F790" t="s">
        <v>12</v>
      </c>
      <c r="G790" t="s">
        <v>22</v>
      </c>
      <c r="H790" t="s">
        <v>23</v>
      </c>
      <c r="I790">
        <f>Table1[[#This Row],[Per unit]]*Table1[[#This Row],[Boxes Shipped]]</f>
        <v>2805</v>
      </c>
    </row>
    <row r="791" spans="1:9" x14ac:dyDescent="0.25">
      <c r="A791" s="2">
        <v>45694</v>
      </c>
      <c r="B791" t="s">
        <v>42</v>
      </c>
      <c r="C791" t="s">
        <v>24</v>
      </c>
      <c r="D791">
        <v>56</v>
      </c>
      <c r="E791" s="3">
        <v>50</v>
      </c>
      <c r="F791" t="s">
        <v>26</v>
      </c>
      <c r="G791" t="s">
        <v>19</v>
      </c>
      <c r="H791" t="s">
        <v>23</v>
      </c>
      <c r="I791">
        <f>Table1[[#This Row],[Per unit]]*Table1[[#This Row],[Boxes Shipped]]</f>
        <v>2800</v>
      </c>
    </row>
    <row r="792" spans="1:9" x14ac:dyDescent="0.25">
      <c r="A792" s="2">
        <v>45664</v>
      </c>
      <c r="B792" t="s">
        <v>36</v>
      </c>
      <c r="C792" t="s">
        <v>21</v>
      </c>
      <c r="D792">
        <v>84</v>
      </c>
      <c r="E792" s="3">
        <v>33</v>
      </c>
      <c r="F792" t="s">
        <v>11</v>
      </c>
      <c r="G792" t="s">
        <v>28</v>
      </c>
      <c r="H792" t="s">
        <v>23</v>
      </c>
      <c r="I792">
        <f>Table1[[#This Row],[Per unit]]*Table1[[#This Row],[Boxes Shipped]]</f>
        <v>2772</v>
      </c>
    </row>
    <row r="793" spans="1:9" x14ac:dyDescent="0.25">
      <c r="A793" s="2">
        <v>45827</v>
      </c>
      <c r="B793" t="s">
        <v>40</v>
      </c>
      <c r="C793" t="s">
        <v>21</v>
      </c>
      <c r="D793">
        <v>125</v>
      </c>
      <c r="E793" s="3">
        <v>22</v>
      </c>
      <c r="F793" t="s">
        <v>12</v>
      </c>
      <c r="G793" t="s">
        <v>22</v>
      </c>
      <c r="H793" t="s">
        <v>23</v>
      </c>
      <c r="I793">
        <f>Table1[[#This Row],[Per unit]]*Table1[[#This Row],[Boxes Shipped]]</f>
        <v>2750</v>
      </c>
    </row>
    <row r="794" spans="1:9" x14ac:dyDescent="0.25">
      <c r="A794" s="2">
        <v>45953</v>
      </c>
      <c r="B794" t="s">
        <v>49</v>
      </c>
      <c r="C794" t="s">
        <v>24</v>
      </c>
      <c r="D794">
        <v>68</v>
      </c>
      <c r="E794" s="3">
        <v>38</v>
      </c>
      <c r="F794" t="s">
        <v>11</v>
      </c>
      <c r="G794" t="s">
        <v>19</v>
      </c>
      <c r="H794" t="s">
        <v>23</v>
      </c>
      <c r="I794">
        <f>Table1[[#This Row],[Per unit]]*Table1[[#This Row],[Boxes Shipped]]</f>
        <v>2584</v>
      </c>
    </row>
    <row r="795" spans="1:9" x14ac:dyDescent="0.25">
      <c r="A795" s="2">
        <v>45908</v>
      </c>
      <c r="B795" t="s">
        <v>43</v>
      </c>
      <c r="C795" t="s">
        <v>24</v>
      </c>
      <c r="D795">
        <v>137</v>
      </c>
      <c r="E795" s="3">
        <v>76</v>
      </c>
      <c r="F795" t="s">
        <v>34</v>
      </c>
      <c r="G795" t="s">
        <v>12</v>
      </c>
      <c r="H795" t="s">
        <v>16</v>
      </c>
      <c r="I795">
        <f>Table1[[#This Row],[Per unit]]*Table1[[#This Row],[Boxes Shipped]]</f>
        <v>10412</v>
      </c>
    </row>
    <row r="796" spans="1:9" x14ac:dyDescent="0.25">
      <c r="A796" s="2">
        <v>45854</v>
      </c>
      <c r="B796" t="s">
        <v>46</v>
      </c>
      <c r="C796" t="s">
        <v>24</v>
      </c>
      <c r="D796">
        <v>163</v>
      </c>
      <c r="E796" s="3">
        <v>63</v>
      </c>
      <c r="F796" t="s">
        <v>27</v>
      </c>
      <c r="G796" t="s">
        <v>34</v>
      </c>
      <c r="H796" t="s">
        <v>29</v>
      </c>
      <c r="I796">
        <f>Table1[[#This Row],[Per unit]]*Table1[[#This Row],[Boxes Shipped]]</f>
        <v>10269</v>
      </c>
    </row>
    <row r="797" spans="1:9" x14ac:dyDescent="0.25">
      <c r="A797" s="2">
        <v>45947</v>
      </c>
      <c r="B797" t="s">
        <v>33</v>
      </c>
      <c r="C797" t="s">
        <v>21</v>
      </c>
      <c r="D797">
        <v>84</v>
      </c>
      <c r="E797" s="3">
        <v>80</v>
      </c>
      <c r="F797" t="s">
        <v>34</v>
      </c>
      <c r="G797" t="s">
        <v>19</v>
      </c>
      <c r="H797" t="s">
        <v>29</v>
      </c>
      <c r="I797">
        <f>Table1[[#This Row],[Per unit]]*Table1[[#This Row],[Boxes Shipped]]</f>
        <v>6720</v>
      </c>
    </row>
    <row r="798" spans="1:9" x14ac:dyDescent="0.25">
      <c r="A798" s="2">
        <v>45802</v>
      </c>
      <c r="B798" t="s">
        <v>38</v>
      </c>
      <c r="C798" t="s">
        <v>24</v>
      </c>
      <c r="D798">
        <v>41</v>
      </c>
      <c r="E798" s="3">
        <v>59</v>
      </c>
      <c r="F798" t="s">
        <v>27</v>
      </c>
      <c r="G798" t="s">
        <v>32</v>
      </c>
      <c r="H798" t="s">
        <v>23</v>
      </c>
      <c r="I798">
        <f>Table1[[#This Row],[Per unit]]*Table1[[#This Row],[Boxes Shipped]]</f>
        <v>2419</v>
      </c>
    </row>
    <row r="799" spans="1:9" x14ac:dyDescent="0.25">
      <c r="A799" s="2">
        <v>45865</v>
      </c>
      <c r="B799" t="s">
        <v>14</v>
      </c>
      <c r="C799" t="s">
        <v>30</v>
      </c>
      <c r="D799">
        <v>187</v>
      </c>
      <c r="E799" s="3">
        <v>89</v>
      </c>
      <c r="F799" t="s">
        <v>19</v>
      </c>
      <c r="G799" t="s">
        <v>19</v>
      </c>
      <c r="H799" t="s">
        <v>16</v>
      </c>
      <c r="I799">
        <f>Table1[[#This Row],[Per unit]]*Table1[[#This Row],[Boxes Shipped]]</f>
        <v>16643</v>
      </c>
    </row>
    <row r="800" spans="1:9" x14ac:dyDescent="0.25">
      <c r="A800" s="2">
        <v>45760</v>
      </c>
      <c r="B800" t="s">
        <v>31</v>
      </c>
      <c r="C800" t="s">
        <v>30</v>
      </c>
      <c r="D800">
        <v>169</v>
      </c>
      <c r="E800" s="3">
        <v>26</v>
      </c>
      <c r="F800" t="s">
        <v>27</v>
      </c>
      <c r="G800" t="s">
        <v>15</v>
      </c>
      <c r="H800" t="s">
        <v>29</v>
      </c>
      <c r="I800">
        <f>Table1[[#This Row],[Per unit]]*Table1[[#This Row],[Boxes Shipped]]</f>
        <v>4394</v>
      </c>
    </row>
    <row r="801" spans="1:9" x14ac:dyDescent="0.25">
      <c r="A801" s="2">
        <v>45986</v>
      </c>
      <c r="B801" t="s">
        <v>14</v>
      </c>
      <c r="C801" t="s">
        <v>21</v>
      </c>
      <c r="D801">
        <v>12</v>
      </c>
      <c r="E801" s="3">
        <v>90</v>
      </c>
      <c r="F801" t="s">
        <v>26</v>
      </c>
      <c r="G801" t="s">
        <v>28</v>
      </c>
      <c r="H801" t="s">
        <v>29</v>
      </c>
      <c r="I801">
        <f>Table1[[#This Row],[Per unit]]*Table1[[#This Row],[Boxes Shipped]]</f>
        <v>1080</v>
      </c>
    </row>
    <row r="802" spans="1:9" x14ac:dyDescent="0.25">
      <c r="A802" s="2">
        <v>46019</v>
      </c>
      <c r="B802" t="s">
        <v>41</v>
      </c>
      <c r="C802" t="s">
        <v>17</v>
      </c>
      <c r="D802">
        <v>194</v>
      </c>
      <c r="E802" s="3">
        <v>28</v>
      </c>
      <c r="F802" t="s">
        <v>34</v>
      </c>
      <c r="G802" t="s">
        <v>26</v>
      </c>
      <c r="H802" t="s">
        <v>13</v>
      </c>
      <c r="I802">
        <f>Table1[[#This Row],[Per unit]]*Table1[[#This Row],[Boxes Shipped]]</f>
        <v>5432</v>
      </c>
    </row>
    <row r="803" spans="1:9" x14ac:dyDescent="0.25">
      <c r="A803" s="2">
        <v>45782</v>
      </c>
      <c r="B803" t="s">
        <v>47</v>
      </c>
      <c r="C803" t="s">
        <v>21</v>
      </c>
      <c r="D803">
        <v>252</v>
      </c>
      <c r="E803" s="3">
        <v>29</v>
      </c>
      <c r="F803" t="s">
        <v>11</v>
      </c>
      <c r="G803" t="s">
        <v>32</v>
      </c>
      <c r="H803" t="s">
        <v>16</v>
      </c>
      <c r="I803">
        <f>Table1[[#This Row],[Per unit]]*Table1[[#This Row],[Boxes Shipped]]</f>
        <v>7308</v>
      </c>
    </row>
    <row r="804" spans="1:9" x14ac:dyDescent="0.25">
      <c r="A804" s="2">
        <v>45892</v>
      </c>
      <c r="B804" t="s">
        <v>39</v>
      </c>
      <c r="C804" t="s">
        <v>30</v>
      </c>
      <c r="D804">
        <v>55</v>
      </c>
      <c r="E804" s="3">
        <v>42</v>
      </c>
      <c r="F804" t="s">
        <v>28</v>
      </c>
      <c r="G804" t="s">
        <v>15</v>
      </c>
      <c r="H804" t="s">
        <v>23</v>
      </c>
      <c r="I804">
        <f>Table1[[#This Row],[Per unit]]*Table1[[#This Row],[Boxes Shipped]]</f>
        <v>2310</v>
      </c>
    </row>
    <row r="805" spans="1:9" x14ac:dyDescent="0.25">
      <c r="A805" s="2">
        <v>45914</v>
      </c>
      <c r="B805" t="s">
        <v>35</v>
      </c>
      <c r="C805" t="s">
        <v>10</v>
      </c>
      <c r="D805">
        <v>261</v>
      </c>
      <c r="E805" s="3">
        <v>24</v>
      </c>
      <c r="F805" t="s">
        <v>34</v>
      </c>
      <c r="G805" t="s">
        <v>11</v>
      </c>
      <c r="H805" t="s">
        <v>13</v>
      </c>
      <c r="I805">
        <f>Table1[[#This Row],[Per unit]]*Table1[[#This Row],[Boxes Shipped]]</f>
        <v>6264</v>
      </c>
    </row>
    <row r="806" spans="1:9" x14ac:dyDescent="0.25">
      <c r="A806" s="2">
        <v>45774</v>
      </c>
      <c r="B806" t="s">
        <v>36</v>
      </c>
      <c r="C806" t="s">
        <v>24</v>
      </c>
      <c r="D806">
        <v>256</v>
      </c>
      <c r="E806" s="3">
        <v>88</v>
      </c>
      <c r="F806" t="s">
        <v>26</v>
      </c>
      <c r="G806" t="s">
        <v>22</v>
      </c>
      <c r="H806" t="s">
        <v>20</v>
      </c>
      <c r="I806">
        <f>Table1[[#This Row],[Per unit]]*Table1[[#This Row],[Boxes Shipped]]</f>
        <v>22528</v>
      </c>
    </row>
    <row r="807" spans="1:9" x14ac:dyDescent="0.25">
      <c r="A807" s="2">
        <v>45910</v>
      </c>
      <c r="B807" t="s">
        <v>50</v>
      </c>
      <c r="C807" t="s">
        <v>24</v>
      </c>
      <c r="D807">
        <v>43</v>
      </c>
      <c r="E807" s="3">
        <v>87</v>
      </c>
      <c r="F807" t="s">
        <v>27</v>
      </c>
      <c r="G807" t="s">
        <v>27</v>
      </c>
      <c r="H807" t="s">
        <v>20</v>
      </c>
      <c r="I807">
        <f>Table1[[#This Row],[Per unit]]*Table1[[#This Row],[Boxes Shipped]]</f>
        <v>3741</v>
      </c>
    </row>
    <row r="808" spans="1:9" x14ac:dyDescent="0.25">
      <c r="A808" s="2">
        <v>45798</v>
      </c>
      <c r="B808" t="s">
        <v>42</v>
      </c>
      <c r="C808" t="s">
        <v>21</v>
      </c>
      <c r="D808">
        <v>100</v>
      </c>
      <c r="E808" s="3">
        <v>80</v>
      </c>
      <c r="F808" t="s">
        <v>28</v>
      </c>
      <c r="G808" t="s">
        <v>22</v>
      </c>
      <c r="H808" t="s">
        <v>13</v>
      </c>
      <c r="I808">
        <f>Table1[[#This Row],[Per unit]]*Table1[[#This Row],[Boxes Shipped]]</f>
        <v>8000</v>
      </c>
    </row>
    <row r="809" spans="1:9" x14ac:dyDescent="0.25">
      <c r="A809" s="2">
        <v>45823</v>
      </c>
      <c r="B809" t="s">
        <v>41</v>
      </c>
      <c r="C809" t="s">
        <v>24</v>
      </c>
      <c r="D809">
        <v>98</v>
      </c>
      <c r="E809" s="3">
        <v>48</v>
      </c>
      <c r="F809" t="s">
        <v>32</v>
      </c>
      <c r="G809" t="s">
        <v>22</v>
      </c>
      <c r="H809" t="s">
        <v>29</v>
      </c>
      <c r="I809">
        <f>Table1[[#This Row],[Per unit]]*Table1[[#This Row],[Boxes Shipped]]</f>
        <v>4704</v>
      </c>
    </row>
    <row r="810" spans="1:9" x14ac:dyDescent="0.25">
      <c r="A810" s="2">
        <v>45876</v>
      </c>
      <c r="B810" t="s">
        <v>48</v>
      </c>
      <c r="C810" t="s">
        <v>24</v>
      </c>
      <c r="D810">
        <v>76</v>
      </c>
      <c r="E810" s="3">
        <v>21</v>
      </c>
      <c r="F810" t="s">
        <v>12</v>
      </c>
      <c r="G810" t="s">
        <v>11</v>
      </c>
      <c r="H810" t="s">
        <v>13</v>
      </c>
      <c r="I810">
        <f>Table1[[#This Row],[Per unit]]*Table1[[#This Row],[Boxes Shipped]]</f>
        <v>1596</v>
      </c>
    </row>
    <row r="811" spans="1:9" x14ac:dyDescent="0.25">
      <c r="A811" s="2">
        <v>45689</v>
      </c>
      <c r="B811" t="s">
        <v>35</v>
      </c>
      <c r="C811" t="s">
        <v>24</v>
      </c>
      <c r="D811">
        <v>262</v>
      </c>
      <c r="E811" s="3">
        <v>72</v>
      </c>
      <c r="F811" t="s">
        <v>15</v>
      </c>
      <c r="G811" t="s">
        <v>15</v>
      </c>
      <c r="H811" t="s">
        <v>29</v>
      </c>
      <c r="I811">
        <f>Table1[[#This Row],[Per unit]]*Table1[[#This Row],[Boxes Shipped]]</f>
        <v>18864</v>
      </c>
    </row>
    <row r="812" spans="1:9" x14ac:dyDescent="0.25">
      <c r="A812" s="2">
        <v>45844</v>
      </c>
      <c r="B812" t="s">
        <v>33</v>
      </c>
      <c r="C812" t="s">
        <v>21</v>
      </c>
      <c r="D812">
        <v>244</v>
      </c>
      <c r="E812" s="3">
        <v>44</v>
      </c>
      <c r="F812" t="s">
        <v>12</v>
      </c>
      <c r="G812" t="s">
        <v>22</v>
      </c>
      <c r="H812" t="s">
        <v>29</v>
      </c>
      <c r="I812">
        <f>Table1[[#This Row],[Per unit]]*Table1[[#This Row],[Boxes Shipped]]</f>
        <v>10736</v>
      </c>
    </row>
    <row r="813" spans="1:9" x14ac:dyDescent="0.25">
      <c r="A813" s="2">
        <v>46018</v>
      </c>
      <c r="B813" t="s">
        <v>25</v>
      </c>
      <c r="C813" t="s">
        <v>10</v>
      </c>
      <c r="D813">
        <v>12</v>
      </c>
      <c r="E813" s="3">
        <v>73</v>
      </c>
      <c r="F813" t="s">
        <v>12</v>
      </c>
      <c r="G813" t="s">
        <v>15</v>
      </c>
      <c r="H813" t="s">
        <v>13</v>
      </c>
      <c r="I813">
        <f>Table1[[#This Row],[Per unit]]*Table1[[#This Row],[Boxes Shipped]]</f>
        <v>876</v>
      </c>
    </row>
    <row r="814" spans="1:9" x14ac:dyDescent="0.25">
      <c r="A814" s="2">
        <v>45927</v>
      </c>
      <c r="B814" t="s">
        <v>49</v>
      </c>
      <c r="C814" t="s">
        <v>24</v>
      </c>
      <c r="D814">
        <v>24</v>
      </c>
      <c r="E814" s="3">
        <v>96</v>
      </c>
      <c r="F814" t="s">
        <v>19</v>
      </c>
      <c r="G814" t="s">
        <v>15</v>
      </c>
      <c r="H814" t="s">
        <v>23</v>
      </c>
      <c r="I814">
        <f>Table1[[#This Row],[Per unit]]*Table1[[#This Row],[Boxes Shipped]]</f>
        <v>2304</v>
      </c>
    </row>
    <row r="815" spans="1:9" x14ac:dyDescent="0.25">
      <c r="A815" s="2">
        <v>45734</v>
      </c>
      <c r="B815" t="s">
        <v>43</v>
      </c>
      <c r="C815" t="s">
        <v>10</v>
      </c>
      <c r="D815">
        <v>69</v>
      </c>
      <c r="E815" s="3">
        <v>33</v>
      </c>
      <c r="F815" t="s">
        <v>28</v>
      </c>
      <c r="G815" t="s">
        <v>19</v>
      </c>
      <c r="H815" t="s">
        <v>23</v>
      </c>
      <c r="I815">
        <f>Table1[[#This Row],[Per unit]]*Table1[[#This Row],[Boxes Shipped]]</f>
        <v>2277</v>
      </c>
    </row>
    <row r="816" spans="1:9" x14ac:dyDescent="0.25">
      <c r="A816" s="2">
        <v>45927</v>
      </c>
      <c r="B816" t="s">
        <v>41</v>
      </c>
      <c r="C816" t="s">
        <v>21</v>
      </c>
      <c r="D816">
        <v>131</v>
      </c>
      <c r="E816" s="3">
        <v>86</v>
      </c>
      <c r="F816" t="s">
        <v>22</v>
      </c>
      <c r="G816" t="s">
        <v>22</v>
      </c>
      <c r="H816" t="s">
        <v>20</v>
      </c>
      <c r="I816">
        <f>Table1[[#This Row],[Per unit]]*Table1[[#This Row],[Boxes Shipped]]</f>
        <v>11266</v>
      </c>
    </row>
    <row r="817" spans="1:9" x14ac:dyDescent="0.25">
      <c r="A817" s="2">
        <v>45874</v>
      </c>
      <c r="B817" t="s">
        <v>41</v>
      </c>
      <c r="C817" t="s">
        <v>17</v>
      </c>
      <c r="D817">
        <v>174</v>
      </c>
      <c r="E817" s="3">
        <v>60</v>
      </c>
      <c r="F817" t="s">
        <v>19</v>
      </c>
      <c r="G817" t="s">
        <v>26</v>
      </c>
      <c r="H817" t="s">
        <v>13</v>
      </c>
      <c r="I817">
        <f>Table1[[#This Row],[Per unit]]*Table1[[#This Row],[Boxes Shipped]]</f>
        <v>10440</v>
      </c>
    </row>
    <row r="818" spans="1:9" x14ac:dyDescent="0.25">
      <c r="A818" s="2">
        <v>45993</v>
      </c>
      <c r="B818" t="s">
        <v>42</v>
      </c>
      <c r="C818" t="s">
        <v>30</v>
      </c>
      <c r="D818">
        <v>254</v>
      </c>
      <c r="E818" s="3">
        <v>43</v>
      </c>
      <c r="F818" t="s">
        <v>34</v>
      </c>
      <c r="G818" t="s">
        <v>34</v>
      </c>
      <c r="H818" t="s">
        <v>29</v>
      </c>
      <c r="I818">
        <f>Table1[[#This Row],[Per unit]]*Table1[[#This Row],[Boxes Shipped]]</f>
        <v>10922</v>
      </c>
    </row>
    <row r="819" spans="1:9" x14ac:dyDescent="0.25">
      <c r="A819" s="2">
        <v>45998</v>
      </c>
      <c r="B819" t="s">
        <v>45</v>
      </c>
      <c r="C819" t="s">
        <v>21</v>
      </c>
      <c r="D819">
        <v>284</v>
      </c>
      <c r="E819" s="3">
        <v>44</v>
      </c>
      <c r="F819" t="s">
        <v>12</v>
      </c>
      <c r="G819" t="s">
        <v>12</v>
      </c>
      <c r="H819" t="s">
        <v>16</v>
      </c>
      <c r="I819">
        <f>Table1[[#This Row],[Per unit]]*Table1[[#This Row],[Boxes Shipped]]</f>
        <v>12496</v>
      </c>
    </row>
    <row r="820" spans="1:9" x14ac:dyDescent="0.25">
      <c r="A820" s="2">
        <v>45833</v>
      </c>
      <c r="B820" t="s">
        <v>43</v>
      </c>
      <c r="C820" t="s">
        <v>30</v>
      </c>
      <c r="D820">
        <v>67</v>
      </c>
      <c r="E820" s="3">
        <v>76</v>
      </c>
      <c r="F820" t="s">
        <v>12</v>
      </c>
      <c r="G820" t="s">
        <v>15</v>
      </c>
      <c r="H820" t="s">
        <v>13</v>
      </c>
      <c r="I820">
        <f>Table1[[#This Row],[Per unit]]*Table1[[#This Row],[Boxes Shipped]]</f>
        <v>5092</v>
      </c>
    </row>
    <row r="821" spans="1:9" x14ac:dyDescent="0.25">
      <c r="A821" s="2">
        <v>45842</v>
      </c>
      <c r="B821" t="s">
        <v>45</v>
      </c>
      <c r="C821" t="s">
        <v>10</v>
      </c>
      <c r="D821">
        <v>249</v>
      </c>
      <c r="E821" s="3">
        <v>33</v>
      </c>
      <c r="F821" t="s">
        <v>28</v>
      </c>
      <c r="G821" t="s">
        <v>28</v>
      </c>
      <c r="H821" t="s">
        <v>16</v>
      </c>
      <c r="I821">
        <f>Table1[[#This Row],[Per unit]]*Table1[[#This Row],[Boxes Shipped]]</f>
        <v>8217</v>
      </c>
    </row>
    <row r="822" spans="1:9" x14ac:dyDescent="0.25">
      <c r="A822" s="2">
        <v>45927</v>
      </c>
      <c r="B822" t="s">
        <v>43</v>
      </c>
      <c r="C822" t="s">
        <v>21</v>
      </c>
      <c r="D822">
        <v>313</v>
      </c>
      <c r="E822" s="3">
        <v>60</v>
      </c>
      <c r="F822" t="s">
        <v>11</v>
      </c>
      <c r="G822" t="s">
        <v>22</v>
      </c>
      <c r="H822" t="s">
        <v>20</v>
      </c>
      <c r="I822">
        <f>Table1[[#This Row],[Per unit]]*Table1[[#This Row],[Boxes Shipped]]</f>
        <v>18780</v>
      </c>
    </row>
    <row r="823" spans="1:9" x14ac:dyDescent="0.25">
      <c r="A823" s="2">
        <v>45791</v>
      </c>
      <c r="B823" t="s">
        <v>44</v>
      </c>
      <c r="C823" t="s">
        <v>17</v>
      </c>
      <c r="D823">
        <v>99</v>
      </c>
      <c r="E823" s="3">
        <v>23</v>
      </c>
      <c r="F823" t="s">
        <v>11</v>
      </c>
      <c r="G823" t="s">
        <v>28</v>
      </c>
      <c r="H823" t="s">
        <v>23</v>
      </c>
      <c r="I823">
        <f>Table1[[#This Row],[Per unit]]*Table1[[#This Row],[Boxes Shipped]]</f>
        <v>2277</v>
      </c>
    </row>
    <row r="824" spans="1:9" x14ac:dyDescent="0.25">
      <c r="A824" s="2">
        <v>45989</v>
      </c>
      <c r="B824" t="s">
        <v>46</v>
      </c>
      <c r="C824" t="s">
        <v>21</v>
      </c>
      <c r="D824">
        <v>286</v>
      </c>
      <c r="E824" s="3">
        <v>73</v>
      </c>
      <c r="F824" t="s">
        <v>12</v>
      </c>
      <c r="G824" t="s">
        <v>11</v>
      </c>
      <c r="H824" t="s">
        <v>29</v>
      </c>
      <c r="I824">
        <f>Table1[[#This Row],[Per unit]]*Table1[[#This Row],[Boxes Shipped]]</f>
        <v>20878</v>
      </c>
    </row>
    <row r="825" spans="1:9" x14ac:dyDescent="0.25">
      <c r="A825" s="2">
        <v>46018</v>
      </c>
      <c r="B825" t="s">
        <v>35</v>
      </c>
      <c r="C825" t="s">
        <v>10</v>
      </c>
      <c r="D825">
        <v>109</v>
      </c>
      <c r="E825" s="3">
        <v>87</v>
      </c>
      <c r="F825" t="s">
        <v>15</v>
      </c>
      <c r="G825" t="s">
        <v>15</v>
      </c>
      <c r="H825" t="s">
        <v>29</v>
      </c>
      <c r="I825">
        <f>Table1[[#This Row],[Per unit]]*Table1[[#This Row],[Boxes Shipped]]</f>
        <v>9483</v>
      </c>
    </row>
    <row r="826" spans="1:9" x14ac:dyDescent="0.25">
      <c r="A826" s="2">
        <v>45977</v>
      </c>
      <c r="B826" t="s">
        <v>31</v>
      </c>
      <c r="C826" t="s">
        <v>24</v>
      </c>
      <c r="D826">
        <v>166</v>
      </c>
      <c r="E826" s="3">
        <v>100</v>
      </c>
      <c r="F826" t="s">
        <v>15</v>
      </c>
      <c r="G826" t="s">
        <v>26</v>
      </c>
      <c r="H826" t="s">
        <v>16</v>
      </c>
      <c r="I826">
        <f>Table1[[#This Row],[Per unit]]*Table1[[#This Row],[Boxes Shipped]]</f>
        <v>16600</v>
      </c>
    </row>
    <row r="827" spans="1:9" x14ac:dyDescent="0.25">
      <c r="A827" s="2">
        <v>45932</v>
      </c>
      <c r="B827" t="s">
        <v>48</v>
      </c>
      <c r="C827" t="s">
        <v>21</v>
      </c>
      <c r="D827">
        <v>55</v>
      </c>
      <c r="E827" s="3">
        <v>37</v>
      </c>
      <c r="F827" t="s">
        <v>15</v>
      </c>
      <c r="G827" t="s">
        <v>19</v>
      </c>
      <c r="H827" t="s">
        <v>23</v>
      </c>
      <c r="I827">
        <f>Table1[[#This Row],[Per unit]]*Table1[[#This Row],[Boxes Shipped]]</f>
        <v>2035</v>
      </c>
    </row>
    <row r="828" spans="1:9" x14ac:dyDescent="0.25">
      <c r="A828" s="2">
        <v>45815</v>
      </c>
      <c r="B828" t="s">
        <v>33</v>
      </c>
      <c r="C828" t="s">
        <v>17</v>
      </c>
      <c r="D828">
        <v>142</v>
      </c>
      <c r="E828" s="3">
        <v>41</v>
      </c>
      <c r="F828" t="s">
        <v>15</v>
      </c>
      <c r="G828" t="s">
        <v>28</v>
      </c>
      <c r="H828" t="s">
        <v>29</v>
      </c>
      <c r="I828">
        <f>Table1[[#This Row],[Per unit]]*Table1[[#This Row],[Boxes Shipped]]</f>
        <v>5822</v>
      </c>
    </row>
    <row r="829" spans="1:9" x14ac:dyDescent="0.25">
      <c r="A829" s="2">
        <v>45918</v>
      </c>
      <c r="B829" t="s">
        <v>37</v>
      </c>
      <c r="C829" t="s">
        <v>17</v>
      </c>
      <c r="D829">
        <v>104</v>
      </c>
      <c r="E829" s="3">
        <v>59</v>
      </c>
      <c r="F829" t="s">
        <v>27</v>
      </c>
      <c r="G829" t="s">
        <v>32</v>
      </c>
      <c r="H829" t="s">
        <v>13</v>
      </c>
      <c r="I829">
        <f>Table1[[#This Row],[Per unit]]*Table1[[#This Row],[Boxes Shipped]]</f>
        <v>6136</v>
      </c>
    </row>
    <row r="830" spans="1:9" x14ac:dyDescent="0.25">
      <c r="A830" s="2">
        <v>45980</v>
      </c>
      <c r="B830" t="s">
        <v>46</v>
      </c>
      <c r="C830" t="s">
        <v>10</v>
      </c>
      <c r="D830">
        <v>76</v>
      </c>
      <c r="E830" s="3">
        <v>26</v>
      </c>
      <c r="F830" t="s">
        <v>22</v>
      </c>
      <c r="G830" t="s">
        <v>22</v>
      </c>
      <c r="H830" t="s">
        <v>23</v>
      </c>
      <c r="I830">
        <f>Table1[[#This Row],[Per unit]]*Table1[[#This Row],[Boxes Shipped]]</f>
        <v>1976</v>
      </c>
    </row>
    <row r="831" spans="1:9" x14ac:dyDescent="0.25">
      <c r="A831" s="2">
        <v>45698</v>
      </c>
      <c r="B831" t="s">
        <v>36</v>
      </c>
      <c r="C831" t="s">
        <v>10</v>
      </c>
      <c r="D831">
        <v>18</v>
      </c>
      <c r="E831" s="3">
        <v>69</v>
      </c>
      <c r="F831" t="s">
        <v>26</v>
      </c>
      <c r="G831" t="s">
        <v>19</v>
      </c>
      <c r="H831" t="s">
        <v>16</v>
      </c>
      <c r="I831">
        <f>Table1[[#This Row],[Per unit]]*Table1[[#This Row],[Boxes Shipped]]</f>
        <v>1242</v>
      </c>
    </row>
    <row r="832" spans="1:9" x14ac:dyDescent="0.25">
      <c r="A832" s="2">
        <v>45839</v>
      </c>
      <c r="B832" t="s">
        <v>14</v>
      </c>
      <c r="C832" t="s">
        <v>21</v>
      </c>
      <c r="D832">
        <v>80</v>
      </c>
      <c r="E832" s="3">
        <v>20</v>
      </c>
      <c r="F832" t="s">
        <v>19</v>
      </c>
      <c r="G832" t="s">
        <v>12</v>
      </c>
      <c r="H832" t="s">
        <v>16</v>
      </c>
      <c r="I832">
        <f>Table1[[#This Row],[Per unit]]*Table1[[#This Row],[Boxes Shipped]]</f>
        <v>1600</v>
      </c>
    </row>
    <row r="833" spans="1:9" x14ac:dyDescent="0.25">
      <c r="A833" s="2">
        <v>45928</v>
      </c>
      <c r="B833" t="s">
        <v>46</v>
      </c>
      <c r="C833" t="s">
        <v>30</v>
      </c>
      <c r="D833">
        <v>22</v>
      </c>
      <c r="E833" s="3">
        <v>88</v>
      </c>
      <c r="F833" t="s">
        <v>15</v>
      </c>
      <c r="G833" t="s">
        <v>34</v>
      </c>
      <c r="H833" t="s">
        <v>23</v>
      </c>
      <c r="I833">
        <f>Table1[[#This Row],[Per unit]]*Table1[[#This Row],[Boxes Shipped]]</f>
        <v>1936</v>
      </c>
    </row>
    <row r="834" spans="1:9" x14ac:dyDescent="0.25">
      <c r="A834" s="2">
        <v>45887</v>
      </c>
      <c r="B834" t="s">
        <v>50</v>
      </c>
      <c r="C834" t="s">
        <v>10</v>
      </c>
      <c r="D834">
        <v>212</v>
      </c>
      <c r="E834" s="3">
        <v>54</v>
      </c>
      <c r="F834" t="s">
        <v>12</v>
      </c>
      <c r="G834" t="s">
        <v>32</v>
      </c>
      <c r="H834" t="s">
        <v>13</v>
      </c>
      <c r="I834">
        <f>Table1[[#This Row],[Per unit]]*Table1[[#This Row],[Boxes Shipped]]</f>
        <v>11448</v>
      </c>
    </row>
    <row r="835" spans="1:9" x14ac:dyDescent="0.25">
      <c r="A835" s="2">
        <v>45865</v>
      </c>
      <c r="B835" t="s">
        <v>35</v>
      </c>
      <c r="C835" t="s">
        <v>30</v>
      </c>
      <c r="D835">
        <v>306</v>
      </c>
      <c r="E835" s="3">
        <v>66</v>
      </c>
      <c r="F835" t="s">
        <v>19</v>
      </c>
      <c r="G835" t="s">
        <v>27</v>
      </c>
      <c r="H835" t="s">
        <v>13</v>
      </c>
      <c r="I835">
        <f>Table1[[#This Row],[Per unit]]*Table1[[#This Row],[Boxes Shipped]]</f>
        <v>20196</v>
      </c>
    </row>
    <row r="836" spans="1:9" x14ac:dyDescent="0.25">
      <c r="A836" s="2">
        <v>45869</v>
      </c>
      <c r="B836" t="s">
        <v>39</v>
      </c>
      <c r="C836" t="s">
        <v>21</v>
      </c>
      <c r="D836">
        <v>181</v>
      </c>
      <c r="E836" s="3">
        <v>42</v>
      </c>
      <c r="F836" t="s">
        <v>28</v>
      </c>
      <c r="G836" t="s">
        <v>34</v>
      </c>
      <c r="H836" t="s">
        <v>20</v>
      </c>
      <c r="I836">
        <f>Table1[[#This Row],[Per unit]]*Table1[[#This Row],[Boxes Shipped]]</f>
        <v>7602</v>
      </c>
    </row>
    <row r="837" spans="1:9" x14ac:dyDescent="0.25">
      <c r="A837" s="2">
        <v>45961</v>
      </c>
      <c r="B837" t="s">
        <v>47</v>
      </c>
      <c r="C837" t="s">
        <v>17</v>
      </c>
      <c r="D837">
        <v>65</v>
      </c>
      <c r="E837" s="3">
        <v>33</v>
      </c>
      <c r="F837" t="s">
        <v>34</v>
      </c>
      <c r="G837" t="s">
        <v>22</v>
      </c>
      <c r="H837" t="s">
        <v>13</v>
      </c>
      <c r="I837">
        <f>Table1[[#This Row],[Per unit]]*Table1[[#This Row],[Boxes Shipped]]</f>
        <v>2145</v>
      </c>
    </row>
    <row r="838" spans="1:9" x14ac:dyDescent="0.25">
      <c r="A838" s="2">
        <v>45662</v>
      </c>
      <c r="B838" t="s">
        <v>39</v>
      </c>
      <c r="C838" t="s">
        <v>17</v>
      </c>
      <c r="D838">
        <v>158</v>
      </c>
      <c r="E838" s="3">
        <v>77</v>
      </c>
      <c r="F838" t="s">
        <v>34</v>
      </c>
      <c r="G838" t="s">
        <v>22</v>
      </c>
      <c r="H838" t="s">
        <v>13</v>
      </c>
      <c r="I838">
        <f>Table1[[#This Row],[Per unit]]*Table1[[#This Row],[Boxes Shipped]]</f>
        <v>12166</v>
      </c>
    </row>
    <row r="839" spans="1:9" x14ac:dyDescent="0.25">
      <c r="A839" s="2">
        <v>46018</v>
      </c>
      <c r="B839" t="s">
        <v>49</v>
      </c>
      <c r="C839" t="s">
        <v>17</v>
      </c>
      <c r="D839">
        <v>271</v>
      </c>
      <c r="E839" s="3">
        <v>65</v>
      </c>
      <c r="F839" t="s">
        <v>27</v>
      </c>
      <c r="G839" t="s">
        <v>28</v>
      </c>
      <c r="H839" t="s">
        <v>13</v>
      </c>
      <c r="I839">
        <f>Table1[[#This Row],[Per unit]]*Table1[[#This Row],[Boxes Shipped]]</f>
        <v>17615</v>
      </c>
    </row>
    <row r="840" spans="1:9" x14ac:dyDescent="0.25">
      <c r="A840" s="2">
        <v>45887</v>
      </c>
      <c r="B840" t="s">
        <v>40</v>
      </c>
      <c r="C840" t="s">
        <v>17</v>
      </c>
      <c r="D840">
        <v>24</v>
      </c>
      <c r="E840" s="3">
        <v>39</v>
      </c>
      <c r="F840" t="s">
        <v>28</v>
      </c>
      <c r="G840" t="s">
        <v>12</v>
      </c>
      <c r="H840" t="s">
        <v>16</v>
      </c>
      <c r="I840">
        <f>Table1[[#This Row],[Per unit]]*Table1[[#This Row],[Boxes Shipped]]</f>
        <v>936</v>
      </c>
    </row>
    <row r="841" spans="1:9" x14ac:dyDescent="0.25">
      <c r="A841" s="2">
        <v>45709</v>
      </c>
      <c r="B841" t="s">
        <v>43</v>
      </c>
      <c r="C841" t="s">
        <v>30</v>
      </c>
      <c r="D841">
        <v>10</v>
      </c>
      <c r="E841" s="3">
        <v>51</v>
      </c>
      <c r="F841" t="s">
        <v>34</v>
      </c>
      <c r="G841" t="s">
        <v>12</v>
      </c>
      <c r="H841" t="s">
        <v>20</v>
      </c>
      <c r="I841">
        <f>Table1[[#This Row],[Per unit]]*Table1[[#This Row],[Boxes Shipped]]</f>
        <v>510</v>
      </c>
    </row>
    <row r="842" spans="1:9" x14ac:dyDescent="0.25">
      <c r="A842" s="2">
        <v>45876</v>
      </c>
      <c r="B842" t="s">
        <v>40</v>
      </c>
      <c r="C842" t="s">
        <v>24</v>
      </c>
      <c r="D842">
        <v>73</v>
      </c>
      <c r="E842" s="3">
        <v>26</v>
      </c>
      <c r="F842" t="s">
        <v>27</v>
      </c>
      <c r="G842" t="s">
        <v>11</v>
      </c>
      <c r="H842" t="s">
        <v>23</v>
      </c>
      <c r="I842">
        <f>Table1[[#This Row],[Per unit]]*Table1[[#This Row],[Boxes Shipped]]</f>
        <v>1898</v>
      </c>
    </row>
    <row r="843" spans="1:9" x14ac:dyDescent="0.25">
      <c r="A843" s="2">
        <v>45698</v>
      </c>
      <c r="B843" t="s">
        <v>42</v>
      </c>
      <c r="C843" t="s">
        <v>10</v>
      </c>
      <c r="D843">
        <v>88</v>
      </c>
      <c r="E843" s="3">
        <v>89</v>
      </c>
      <c r="F843" t="s">
        <v>32</v>
      </c>
      <c r="G843" t="s">
        <v>34</v>
      </c>
      <c r="H843" t="s">
        <v>13</v>
      </c>
      <c r="I843">
        <f>Table1[[#This Row],[Per unit]]*Table1[[#This Row],[Boxes Shipped]]</f>
        <v>7832</v>
      </c>
    </row>
    <row r="844" spans="1:9" x14ac:dyDescent="0.25">
      <c r="A844" s="2">
        <v>45978</v>
      </c>
      <c r="B844" t="s">
        <v>25</v>
      </c>
      <c r="C844" t="s">
        <v>10</v>
      </c>
      <c r="D844">
        <v>133</v>
      </c>
      <c r="E844" s="3">
        <v>76</v>
      </c>
      <c r="F844" t="s">
        <v>15</v>
      </c>
      <c r="G844" t="s">
        <v>28</v>
      </c>
      <c r="H844" t="s">
        <v>20</v>
      </c>
      <c r="I844">
        <f>Table1[[#This Row],[Per unit]]*Table1[[#This Row],[Boxes Shipped]]</f>
        <v>10108</v>
      </c>
    </row>
    <row r="845" spans="1:9" x14ac:dyDescent="0.25">
      <c r="A845" s="2">
        <v>45662</v>
      </c>
      <c r="B845" t="s">
        <v>18</v>
      </c>
      <c r="C845" t="s">
        <v>24</v>
      </c>
      <c r="D845">
        <v>165</v>
      </c>
      <c r="E845" s="3">
        <v>75</v>
      </c>
      <c r="F845" t="s">
        <v>26</v>
      </c>
      <c r="G845" t="s">
        <v>28</v>
      </c>
      <c r="H845" t="s">
        <v>16</v>
      </c>
      <c r="I845">
        <f>Table1[[#This Row],[Per unit]]*Table1[[#This Row],[Boxes Shipped]]</f>
        <v>12375</v>
      </c>
    </row>
    <row r="846" spans="1:9" x14ac:dyDescent="0.25">
      <c r="A846" s="2">
        <v>45930</v>
      </c>
      <c r="B846" t="s">
        <v>46</v>
      </c>
      <c r="C846" t="s">
        <v>10</v>
      </c>
      <c r="D846">
        <v>150</v>
      </c>
      <c r="E846" s="3">
        <v>61</v>
      </c>
      <c r="F846" t="s">
        <v>22</v>
      </c>
      <c r="G846" t="s">
        <v>28</v>
      </c>
      <c r="H846" t="s">
        <v>29</v>
      </c>
      <c r="I846">
        <f>Table1[[#This Row],[Per unit]]*Table1[[#This Row],[Boxes Shipped]]</f>
        <v>9150</v>
      </c>
    </row>
    <row r="847" spans="1:9" x14ac:dyDescent="0.25">
      <c r="A847" s="2">
        <v>45807</v>
      </c>
      <c r="B847" t="s">
        <v>39</v>
      </c>
      <c r="C847" t="s">
        <v>21</v>
      </c>
      <c r="D847">
        <v>24</v>
      </c>
      <c r="E847" s="3">
        <v>77</v>
      </c>
      <c r="F847" t="s">
        <v>12</v>
      </c>
      <c r="G847" t="s">
        <v>26</v>
      </c>
      <c r="H847" t="s">
        <v>23</v>
      </c>
      <c r="I847">
        <f>Table1[[#This Row],[Per unit]]*Table1[[#This Row],[Boxes Shipped]]</f>
        <v>1848</v>
      </c>
    </row>
    <row r="848" spans="1:9" x14ac:dyDescent="0.25">
      <c r="A848" s="2">
        <v>45753</v>
      </c>
      <c r="B848" t="s">
        <v>46</v>
      </c>
      <c r="C848" t="s">
        <v>10</v>
      </c>
      <c r="D848">
        <v>213</v>
      </c>
      <c r="E848" s="3">
        <v>37</v>
      </c>
      <c r="F848" t="s">
        <v>19</v>
      </c>
      <c r="G848" t="s">
        <v>26</v>
      </c>
      <c r="H848" t="s">
        <v>20</v>
      </c>
      <c r="I848">
        <f>Table1[[#This Row],[Per unit]]*Table1[[#This Row],[Boxes Shipped]]</f>
        <v>7881</v>
      </c>
    </row>
    <row r="849" spans="1:9" x14ac:dyDescent="0.25">
      <c r="A849" s="2">
        <v>45859</v>
      </c>
      <c r="B849" t="s">
        <v>41</v>
      </c>
      <c r="C849" t="s">
        <v>17</v>
      </c>
      <c r="D849">
        <v>133</v>
      </c>
      <c r="E849" s="3">
        <v>91</v>
      </c>
      <c r="F849" t="s">
        <v>27</v>
      </c>
      <c r="G849" t="s">
        <v>15</v>
      </c>
      <c r="H849" t="s">
        <v>20</v>
      </c>
      <c r="I849">
        <f>Table1[[#This Row],[Per unit]]*Table1[[#This Row],[Boxes Shipped]]</f>
        <v>12103</v>
      </c>
    </row>
    <row r="850" spans="1:9" x14ac:dyDescent="0.25">
      <c r="A850" s="2">
        <v>45717</v>
      </c>
      <c r="B850" t="s">
        <v>18</v>
      </c>
      <c r="C850" t="s">
        <v>10</v>
      </c>
      <c r="D850">
        <v>62</v>
      </c>
      <c r="E850" s="3">
        <v>27</v>
      </c>
      <c r="F850" t="s">
        <v>34</v>
      </c>
      <c r="G850" t="s">
        <v>28</v>
      </c>
      <c r="H850" t="s">
        <v>23</v>
      </c>
      <c r="I850">
        <f>Table1[[#This Row],[Per unit]]*Table1[[#This Row],[Boxes Shipped]]</f>
        <v>1674</v>
      </c>
    </row>
    <row r="851" spans="1:9" x14ac:dyDescent="0.25">
      <c r="A851" s="2">
        <v>45790</v>
      </c>
      <c r="B851" t="s">
        <v>40</v>
      </c>
      <c r="C851" t="s">
        <v>24</v>
      </c>
      <c r="D851">
        <v>141</v>
      </c>
      <c r="E851" s="3">
        <v>54</v>
      </c>
      <c r="F851" t="s">
        <v>15</v>
      </c>
      <c r="G851" t="s">
        <v>28</v>
      </c>
      <c r="H851" t="s">
        <v>20</v>
      </c>
      <c r="I851">
        <f>Table1[[#This Row],[Per unit]]*Table1[[#This Row],[Boxes Shipped]]</f>
        <v>7614</v>
      </c>
    </row>
    <row r="852" spans="1:9" x14ac:dyDescent="0.25">
      <c r="A852" s="2">
        <v>45797</v>
      </c>
      <c r="B852" t="s">
        <v>48</v>
      </c>
      <c r="C852" t="s">
        <v>10</v>
      </c>
      <c r="D852">
        <v>58</v>
      </c>
      <c r="E852" s="3">
        <v>47</v>
      </c>
      <c r="F852" t="s">
        <v>15</v>
      </c>
      <c r="G852" t="s">
        <v>26</v>
      </c>
      <c r="H852" t="s">
        <v>16</v>
      </c>
      <c r="I852">
        <f>Table1[[#This Row],[Per unit]]*Table1[[#This Row],[Boxes Shipped]]</f>
        <v>2726</v>
      </c>
    </row>
    <row r="853" spans="1:9" x14ac:dyDescent="0.25">
      <c r="A853" s="2">
        <v>46011</v>
      </c>
      <c r="B853" t="s">
        <v>25</v>
      </c>
      <c r="C853" t="s">
        <v>30</v>
      </c>
      <c r="D853">
        <v>58</v>
      </c>
      <c r="E853" s="3">
        <v>77</v>
      </c>
      <c r="F853" t="s">
        <v>26</v>
      </c>
      <c r="G853" t="s">
        <v>34</v>
      </c>
      <c r="H853" t="s">
        <v>13</v>
      </c>
      <c r="I853">
        <f>Table1[[#This Row],[Per unit]]*Table1[[#This Row],[Boxes Shipped]]</f>
        <v>4466</v>
      </c>
    </row>
    <row r="854" spans="1:9" x14ac:dyDescent="0.25">
      <c r="A854" s="2">
        <v>45685</v>
      </c>
      <c r="B854" t="s">
        <v>50</v>
      </c>
      <c r="C854" t="s">
        <v>17</v>
      </c>
      <c r="D854">
        <v>76</v>
      </c>
      <c r="E854" s="3">
        <v>84</v>
      </c>
      <c r="F854" t="s">
        <v>28</v>
      </c>
      <c r="G854" t="s">
        <v>15</v>
      </c>
      <c r="H854" t="s">
        <v>20</v>
      </c>
      <c r="I854">
        <f>Table1[[#This Row],[Per unit]]*Table1[[#This Row],[Boxes Shipped]]</f>
        <v>6384</v>
      </c>
    </row>
    <row r="855" spans="1:9" x14ac:dyDescent="0.25">
      <c r="A855" s="2">
        <v>45981</v>
      </c>
      <c r="B855" t="s">
        <v>46</v>
      </c>
      <c r="C855" t="s">
        <v>24</v>
      </c>
      <c r="D855">
        <v>296</v>
      </c>
      <c r="E855" s="3">
        <v>51</v>
      </c>
      <c r="F855" t="s">
        <v>11</v>
      </c>
      <c r="G855" t="s">
        <v>15</v>
      </c>
      <c r="H855" t="s">
        <v>13</v>
      </c>
      <c r="I855">
        <f>Table1[[#This Row],[Per unit]]*Table1[[#This Row],[Boxes Shipped]]</f>
        <v>15096</v>
      </c>
    </row>
    <row r="856" spans="1:9" x14ac:dyDescent="0.25">
      <c r="A856" s="2">
        <v>45704</v>
      </c>
      <c r="B856" t="s">
        <v>49</v>
      </c>
      <c r="C856" t="s">
        <v>10</v>
      </c>
      <c r="D856">
        <v>20</v>
      </c>
      <c r="E856" s="3">
        <v>82</v>
      </c>
      <c r="F856" t="s">
        <v>22</v>
      </c>
      <c r="G856" t="s">
        <v>28</v>
      </c>
      <c r="H856" t="s">
        <v>23</v>
      </c>
      <c r="I856">
        <f>Table1[[#This Row],[Per unit]]*Table1[[#This Row],[Boxes Shipped]]</f>
        <v>1640</v>
      </c>
    </row>
    <row r="857" spans="1:9" x14ac:dyDescent="0.25">
      <c r="A857" s="2">
        <v>45731</v>
      </c>
      <c r="B857" t="s">
        <v>31</v>
      </c>
      <c r="C857" t="s">
        <v>17</v>
      </c>
      <c r="D857">
        <v>119</v>
      </c>
      <c r="E857" s="3">
        <v>64</v>
      </c>
      <c r="F857" t="s">
        <v>32</v>
      </c>
      <c r="G857" t="s">
        <v>19</v>
      </c>
      <c r="H857" t="s">
        <v>20</v>
      </c>
      <c r="I857">
        <f>Table1[[#This Row],[Per unit]]*Table1[[#This Row],[Boxes Shipped]]</f>
        <v>7616</v>
      </c>
    </row>
    <row r="858" spans="1:9" x14ac:dyDescent="0.25">
      <c r="A858" s="2">
        <v>45691</v>
      </c>
      <c r="B858" t="s">
        <v>14</v>
      </c>
      <c r="C858" t="s">
        <v>17</v>
      </c>
      <c r="D858">
        <v>78</v>
      </c>
      <c r="E858" s="3">
        <v>51</v>
      </c>
      <c r="F858" t="s">
        <v>11</v>
      </c>
      <c r="G858" t="s">
        <v>12</v>
      </c>
      <c r="H858" t="s">
        <v>29</v>
      </c>
      <c r="I858">
        <f>Table1[[#This Row],[Per unit]]*Table1[[#This Row],[Boxes Shipped]]</f>
        <v>3978</v>
      </c>
    </row>
    <row r="859" spans="1:9" x14ac:dyDescent="0.25">
      <c r="A859" s="2">
        <v>45964</v>
      </c>
      <c r="B859" t="s">
        <v>48</v>
      </c>
      <c r="C859" t="s">
        <v>21</v>
      </c>
      <c r="D859">
        <v>392</v>
      </c>
      <c r="E859" s="3">
        <v>60</v>
      </c>
      <c r="F859" t="s">
        <v>26</v>
      </c>
      <c r="G859" t="s">
        <v>11</v>
      </c>
      <c r="H859" t="s">
        <v>13</v>
      </c>
      <c r="I859">
        <f>Table1[[#This Row],[Per unit]]*Table1[[#This Row],[Boxes Shipped]]</f>
        <v>23520</v>
      </c>
    </row>
    <row r="860" spans="1:9" x14ac:dyDescent="0.25">
      <c r="A860" s="2">
        <v>45874</v>
      </c>
      <c r="B860" t="s">
        <v>46</v>
      </c>
      <c r="C860" t="s">
        <v>30</v>
      </c>
      <c r="D860">
        <v>51</v>
      </c>
      <c r="E860" s="3">
        <v>69</v>
      </c>
      <c r="F860" t="s">
        <v>34</v>
      </c>
      <c r="G860" t="s">
        <v>32</v>
      </c>
      <c r="H860" t="s">
        <v>13</v>
      </c>
      <c r="I860">
        <f>Table1[[#This Row],[Per unit]]*Table1[[#This Row],[Boxes Shipped]]</f>
        <v>3519</v>
      </c>
    </row>
    <row r="861" spans="1:9" x14ac:dyDescent="0.25">
      <c r="A861" s="2">
        <v>45803</v>
      </c>
      <c r="B861" t="s">
        <v>41</v>
      </c>
      <c r="C861" t="s">
        <v>17</v>
      </c>
      <c r="D861">
        <v>24</v>
      </c>
      <c r="E861" s="3">
        <v>68</v>
      </c>
      <c r="F861" t="s">
        <v>12</v>
      </c>
      <c r="G861" t="s">
        <v>22</v>
      </c>
      <c r="H861" t="s">
        <v>23</v>
      </c>
      <c r="I861">
        <f>Table1[[#This Row],[Per unit]]*Table1[[#This Row],[Boxes Shipped]]</f>
        <v>1632</v>
      </c>
    </row>
    <row r="862" spans="1:9" x14ac:dyDescent="0.25">
      <c r="A862" s="2">
        <v>45842</v>
      </c>
      <c r="B862" t="s">
        <v>36</v>
      </c>
      <c r="C862" t="s">
        <v>24</v>
      </c>
      <c r="D862">
        <v>40</v>
      </c>
      <c r="E862" s="3">
        <v>91</v>
      </c>
      <c r="F862" t="s">
        <v>32</v>
      </c>
      <c r="G862" t="s">
        <v>28</v>
      </c>
      <c r="H862" t="s">
        <v>20</v>
      </c>
      <c r="I862">
        <f>Table1[[#This Row],[Per unit]]*Table1[[#This Row],[Boxes Shipped]]</f>
        <v>3640</v>
      </c>
    </row>
    <row r="863" spans="1:9" x14ac:dyDescent="0.25">
      <c r="A863" s="2">
        <v>45744</v>
      </c>
      <c r="B863" t="s">
        <v>14</v>
      </c>
      <c r="C863" t="s">
        <v>30</v>
      </c>
      <c r="D863">
        <v>54</v>
      </c>
      <c r="E863" s="3">
        <v>29</v>
      </c>
      <c r="F863" t="s">
        <v>19</v>
      </c>
      <c r="G863" t="s">
        <v>22</v>
      </c>
      <c r="H863" t="s">
        <v>23</v>
      </c>
      <c r="I863">
        <f>Table1[[#This Row],[Per unit]]*Table1[[#This Row],[Boxes Shipped]]</f>
        <v>1566</v>
      </c>
    </row>
    <row r="864" spans="1:9" x14ac:dyDescent="0.25">
      <c r="A864" s="2">
        <v>45669</v>
      </c>
      <c r="B864" t="s">
        <v>42</v>
      </c>
      <c r="C864" t="s">
        <v>10</v>
      </c>
      <c r="D864">
        <v>57</v>
      </c>
      <c r="E864" s="3">
        <v>58</v>
      </c>
      <c r="F864" t="s">
        <v>34</v>
      </c>
      <c r="G864" t="s">
        <v>19</v>
      </c>
      <c r="H864" t="s">
        <v>20</v>
      </c>
      <c r="I864">
        <f>Table1[[#This Row],[Per unit]]*Table1[[#This Row],[Boxes Shipped]]</f>
        <v>3306</v>
      </c>
    </row>
    <row r="865" spans="1:9" x14ac:dyDescent="0.25">
      <c r="A865" s="2">
        <v>45755</v>
      </c>
      <c r="B865" t="s">
        <v>33</v>
      </c>
      <c r="C865" t="s">
        <v>10</v>
      </c>
      <c r="D865">
        <v>42</v>
      </c>
      <c r="E865" s="3">
        <v>98</v>
      </c>
      <c r="F865" t="s">
        <v>22</v>
      </c>
      <c r="G865" t="s">
        <v>11</v>
      </c>
      <c r="H865" t="s">
        <v>29</v>
      </c>
      <c r="I865">
        <f>Table1[[#This Row],[Per unit]]*Table1[[#This Row],[Boxes Shipped]]</f>
        <v>4116</v>
      </c>
    </row>
    <row r="866" spans="1:9" x14ac:dyDescent="0.25">
      <c r="A866" s="2">
        <v>45763</v>
      </c>
      <c r="B866" t="s">
        <v>36</v>
      </c>
      <c r="C866" t="s">
        <v>24</v>
      </c>
      <c r="D866">
        <v>156</v>
      </c>
      <c r="E866" s="3">
        <v>68</v>
      </c>
      <c r="F866" t="s">
        <v>11</v>
      </c>
      <c r="G866" t="s">
        <v>32</v>
      </c>
      <c r="H866" t="s">
        <v>20</v>
      </c>
      <c r="I866">
        <f>Table1[[#This Row],[Per unit]]*Table1[[#This Row],[Boxes Shipped]]</f>
        <v>10608</v>
      </c>
    </row>
    <row r="867" spans="1:9" x14ac:dyDescent="0.25">
      <c r="A867" s="2">
        <v>45695</v>
      </c>
      <c r="B867" t="s">
        <v>41</v>
      </c>
      <c r="C867" t="s">
        <v>24</v>
      </c>
      <c r="D867">
        <v>23</v>
      </c>
      <c r="E867" s="3">
        <v>44</v>
      </c>
      <c r="F867" t="s">
        <v>19</v>
      </c>
      <c r="G867" t="s">
        <v>12</v>
      </c>
      <c r="H867" t="s">
        <v>29</v>
      </c>
      <c r="I867">
        <f>Table1[[#This Row],[Per unit]]*Table1[[#This Row],[Boxes Shipped]]</f>
        <v>1012</v>
      </c>
    </row>
    <row r="868" spans="1:9" x14ac:dyDescent="0.25">
      <c r="A868" s="2">
        <v>45959</v>
      </c>
      <c r="B868" t="s">
        <v>41</v>
      </c>
      <c r="C868" t="s">
        <v>21</v>
      </c>
      <c r="D868">
        <v>44</v>
      </c>
      <c r="E868" s="3">
        <v>34</v>
      </c>
      <c r="F868" t="s">
        <v>34</v>
      </c>
      <c r="G868" t="s">
        <v>26</v>
      </c>
      <c r="H868" t="s">
        <v>23</v>
      </c>
      <c r="I868">
        <f>Table1[[#This Row],[Per unit]]*Table1[[#This Row],[Boxes Shipped]]</f>
        <v>1496</v>
      </c>
    </row>
    <row r="869" spans="1:9" x14ac:dyDescent="0.25">
      <c r="A869" s="2">
        <v>45963</v>
      </c>
      <c r="B869" t="s">
        <v>46</v>
      </c>
      <c r="C869" t="s">
        <v>30</v>
      </c>
      <c r="D869">
        <v>22</v>
      </c>
      <c r="E869" s="3">
        <v>68</v>
      </c>
      <c r="F869" t="s">
        <v>26</v>
      </c>
      <c r="G869" t="s">
        <v>19</v>
      </c>
      <c r="H869" t="s">
        <v>13</v>
      </c>
      <c r="I869">
        <f>Table1[[#This Row],[Per unit]]*Table1[[#This Row],[Boxes Shipped]]</f>
        <v>1496</v>
      </c>
    </row>
    <row r="870" spans="1:9" x14ac:dyDescent="0.25">
      <c r="A870" s="2">
        <v>45732</v>
      </c>
      <c r="B870" t="s">
        <v>46</v>
      </c>
      <c r="C870" t="s">
        <v>24</v>
      </c>
      <c r="D870">
        <v>60</v>
      </c>
      <c r="E870" s="3">
        <v>23</v>
      </c>
      <c r="F870" t="s">
        <v>28</v>
      </c>
      <c r="G870" t="s">
        <v>12</v>
      </c>
      <c r="H870" t="s">
        <v>23</v>
      </c>
      <c r="I870">
        <f>Table1[[#This Row],[Per unit]]*Table1[[#This Row],[Boxes Shipped]]</f>
        <v>1380</v>
      </c>
    </row>
    <row r="871" spans="1:9" x14ac:dyDescent="0.25">
      <c r="A871" s="2">
        <v>45719</v>
      </c>
      <c r="B871" t="s">
        <v>33</v>
      </c>
      <c r="C871" t="s">
        <v>24</v>
      </c>
      <c r="D871">
        <v>27</v>
      </c>
      <c r="E871" s="3">
        <v>43</v>
      </c>
      <c r="F871" t="s">
        <v>11</v>
      </c>
      <c r="G871" t="s">
        <v>34</v>
      </c>
      <c r="H871" t="s">
        <v>29</v>
      </c>
      <c r="I871">
        <f>Table1[[#This Row],[Per unit]]*Table1[[#This Row],[Boxes Shipped]]</f>
        <v>1161</v>
      </c>
    </row>
    <row r="872" spans="1:9" x14ac:dyDescent="0.25">
      <c r="A872" s="2">
        <v>45953</v>
      </c>
      <c r="B872" t="s">
        <v>43</v>
      </c>
      <c r="C872" t="s">
        <v>21</v>
      </c>
      <c r="D872">
        <v>59</v>
      </c>
      <c r="E872" s="3">
        <v>22</v>
      </c>
      <c r="F872" t="s">
        <v>12</v>
      </c>
      <c r="G872" t="s">
        <v>32</v>
      </c>
      <c r="H872" t="s">
        <v>23</v>
      </c>
      <c r="I872">
        <f>Table1[[#This Row],[Per unit]]*Table1[[#This Row],[Boxes Shipped]]</f>
        <v>1298</v>
      </c>
    </row>
    <row r="873" spans="1:9" x14ac:dyDescent="0.25">
      <c r="A873" s="2">
        <v>45742</v>
      </c>
      <c r="B873" t="s">
        <v>47</v>
      </c>
      <c r="C873" t="s">
        <v>24</v>
      </c>
      <c r="D873">
        <v>133</v>
      </c>
      <c r="E873" s="3">
        <v>56</v>
      </c>
      <c r="F873" t="s">
        <v>19</v>
      </c>
      <c r="G873" t="s">
        <v>19</v>
      </c>
      <c r="H873" t="s">
        <v>20</v>
      </c>
      <c r="I873">
        <f>Table1[[#This Row],[Per unit]]*Table1[[#This Row],[Boxes Shipped]]</f>
        <v>7448</v>
      </c>
    </row>
    <row r="874" spans="1:9" x14ac:dyDescent="0.25">
      <c r="A874" s="2">
        <v>45755</v>
      </c>
      <c r="B874" t="s">
        <v>44</v>
      </c>
      <c r="C874" t="s">
        <v>21</v>
      </c>
      <c r="D874">
        <v>149</v>
      </c>
      <c r="E874" s="3">
        <v>25</v>
      </c>
      <c r="F874" t="s">
        <v>22</v>
      </c>
      <c r="G874" t="s">
        <v>11</v>
      </c>
      <c r="H874" t="s">
        <v>20</v>
      </c>
      <c r="I874">
        <f>Table1[[#This Row],[Per unit]]*Table1[[#This Row],[Boxes Shipped]]</f>
        <v>3725</v>
      </c>
    </row>
    <row r="875" spans="1:9" x14ac:dyDescent="0.25">
      <c r="A875" s="2">
        <v>45862</v>
      </c>
      <c r="B875" t="s">
        <v>18</v>
      </c>
      <c r="C875" t="s">
        <v>17</v>
      </c>
      <c r="D875">
        <v>434</v>
      </c>
      <c r="E875" s="3">
        <v>74</v>
      </c>
      <c r="F875" t="s">
        <v>32</v>
      </c>
      <c r="G875" t="s">
        <v>15</v>
      </c>
      <c r="H875" t="s">
        <v>16</v>
      </c>
      <c r="I875">
        <f>Table1[[#This Row],[Per unit]]*Table1[[#This Row],[Boxes Shipped]]</f>
        <v>32116</v>
      </c>
    </row>
    <row r="876" spans="1:9" x14ac:dyDescent="0.25">
      <c r="A876" s="2">
        <v>45842</v>
      </c>
      <c r="B876" t="s">
        <v>43</v>
      </c>
      <c r="C876" t="s">
        <v>30</v>
      </c>
      <c r="D876">
        <v>85</v>
      </c>
      <c r="E876" s="3">
        <v>56</v>
      </c>
      <c r="F876" t="s">
        <v>11</v>
      </c>
      <c r="G876" t="s">
        <v>11</v>
      </c>
      <c r="H876" t="s">
        <v>16</v>
      </c>
      <c r="I876">
        <f>Table1[[#This Row],[Per unit]]*Table1[[#This Row],[Boxes Shipped]]</f>
        <v>4760</v>
      </c>
    </row>
    <row r="877" spans="1:9" x14ac:dyDescent="0.25">
      <c r="A877" s="2">
        <v>45847</v>
      </c>
      <c r="B877" t="s">
        <v>41</v>
      </c>
      <c r="C877" t="s">
        <v>21</v>
      </c>
      <c r="D877">
        <v>118</v>
      </c>
      <c r="E877" s="3">
        <v>47</v>
      </c>
      <c r="F877" t="s">
        <v>15</v>
      </c>
      <c r="G877" t="s">
        <v>32</v>
      </c>
      <c r="H877" t="s">
        <v>20</v>
      </c>
      <c r="I877">
        <f>Table1[[#This Row],[Per unit]]*Table1[[#This Row],[Boxes Shipped]]</f>
        <v>5546</v>
      </c>
    </row>
    <row r="878" spans="1:9" x14ac:dyDescent="0.25">
      <c r="A878" s="2">
        <v>45688</v>
      </c>
      <c r="B878" t="s">
        <v>31</v>
      </c>
      <c r="C878" t="s">
        <v>17</v>
      </c>
      <c r="D878">
        <v>18</v>
      </c>
      <c r="E878" s="3">
        <v>68</v>
      </c>
      <c r="F878" t="s">
        <v>11</v>
      </c>
      <c r="G878" t="s">
        <v>32</v>
      </c>
      <c r="H878" t="s">
        <v>23</v>
      </c>
      <c r="I878">
        <f>Table1[[#This Row],[Per unit]]*Table1[[#This Row],[Boxes Shipped]]</f>
        <v>1224</v>
      </c>
    </row>
    <row r="879" spans="1:9" x14ac:dyDescent="0.25">
      <c r="A879" s="2">
        <v>45818</v>
      </c>
      <c r="B879" t="s">
        <v>40</v>
      </c>
      <c r="C879" t="s">
        <v>24</v>
      </c>
      <c r="D879">
        <v>35</v>
      </c>
      <c r="E879" s="3">
        <v>22</v>
      </c>
      <c r="F879" t="s">
        <v>27</v>
      </c>
      <c r="G879" t="s">
        <v>15</v>
      </c>
      <c r="H879" t="s">
        <v>13</v>
      </c>
      <c r="I879">
        <f>Table1[[#This Row],[Per unit]]*Table1[[#This Row],[Boxes Shipped]]</f>
        <v>770</v>
      </c>
    </row>
    <row r="880" spans="1:9" x14ac:dyDescent="0.25">
      <c r="A880" s="2">
        <v>45754</v>
      </c>
      <c r="B880" t="s">
        <v>44</v>
      </c>
      <c r="C880" t="s">
        <v>24</v>
      </c>
      <c r="D880">
        <v>56</v>
      </c>
      <c r="E880" s="3">
        <v>21</v>
      </c>
      <c r="F880" t="s">
        <v>26</v>
      </c>
      <c r="G880" t="s">
        <v>32</v>
      </c>
      <c r="H880" t="s">
        <v>23</v>
      </c>
      <c r="I880">
        <f>Table1[[#This Row],[Per unit]]*Table1[[#This Row],[Boxes Shipped]]</f>
        <v>1176</v>
      </c>
    </row>
    <row r="881" spans="1:9" x14ac:dyDescent="0.25">
      <c r="A881" s="2">
        <v>45708</v>
      </c>
      <c r="B881" t="s">
        <v>48</v>
      </c>
      <c r="C881" t="s">
        <v>24</v>
      </c>
      <c r="D881">
        <v>299</v>
      </c>
      <c r="E881" s="3">
        <v>64</v>
      </c>
      <c r="F881" t="s">
        <v>12</v>
      </c>
      <c r="G881" t="s">
        <v>32</v>
      </c>
      <c r="H881" t="s">
        <v>29</v>
      </c>
      <c r="I881">
        <f>Table1[[#This Row],[Per unit]]*Table1[[#This Row],[Boxes Shipped]]</f>
        <v>19136</v>
      </c>
    </row>
    <row r="882" spans="1:9" x14ac:dyDescent="0.25">
      <c r="A882" s="2">
        <v>45882</v>
      </c>
      <c r="B882" t="s">
        <v>45</v>
      </c>
      <c r="C882" t="s">
        <v>17</v>
      </c>
      <c r="D882">
        <v>62</v>
      </c>
      <c r="E882" s="3">
        <v>42</v>
      </c>
      <c r="F882" t="s">
        <v>26</v>
      </c>
      <c r="G882" t="s">
        <v>28</v>
      </c>
      <c r="H882" t="s">
        <v>29</v>
      </c>
      <c r="I882">
        <f>Table1[[#This Row],[Per unit]]*Table1[[#This Row],[Boxes Shipped]]</f>
        <v>2604</v>
      </c>
    </row>
    <row r="883" spans="1:9" x14ac:dyDescent="0.25">
      <c r="A883" s="2">
        <v>45769</v>
      </c>
      <c r="B883" t="s">
        <v>36</v>
      </c>
      <c r="C883" t="s">
        <v>21</v>
      </c>
      <c r="D883">
        <v>19</v>
      </c>
      <c r="E883" s="3">
        <v>61</v>
      </c>
      <c r="F883" t="s">
        <v>12</v>
      </c>
      <c r="G883" t="s">
        <v>15</v>
      </c>
      <c r="H883" t="s">
        <v>23</v>
      </c>
      <c r="I883">
        <f>Table1[[#This Row],[Per unit]]*Table1[[#This Row],[Boxes Shipped]]</f>
        <v>1159</v>
      </c>
    </row>
    <row r="884" spans="1:9" x14ac:dyDescent="0.25">
      <c r="A884" s="2">
        <v>45966</v>
      </c>
      <c r="B884" t="s">
        <v>35</v>
      </c>
      <c r="C884" t="s">
        <v>30</v>
      </c>
      <c r="D884">
        <v>235</v>
      </c>
      <c r="E884" s="3">
        <v>81</v>
      </c>
      <c r="F884" t="s">
        <v>19</v>
      </c>
      <c r="G884" t="s">
        <v>11</v>
      </c>
      <c r="H884" t="s">
        <v>16</v>
      </c>
      <c r="I884">
        <f>Table1[[#This Row],[Per unit]]*Table1[[#This Row],[Boxes Shipped]]</f>
        <v>19035</v>
      </c>
    </row>
    <row r="885" spans="1:9" x14ac:dyDescent="0.25">
      <c r="A885" s="2">
        <v>45933</v>
      </c>
      <c r="B885" t="s">
        <v>45</v>
      </c>
      <c r="C885" t="s">
        <v>24</v>
      </c>
      <c r="D885">
        <v>363</v>
      </c>
      <c r="E885" s="3">
        <v>24</v>
      </c>
      <c r="F885" t="s">
        <v>32</v>
      </c>
      <c r="G885" t="s">
        <v>15</v>
      </c>
      <c r="H885" t="s">
        <v>20</v>
      </c>
      <c r="I885">
        <f>Table1[[#This Row],[Per unit]]*Table1[[#This Row],[Boxes Shipped]]</f>
        <v>8712</v>
      </c>
    </row>
    <row r="886" spans="1:9" x14ac:dyDescent="0.25">
      <c r="A886" s="2">
        <v>45897</v>
      </c>
      <c r="B886" t="s">
        <v>18</v>
      </c>
      <c r="C886" t="s">
        <v>21</v>
      </c>
      <c r="D886">
        <v>68</v>
      </c>
      <c r="E886" s="3">
        <v>60</v>
      </c>
      <c r="F886" t="s">
        <v>12</v>
      </c>
      <c r="G886" t="s">
        <v>34</v>
      </c>
      <c r="H886" t="s">
        <v>13</v>
      </c>
      <c r="I886">
        <f>Table1[[#This Row],[Per unit]]*Table1[[#This Row],[Boxes Shipped]]</f>
        <v>4080</v>
      </c>
    </row>
    <row r="887" spans="1:9" x14ac:dyDescent="0.25">
      <c r="A887" s="2">
        <v>45796</v>
      </c>
      <c r="B887" t="s">
        <v>25</v>
      </c>
      <c r="C887" t="s">
        <v>21</v>
      </c>
      <c r="D887">
        <v>26</v>
      </c>
      <c r="E887" s="3">
        <v>24</v>
      </c>
      <c r="F887" t="s">
        <v>15</v>
      </c>
      <c r="G887" t="s">
        <v>27</v>
      </c>
      <c r="H887" t="s">
        <v>29</v>
      </c>
      <c r="I887">
        <f>Table1[[#This Row],[Per unit]]*Table1[[#This Row],[Boxes Shipped]]</f>
        <v>624</v>
      </c>
    </row>
    <row r="888" spans="1:9" x14ac:dyDescent="0.25">
      <c r="A888" s="2">
        <v>45980</v>
      </c>
      <c r="B888" t="s">
        <v>50</v>
      </c>
      <c r="C888" t="s">
        <v>21</v>
      </c>
      <c r="D888">
        <v>200</v>
      </c>
      <c r="E888" s="3">
        <v>78</v>
      </c>
      <c r="F888" t="s">
        <v>32</v>
      </c>
      <c r="G888" t="s">
        <v>26</v>
      </c>
      <c r="H888" t="s">
        <v>29</v>
      </c>
      <c r="I888">
        <f>Table1[[#This Row],[Per unit]]*Table1[[#This Row],[Boxes Shipped]]</f>
        <v>15600</v>
      </c>
    </row>
    <row r="889" spans="1:9" x14ac:dyDescent="0.25">
      <c r="A889" s="2">
        <v>46009</v>
      </c>
      <c r="B889" t="s">
        <v>38</v>
      </c>
      <c r="C889" t="s">
        <v>10</v>
      </c>
      <c r="D889">
        <v>14</v>
      </c>
      <c r="E889" s="3">
        <v>69</v>
      </c>
      <c r="F889" t="s">
        <v>22</v>
      </c>
      <c r="G889" t="s">
        <v>34</v>
      </c>
      <c r="H889" t="s">
        <v>23</v>
      </c>
      <c r="I889">
        <f>Table1[[#This Row],[Per unit]]*Table1[[#This Row],[Boxes Shipped]]</f>
        <v>966</v>
      </c>
    </row>
    <row r="890" spans="1:9" x14ac:dyDescent="0.25">
      <c r="A890" s="2">
        <v>45965</v>
      </c>
      <c r="B890" t="s">
        <v>48</v>
      </c>
      <c r="C890" t="s">
        <v>17</v>
      </c>
      <c r="D890">
        <v>48</v>
      </c>
      <c r="E890" s="3">
        <v>20</v>
      </c>
      <c r="F890" t="s">
        <v>19</v>
      </c>
      <c r="G890" t="s">
        <v>28</v>
      </c>
      <c r="H890" t="s">
        <v>23</v>
      </c>
      <c r="I890">
        <f>Table1[[#This Row],[Per unit]]*Table1[[#This Row],[Boxes Shipped]]</f>
        <v>960</v>
      </c>
    </row>
    <row r="891" spans="1:9" x14ac:dyDescent="0.25">
      <c r="A891" s="2">
        <v>45990</v>
      </c>
      <c r="B891" t="s">
        <v>49</v>
      </c>
      <c r="C891" t="s">
        <v>21</v>
      </c>
      <c r="D891">
        <v>9</v>
      </c>
      <c r="E891" s="3">
        <v>87</v>
      </c>
      <c r="F891" t="s">
        <v>19</v>
      </c>
      <c r="G891" t="s">
        <v>19</v>
      </c>
      <c r="H891" t="s">
        <v>23</v>
      </c>
      <c r="I891">
        <f>Table1[[#This Row],[Per unit]]*Table1[[#This Row],[Boxes Shipped]]</f>
        <v>783</v>
      </c>
    </row>
    <row r="892" spans="1:9" x14ac:dyDescent="0.25">
      <c r="A892" s="2">
        <v>45942</v>
      </c>
      <c r="B892" t="s">
        <v>25</v>
      </c>
      <c r="C892" t="s">
        <v>24</v>
      </c>
      <c r="D892">
        <v>33</v>
      </c>
      <c r="E892" s="3">
        <v>22</v>
      </c>
      <c r="F892" t="s">
        <v>34</v>
      </c>
      <c r="G892" t="s">
        <v>26</v>
      </c>
      <c r="H892" t="s">
        <v>23</v>
      </c>
      <c r="I892">
        <f>Table1[[#This Row],[Per unit]]*Table1[[#This Row],[Boxes Shipped]]</f>
        <v>726</v>
      </c>
    </row>
    <row r="893" spans="1:9" x14ac:dyDescent="0.25">
      <c r="A893" s="2">
        <v>45731</v>
      </c>
      <c r="B893" t="s">
        <v>46</v>
      </c>
      <c r="C893" t="s">
        <v>24</v>
      </c>
      <c r="D893">
        <v>24</v>
      </c>
      <c r="E893" s="3">
        <v>30</v>
      </c>
      <c r="F893" t="s">
        <v>28</v>
      </c>
      <c r="G893" t="s">
        <v>34</v>
      </c>
      <c r="H893" t="s">
        <v>23</v>
      </c>
      <c r="I893">
        <f>Table1[[#This Row],[Per unit]]*Table1[[#This Row],[Boxes Shipped]]</f>
        <v>720</v>
      </c>
    </row>
    <row r="894" spans="1:9" x14ac:dyDescent="0.25">
      <c r="A894" s="2">
        <v>45844</v>
      </c>
      <c r="B894" t="s">
        <v>46</v>
      </c>
      <c r="C894" t="s">
        <v>24</v>
      </c>
      <c r="D894">
        <v>15</v>
      </c>
      <c r="E894" s="3">
        <v>45</v>
      </c>
      <c r="F894" t="s">
        <v>28</v>
      </c>
      <c r="G894" t="s">
        <v>12</v>
      </c>
      <c r="H894" t="s">
        <v>23</v>
      </c>
      <c r="I894">
        <f>Table1[[#This Row],[Per unit]]*Table1[[#This Row],[Boxes Shipped]]</f>
        <v>675</v>
      </c>
    </row>
    <row r="895" spans="1:9" x14ac:dyDescent="0.25">
      <c r="A895" s="2">
        <v>45708</v>
      </c>
      <c r="B895" t="s">
        <v>41</v>
      </c>
      <c r="C895" t="s">
        <v>24</v>
      </c>
      <c r="D895">
        <v>24</v>
      </c>
      <c r="E895" s="3">
        <v>25</v>
      </c>
      <c r="F895" t="s">
        <v>19</v>
      </c>
      <c r="G895" t="s">
        <v>22</v>
      </c>
      <c r="H895" t="s">
        <v>23</v>
      </c>
      <c r="I895">
        <f>Table1[[#This Row],[Per unit]]*Table1[[#This Row],[Boxes Shipped]]</f>
        <v>600</v>
      </c>
    </row>
    <row r="896" spans="1:9" x14ac:dyDescent="0.25">
      <c r="A896" s="2">
        <v>45827</v>
      </c>
      <c r="B896" t="s">
        <v>43</v>
      </c>
      <c r="C896" t="s">
        <v>30</v>
      </c>
      <c r="D896">
        <v>6</v>
      </c>
      <c r="E896" s="3">
        <v>100</v>
      </c>
      <c r="F896" t="s">
        <v>11</v>
      </c>
      <c r="G896" t="s">
        <v>32</v>
      </c>
      <c r="H896" t="s">
        <v>23</v>
      </c>
      <c r="I896">
        <f>Table1[[#This Row],[Per unit]]*Table1[[#This Row],[Boxes Shipped]]</f>
        <v>600</v>
      </c>
    </row>
    <row r="897" spans="1:9" x14ac:dyDescent="0.25">
      <c r="A897" s="2">
        <v>45759</v>
      </c>
      <c r="B897" t="s">
        <v>46</v>
      </c>
      <c r="C897" t="s">
        <v>21</v>
      </c>
      <c r="D897">
        <v>7</v>
      </c>
      <c r="E897" s="3">
        <v>67</v>
      </c>
      <c r="F897" t="s">
        <v>12</v>
      </c>
      <c r="G897" t="s">
        <v>15</v>
      </c>
      <c r="H897" t="s">
        <v>23</v>
      </c>
      <c r="I897">
        <f>Table1[[#This Row],[Per unit]]*Table1[[#This Row],[Boxes Shipped]]</f>
        <v>469</v>
      </c>
    </row>
    <row r="898" spans="1:9" x14ac:dyDescent="0.25">
      <c r="A898" s="2">
        <v>45907</v>
      </c>
      <c r="B898" t="s">
        <v>47</v>
      </c>
      <c r="C898" t="s">
        <v>21</v>
      </c>
      <c r="D898">
        <v>12</v>
      </c>
      <c r="E898" s="3">
        <v>29</v>
      </c>
      <c r="F898" t="s">
        <v>27</v>
      </c>
      <c r="G898" t="s">
        <v>26</v>
      </c>
      <c r="H898" t="s">
        <v>23</v>
      </c>
      <c r="I898">
        <f>Table1[[#This Row],[Per unit]]*Table1[[#This Row],[Boxes Shipped]]</f>
        <v>348</v>
      </c>
    </row>
    <row r="899" spans="1:9" x14ac:dyDescent="0.25">
      <c r="A899" s="2">
        <v>45865</v>
      </c>
      <c r="B899" t="s">
        <v>33</v>
      </c>
      <c r="C899" t="s">
        <v>21</v>
      </c>
      <c r="D899">
        <v>7</v>
      </c>
      <c r="E899" s="3">
        <v>46</v>
      </c>
      <c r="F899" t="s">
        <v>34</v>
      </c>
      <c r="G899" t="s">
        <v>11</v>
      </c>
      <c r="H899" t="s">
        <v>23</v>
      </c>
      <c r="I899">
        <f>Table1[[#This Row],[Per unit]]*Table1[[#This Row],[Boxes Shipped]]</f>
        <v>322</v>
      </c>
    </row>
    <row r="900" spans="1:9" x14ac:dyDescent="0.25">
      <c r="A900" s="2">
        <v>45772</v>
      </c>
      <c r="B900" t="s">
        <v>46</v>
      </c>
      <c r="C900" t="s">
        <v>17</v>
      </c>
      <c r="D900">
        <v>3</v>
      </c>
      <c r="E900" s="3">
        <v>94</v>
      </c>
      <c r="F900" t="s">
        <v>15</v>
      </c>
      <c r="G900" t="s">
        <v>11</v>
      </c>
      <c r="H900" t="s">
        <v>23</v>
      </c>
      <c r="I900">
        <f>Table1[[#This Row],[Per unit]]*Table1[[#This Row],[Boxes Shipped]]</f>
        <v>282</v>
      </c>
    </row>
    <row r="901" spans="1:9" x14ac:dyDescent="0.25">
      <c r="A901" s="2">
        <v>45970</v>
      </c>
      <c r="B901" t="s">
        <v>39</v>
      </c>
      <c r="C901" t="s">
        <v>30</v>
      </c>
      <c r="D901">
        <v>4</v>
      </c>
      <c r="E901" s="3">
        <v>31</v>
      </c>
      <c r="F901" t="s">
        <v>22</v>
      </c>
      <c r="G901" t="s">
        <v>19</v>
      </c>
      <c r="H901" t="s">
        <v>23</v>
      </c>
      <c r="I901">
        <f>Table1[[#This Row],[Per unit]]*Table1[[#This Row],[Boxes Shipped]]</f>
        <v>124</v>
      </c>
    </row>
    <row r="902" spans="1:9" x14ac:dyDescent="0.25">
      <c r="A902" s="2">
        <v>45701</v>
      </c>
      <c r="B902" t="s">
        <v>9</v>
      </c>
      <c r="C902" t="s">
        <v>21</v>
      </c>
      <c r="D902">
        <v>4</v>
      </c>
      <c r="E902" s="3">
        <v>21</v>
      </c>
      <c r="F902" t="s">
        <v>22</v>
      </c>
      <c r="G902" t="s">
        <v>27</v>
      </c>
      <c r="H902" t="s">
        <v>23</v>
      </c>
      <c r="I902">
        <f>Table1[[#This Row],[Per unit]]*Table1[[#This Row],[Boxes Shipped]]</f>
        <v>84</v>
      </c>
    </row>
    <row r="903" spans="1:9" x14ac:dyDescent="0.25">
      <c r="A903" s="2">
        <v>45854</v>
      </c>
      <c r="B903" t="s">
        <v>9</v>
      </c>
      <c r="C903" t="s">
        <v>10</v>
      </c>
      <c r="D903">
        <v>2</v>
      </c>
      <c r="E903" s="3">
        <v>36</v>
      </c>
      <c r="F903" t="s">
        <v>26</v>
      </c>
      <c r="G903" t="s">
        <v>22</v>
      </c>
      <c r="H903" t="s">
        <v>23</v>
      </c>
      <c r="I903">
        <f>Table1[[#This Row],[Per unit]]*Table1[[#This Row],[Boxes Shipped]]</f>
        <v>72</v>
      </c>
    </row>
    <row r="904" spans="1:9" x14ac:dyDescent="0.25">
      <c r="A904" s="2">
        <v>46021</v>
      </c>
      <c r="B904" t="s">
        <v>46</v>
      </c>
      <c r="C904" t="s">
        <v>30</v>
      </c>
      <c r="D904">
        <v>1</v>
      </c>
      <c r="E904" s="3">
        <v>60</v>
      </c>
      <c r="F904" t="s">
        <v>26</v>
      </c>
      <c r="G904" t="s">
        <v>19</v>
      </c>
      <c r="H904" t="s">
        <v>23</v>
      </c>
      <c r="I904">
        <f>Table1[[#This Row],[Per unit]]*Table1[[#This Row],[Boxes Shipped]]</f>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KPI's</vt:lpstr>
      <vt:lpstr>1. montly sales trend</vt:lpstr>
      <vt:lpstr>2.Brand wise sales</vt:lpstr>
      <vt:lpstr>3.Region wise sales Avg</vt:lpstr>
      <vt:lpstr>4. Popular product</vt:lpstr>
      <vt:lpstr>5. Customer buying location</vt:lpstr>
      <vt:lpstr>Sheet9</vt:lpstr>
      <vt:lpstr>Sheet10</vt:lpstr>
      <vt:lpstr>Sheet10 (2)</vt:lpstr>
      <vt:lpstr> 6.Mode of buy</vt:lpstr>
      <vt:lpstr>Chocolate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M</dc:creator>
  <cp:lastModifiedBy>Divya M</cp:lastModifiedBy>
  <dcterms:created xsi:type="dcterms:W3CDTF">2026-01-02T16:40:27Z</dcterms:created>
  <dcterms:modified xsi:type="dcterms:W3CDTF">2026-01-04T08:10:30Z</dcterms:modified>
</cp:coreProperties>
</file>